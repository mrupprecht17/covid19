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162" documentId="13_ncr:1_{EBF16A9B-E023-452D-8F53-D7A6B60173D2}" xr6:coauthVersionLast="45" xr6:coauthVersionMax="45" xr10:uidLastSave="{73C76590-1F4B-4AE5-BFF4-7CB01529FD8C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83" i="4" l="1"/>
  <c r="I183" i="4"/>
  <c r="J183" i="4" s="1"/>
  <c r="U180" i="4"/>
  <c r="B180" i="4" s="1"/>
  <c r="C180" i="4" s="1"/>
  <c r="U179" i="4"/>
  <c r="B179" i="4" s="1"/>
  <c r="C179" i="4" s="1"/>
  <c r="I180" i="4"/>
  <c r="J181" i="4" s="1"/>
  <c r="I179" i="4"/>
  <c r="U177" i="4"/>
  <c r="B177" i="4" s="1"/>
  <c r="I177" i="4"/>
  <c r="K178" i="4" s="1"/>
  <c r="B178" i="4"/>
  <c r="U175" i="4"/>
  <c r="U174" i="4"/>
  <c r="I175" i="4"/>
  <c r="J176" i="4" s="1"/>
  <c r="I174" i="4"/>
  <c r="U164" i="4"/>
  <c r="U165" i="4"/>
  <c r="U166" i="4"/>
  <c r="U167" i="4"/>
  <c r="U168" i="4"/>
  <c r="B168" i="4" s="1"/>
  <c r="C168" i="4" s="1"/>
  <c r="U169" i="4"/>
  <c r="U170" i="4"/>
  <c r="U171" i="4"/>
  <c r="B171" i="4" s="1"/>
  <c r="C171" i="4" s="1"/>
  <c r="U172" i="4"/>
  <c r="U163" i="4"/>
  <c r="I164" i="4"/>
  <c r="I165" i="4"/>
  <c r="I166" i="4"/>
  <c r="I167" i="4"/>
  <c r="I168" i="4"/>
  <c r="J168" i="4" s="1"/>
  <c r="I169" i="4"/>
  <c r="I170" i="4"/>
  <c r="I171" i="4"/>
  <c r="J171" i="4" s="1"/>
  <c r="I172" i="4"/>
  <c r="I163" i="4"/>
  <c r="K173" i="4"/>
  <c r="U160" i="4"/>
  <c r="I160" i="4"/>
  <c r="G167" i="4"/>
  <c r="H167" i="4" s="1"/>
  <c r="G168" i="4"/>
  <c r="G169" i="4"/>
  <c r="H169" i="4" s="1"/>
  <c r="G170" i="4"/>
  <c r="B170" i="4" s="1"/>
  <c r="H170" i="4"/>
  <c r="G171" i="4"/>
  <c r="H171" i="4" s="1"/>
  <c r="B172" i="4"/>
  <c r="C172" i="4" s="1"/>
  <c r="G172" i="4"/>
  <c r="H172" i="4" s="1"/>
  <c r="G173" i="4"/>
  <c r="H173" i="4"/>
  <c r="G174" i="4"/>
  <c r="B174" i="4" s="1"/>
  <c r="H174" i="4"/>
  <c r="G175" i="4"/>
  <c r="H175" i="4" s="1"/>
  <c r="B176" i="4"/>
  <c r="G176" i="4"/>
  <c r="G177" i="4"/>
  <c r="H177" i="4" s="1"/>
  <c r="G178" i="4"/>
  <c r="H178" i="4"/>
  <c r="G179" i="4"/>
  <c r="H179" i="4"/>
  <c r="G180" i="4"/>
  <c r="H180" i="4" s="1"/>
  <c r="G181" i="4"/>
  <c r="B181" i="4" s="1"/>
  <c r="H181" i="4"/>
  <c r="G182" i="4"/>
  <c r="B182" i="4" s="1"/>
  <c r="H182" i="4"/>
  <c r="G183" i="4"/>
  <c r="H183" i="4" s="1"/>
  <c r="B184" i="4"/>
  <c r="C184" i="4" s="1"/>
  <c r="G184" i="4"/>
  <c r="J167" i="4"/>
  <c r="K167" i="4"/>
  <c r="K177" i="4"/>
  <c r="J178" i="4"/>
  <c r="J182" i="4"/>
  <c r="K182" i="4"/>
  <c r="K184" i="4" l="1"/>
  <c r="J184" i="4"/>
  <c r="K183" i="4"/>
  <c r="K181" i="4"/>
  <c r="K180" i="4"/>
  <c r="K179" i="4"/>
  <c r="J180" i="4"/>
  <c r="J179" i="4"/>
  <c r="D177" i="4"/>
  <c r="E177" i="4" s="1"/>
  <c r="J177" i="4"/>
  <c r="D178" i="4"/>
  <c r="E178" i="4" s="1"/>
  <c r="L178" i="4"/>
  <c r="C178" i="4"/>
  <c r="D179" i="4"/>
  <c r="K176" i="4"/>
  <c r="J175" i="4"/>
  <c r="K175" i="4"/>
  <c r="F177" i="4"/>
  <c r="K171" i="4"/>
  <c r="J169" i="4"/>
  <c r="K170" i="4"/>
  <c r="J170" i="4"/>
  <c r="K169" i="4"/>
  <c r="K172" i="4"/>
  <c r="K168" i="4"/>
  <c r="J172" i="4"/>
  <c r="J173" i="4"/>
  <c r="J174" i="4"/>
  <c r="K174" i="4"/>
  <c r="B173" i="4"/>
  <c r="L173" i="4" s="1"/>
  <c r="D171" i="4"/>
  <c r="L174" i="4"/>
  <c r="C174" i="4"/>
  <c r="L182" i="4"/>
  <c r="C182" i="4"/>
  <c r="D182" i="4"/>
  <c r="E182" i="4" s="1"/>
  <c r="F182" i="4"/>
  <c r="C170" i="4"/>
  <c r="C181" i="4"/>
  <c r="D181" i="4"/>
  <c r="L181" i="4"/>
  <c r="F181" i="4"/>
  <c r="C177" i="4"/>
  <c r="C176" i="4"/>
  <c r="B169" i="4"/>
  <c r="L172" i="4"/>
  <c r="F180" i="4"/>
  <c r="F172" i="4"/>
  <c r="L177" i="4"/>
  <c r="B183" i="4"/>
  <c r="D184" i="4" s="1"/>
  <c r="F179" i="4"/>
  <c r="B175" i="4"/>
  <c r="F171" i="4"/>
  <c r="B167" i="4"/>
  <c r="D168" i="4" s="1"/>
  <c r="L180" i="4"/>
  <c r="H184" i="4"/>
  <c r="F178" i="4"/>
  <c r="H176" i="4"/>
  <c r="D172" i="4"/>
  <c r="H168" i="4"/>
  <c r="D180" i="4"/>
  <c r="E180" i="4" s="1"/>
  <c r="L179" i="4"/>
  <c r="L171" i="4"/>
  <c r="G162" i="4"/>
  <c r="B162" i="4" s="1"/>
  <c r="C162" i="4" s="1"/>
  <c r="E181" i="4" l="1"/>
  <c r="E179" i="4"/>
  <c r="E171" i="4"/>
  <c r="E172" i="4"/>
  <c r="F173" i="4"/>
  <c r="F174" i="4"/>
  <c r="D173" i="4"/>
  <c r="E173" i="4" s="1"/>
  <c r="C173" i="4"/>
  <c r="D174" i="4"/>
  <c r="E174" i="4" s="1"/>
  <c r="E184" i="4"/>
  <c r="E168" i="4"/>
  <c r="L176" i="4"/>
  <c r="C175" i="4"/>
  <c r="L175" i="4"/>
  <c r="D175" i="4"/>
  <c r="E175" i="4" s="1"/>
  <c r="F176" i="4"/>
  <c r="F175" i="4"/>
  <c r="F169" i="4"/>
  <c r="L169" i="4"/>
  <c r="C169" i="4"/>
  <c r="D169" i="4"/>
  <c r="E169" i="4" s="1"/>
  <c r="F170" i="4"/>
  <c r="L170" i="4"/>
  <c r="L183" i="4"/>
  <c r="F184" i="4"/>
  <c r="L184" i="4"/>
  <c r="C183" i="4"/>
  <c r="F183" i="4"/>
  <c r="D183" i="4"/>
  <c r="E183" i="4" s="1"/>
  <c r="D170" i="4"/>
  <c r="F168" i="4"/>
  <c r="L168" i="4"/>
  <c r="C167" i="4"/>
  <c r="D176" i="4"/>
  <c r="E176" i="4" s="1"/>
  <c r="G160" i="4"/>
  <c r="B160" i="4" s="1"/>
  <c r="A237" i="3" a="1"/>
  <c r="A237" i="3" s="1"/>
  <c r="B237" i="3"/>
  <c r="C237" i="3"/>
  <c r="D237" i="3"/>
  <c r="E237" i="3" s="1"/>
  <c r="F237" i="3"/>
  <c r="H237" i="3"/>
  <c r="J237" i="3"/>
  <c r="K237" i="3"/>
  <c r="L237" i="3"/>
  <c r="A237" i="2" a="1"/>
  <c r="A237" i="2" s="1"/>
  <c r="B237" i="2"/>
  <c r="C237" i="2" s="1"/>
  <c r="H237" i="2"/>
  <c r="J237" i="2"/>
  <c r="K237" i="2"/>
  <c r="L237" i="2"/>
  <c r="A245" i="1" a="1"/>
  <c r="A245" i="1" s="1"/>
  <c r="B245" i="1"/>
  <c r="C245" i="1"/>
  <c r="D245" i="1"/>
  <c r="E245" i="1" s="1"/>
  <c r="F245" i="1"/>
  <c r="H245" i="1"/>
  <c r="J245" i="1"/>
  <c r="K245" i="1"/>
  <c r="L245" i="1"/>
  <c r="E170" i="4" l="1"/>
  <c r="C160" i="4"/>
  <c r="F237" i="2"/>
  <c r="D237" i="2"/>
  <c r="E237" i="2" s="1"/>
  <c r="A236" i="3" a="1"/>
  <c r="A236" i="3" s="1"/>
  <c r="B236" i="3"/>
  <c r="C236" i="3"/>
  <c r="D236" i="3"/>
  <c r="E236" i="3" s="1"/>
  <c r="F236" i="3"/>
  <c r="H236" i="3"/>
  <c r="J236" i="3"/>
  <c r="K236" i="3"/>
  <c r="L236" i="3"/>
  <c r="A236" i="2" a="1"/>
  <c r="A236" i="2" s="1"/>
  <c r="B236" i="2"/>
  <c r="C236" i="2"/>
  <c r="D236" i="2"/>
  <c r="E236" i="2" s="1"/>
  <c r="F236" i="2"/>
  <c r="H236" i="2"/>
  <c r="J236" i="2"/>
  <c r="K236" i="2"/>
  <c r="L236" i="2"/>
  <c r="A244" i="1" a="1"/>
  <c r="A244" i="1" s="1"/>
  <c r="B244" i="1"/>
  <c r="C244" i="1" s="1"/>
  <c r="D244" i="1"/>
  <c r="E244" i="1" s="1"/>
  <c r="H244" i="1"/>
  <c r="J244" i="1"/>
  <c r="K244" i="1"/>
  <c r="L244" i="1"/>
  <c r="F244" i="1" l="1"/>
  <c r="A235" i="3" a="1"/>
  <c r="A235" i="3" s="1"/>
  <c r="B235" i="3"/>
  <c r="C235" i="3"/>
  <c r="D235" i="3"/>
  <c r="E235" i="3" s="1"/>
  <c r="F235" i="3"/>
  <c r="H235" i="3"/>
  <c r="J235" i="3"/>
  <c r="K235" i="3"/>
  <c r="L235" i="3"/>
  <c r="A235" i="2" a="1"/>
  <c r="A235" i="2" s="1"/>
  <c r="B235" i="2"/>
  <c r="C235" i="2"/>
  <c r="D235" i="2"/>
  <c r="E235" i="2" s="1"/>
  <c r="F235" i="2"/>
  <c r="H235" i="2"/>
  <c r="J235" i="2"/>
  <c r="K235" i="2"/>
  <c r="L235" i="2"/>
  <c r="A243" i="1" a="1"/>
  <c r="A243" i="1" s="1"/>
  <c r="B243" i="1"/>
  <c r="C243" i="1" s="1"/>
  <c r="D243" i="1"/>
  <c r="E243" i="1" s="1"/>
  <c r="F243" i="1"/>
  <c r="H243" i="1"/>
  <c r="J243" i="1"/>
  <c r="K243" i="1"/>
  <c r="L243" i="1"/>
  <c r="A234" i="3" l="1" a="1"/>
  <c r="A234" i="3" s="1"/>
  <c r="B234" i="3"/>
  <c r="C234" i="3" s="1"/>
  <c r="H234" i="3"/>
  <c r="J234" i="3"/>
  <c r="K234" i="3"/>
  <c r="L234" i="3"/>
  <c r="A234" i="2" a="1"/>
  <c r="A234" i="2" s="1"/>
  <c r="B234" i="2"/>
  <c r="C234" i="2"/>
  <c r="D234" i="2"/>
  <c r="E234" i="2" s="1"/>
  <c r="F234" i="2"/>
  <c r="H234" i="2"/>
  <c r="J234" i="2"/>
  <c r="K234" i="2"/>
  <c r="L234" i="2"/>
  <c r="A242" i="1" a="1"/>
  <c r="A242" i="1" s="1"/>
  <c r="B242" i="1"/>
  <c r="C242" i="1" s="1"/>
  <c r="D242" i="1"/>
  <c r="E242" i="1" s="1"/>
  <c r="F242" i="1"/>
  <c r="H242" i="1"/>
  <c r="J242" i="1"/>
  <c r="K242" i="1"/>
  <c r="L242" i="1"/>
  <c r="F234" i="3" l="1"/>
  <c r="D234" i="3"/>
  <c r="E234" i="3" s="1"/>
  <c r="A233" i="3" a="1"/>
  <c r="A233" i="3" s="1"/>
  <c r="B233" i="3"/>
  <c r="C233" i="3" s="1"/>
  <c r="F233" i="3"/>
  <c r="H233" i="3"/>
  <c r="J233" i="3"/>
  <c r="K233" i="3"/>
  <c r="L233" i="3"/>
  <c r="A233" i="2" a="1"/>
  <c r="A233" i="2" s="1"/>
  <c r="B233" i="2"/>
  <c r="C233" i="2" s="1"/>
  <c r="D233" i="2"/>
  <c r="E233" i="2"/>
  <c r="F233" i="2"/>
  <c r="H233" i="2"/>
  <c r="J233" i="2"/>
  <c r="K233" i="2"/>
  <c r="L233" i="2"/>
  <c r="A241" i="1" a="1"/>
  <c r="A241" i="1" s="1"/>
  <c r="B241" i="1"/>
  <c r="C241" i="1" s="1"/>
  <c r="D241" i="1"/>
  <c r="E241" i="1" s="1"/>
  <c r="F241" i="1"/>
  <c r="H241" i="1"/>
  <c r="J241" i="1"/>
  <c r="K241" i="1"/>
  <c r="L241" i="1"/>
  <c r="D233" i="3" l="1"/>
  <c r="E233" i="3" s="1"/>
  <c r="A232" i="3" a="1"/>
  <c r="A232" i="3" s="1"/>
  <c r="B232" i="3"/>
  <c r="C232" i="3" s="1"/>
  <c r="D232" i="3"/>
  <c r="E232" i="3" s="1"/>
  <c r="F232" i="3"/>
  <c r="H232" i="3"/>
  <c r="J232" i="3"/>
  <c r="K232" i="3"/>
  <c r="L232" i="3"/>
  <c r="A232" i="2" a="1"/>
  <c r="A232" i="2" s="1"/>
  <c r="B232" i="2"/>
  <c r="C232" i="2"/>
  <c r="D232" i="2"/>
  <c r="E232" i="2" s="1"/>
  <c r="F232" i="2"/>
  <c r="H232" i="2"/>
  <c r="J232" i="2"/>
  <c r="K232" i="2"/>
  <c r="L232" i="2"/>
  <c r="A240" i="1" a="1"/>
  <c r="A240" i="1" s="1"/>
  <c r="B240" i="1"/>
  <c r="C240" i="1" s="1"/>
  <c r="D240" i="1"/>
  <c r="E240" i="1" s="1"/>
  <c r="F240" i="1"/>
  <c r="H240" i="1"/>
  <c r="J240" i="1"/>
  <c r="K240" i="1"/>
  <c r="L240" i="1"/>
  <c r="J231" i="3" l="1"/>
  <c r="K231" i="3"/>
  <c r="H231" i="3"/>
  <c r="B231" i="3"/>
  <c r="J231" i="2"/>
  <c r="K231" i="2"/>
  <c r="E231" i="2" s="1"/>
  <c r="L231" i="2"/>
  <c r="H231" i="2"/>
  <c r="B231" i="2"/>
  <c r="C231" i="2"/>
  <c r="D231" i="2"/>
  <c r="F231" i="2"/>
  <c r="B239" i="1"/>
  <c r="L239" i="1" s="1"/>
  <c r="C239" i="1"/>
  <c r="D239" i="1"/>
  <c r="E239" i="1" s="1"/>
  <c r="H239" i="1"/>
  <c r="J239" i="1"/>
  <c r="K239" i="1"/>
  <c r="D231" i="3" l="1"/>
  <c r="E231" i="3" s="1"/>
  <c r="C231" i="3"/>
  <c r="A231" i="2" a="1"/>
  <c r="A231" i="2" s="1"/>
  <c r="F239" i="1"/>
  <c r="A239" i="1" s="1" a="1"/>
  <c r="A239" i="1" s="1"/>
  <c r="B230" i="3"/>
  <c r="F230" i="3"/>
  <c r="H230" i="3"/>
  <c r="J230" i="3"/>
  <c r="K230" i="3"/>
  <c r="B230" i="2"/>
  <c r="L230" i="2" s="1"/>
  <c r="C230" i="2"/>
  <c r="D230" i="2"/>
  <c r="H230" i="2"/>
  <c r="J230" i="2"/>
  <c r="K230" i="2"/>
  <c r="B238" i="1"/>
  <c r="D238" i="1" s="1"/>
  <c r="E238" i="1" s="1"/>
  <c r="H238" i="1"/>
  <c r="J238" i="1"/>
  <c r="K238" i="1"/>
  <c r="C230" i="3" l="1"/>
  <c r="L231" i="3"/>
  <c r="F231" i="3"/>
  <c r="L230" i="3"/>
  <c r="D230" i="3"/>
  <c r="E230" i="3" s="1"/>
  <c r="A230" i="3" s="1" a="1"/>
  <c r="A230" i="3" s="1"/>
  <c r="A231" i="3" s="1" a="1"/>
  <c r="A231" i="3" s="1"/>
  <c r="E230" i="2"/>
  <c r="F230" i="2"/>
  <c r="L238" i="1"/>
  <c r="F238" i="1"/>
  <c r="C238" i="1"/>
  <c r="A238" i="1" a="1"/>
  <c r="A238" i="1" s="1"/>
  <c r="A229" i="3" a="1"/>
  <c r="A229" i="3" s="1"/>
  <c r="B229" i="3"/>
  <c r="C229" i="3"/>
  <c r="D229" i="3"/>
  <c r="E229" i="3" s="1"/>
  <c r="F229" i="3"/>
  <c r="H229" i="3"/>
  <c r="J229" i="3"/>
  <c r="K229" i="3"/>
  <c r="L229" i="3"/>
  <c r="A229" i="2" a="1"/>
  <c r="A229" i="2" s="1"/>
  <c r="B229" i="2"/>
  <c r="C229" i="2" s="1"/>
  <c r="H229" i="2"/>
  <c r="J229" i="2"/>
  <c r="K229" i="2"/>
  <c r="A237" i="1" a="1"/>
  <c r="A237" i="1" s="1"/>
  <c r="B237" i="1"/>
  <c r="C237" i="1" s="1"/>
  <c r="D237" i="1"/>
  <c r="E237" i="1" s="1"/>
  <c r="F237" i="1"/>
  <c r="H237" i="1"/>
  <c r="J237" i="1"/>
  <c r="K237" i="1"/>
  <c r="L237" i="1"/>
  <c r="A230" i="2" l="1" a="1"/>
  <c r="A230" i="2" s="1"/>
  <c r="L229" i="2"/>
  <c r="F229" i="2"/>
  <c r="D229" i="2"/>
  <c r="E229" i="2" s="1"/>
  <c r="A228" i="3" a="1"/>
  <c r="A228" i="3" s="1"/>
  <c r="B228" i="3"/>
  <c r="C228" i="3"/>
  <c r="D228" i="3"/>
  <c r="E228" i="3" s="1"/>
  <c r="F228" i="3"/>
  <c r="H228" i="3"/>
  <c r="J228" i="3"/>
  <c r="K228" i="3"/>
  <c r="L228" i="3"/>
  <c r="A228" i="2" a="1"/>
  <c r="A228" i="2" s="1"/>
  <c r="B228" i="2"/>
  <c r="C228" i="2" s="1"/>
  <c r="F228" i="2"/>
  <c r="H228" i="2"/>
  <c r="J228" i="2"/>
  <c r="K228" i="2"/>
  <c r="L228" i="2"/>
  <c r="A236" i="1" a="1"/>
  <c r="A236" i="1" s="1"/>
  <c r="B236" i="1"/>
  <c r="D236" i="1" s="1"/>
  <c r="E236" i="1" s="1"/>
  <c r="C236" i="1"/>
  <c r="F236" i="1"/>
  <c r="H236" i="1"/>
  <c r="J236" i="1"/>
  <c r="K236" i="1"/>
  <c r="L236" i="1"/>
  <c r="D228" i="2" l="1"/>
  <c r="E228" i="2" s="1"/>
  <c r="A227" i="3" a="1"/>
  <c r="A227" i="3" s="1"/>
  <c r="B227" i="3"/>
  <c r="C227" i="3" s="1"/>
  <c r="F227" i="3"/>
  <c r="H227" i="3"/>
  <c r="J227" i="3"/>
  <c r="K227" i="3"/>
  <c r="L227" i="3"/>
  <c r="A227" i="2" a="1"/>
  <c r="A227" i="2" s="1"/>
  <c r="B227" i="2"/>
  <c r="C227" i="2"/>
  <c r="D227" i="2"/>
  <c r="E227" i="2" s="1"/>
  <c r="F227" i="2"/>
  <c r="H227" i="2"/>
  <c r="J227" i="2"/>
  <c r="K227" i="2"/>
  <c r="L227" i="2"/>
  <c r="A235" i="1" a="1"/>
  <c r="A235" i="1" s="1"/>
  <c r="B235" i="1"/>
  <c r="C235" i="1" s="1"/>
  <c r="F235" i="1"/>
  <c r="H235" i="1"/>
  <c r="J235" i="1"/>
  <c r="K235" i="1"/>
  <c r="L235" i="1"/>
  <c r="D227" i="3" l="1"/>
  <c r="E227" i="3" s="1"/>
  <c r="D235" i="1"/>
  <c r="E235" i="1" s="1"/>
  <c r="A226" i="3" a="1"/>
  <c r="A226" i="3" s="1"/>
  <c r="B226" i="3"/>
  <c r="C226" i="3" s="1"/>
  <c r="F226" i="3"/>
  <c r="H226" i="3"/>
  <c r="J226" i="3"/>
  <c r="K226" i="3"/>
  <c r="L226" i="3"/>
  <c r="A226" i="2" a="1"/>
  <c r="A226" i="2" s="1"/>
  <c r="B226" i="2"/>
  <c r="C226" i="2" s="1"/>
  <c r="H226" i="2"/>
  <c r="J226" i="2"/>
  <c r="K226" i="2"/>
  <c r="L226" i="2"/>
  <c r="A234" i="1" a="1"/>
  <c r="A234" i="1" s="1"/>
  <c r="B234" i="1"/>
  <c r="C234" i="1"/>
  <c r="D234" i="1"/>
  <c r="E234" i="1" s="1"/>
  <c r="F234" i="1"/>
  <c r="H234" i="1"/>
  <c r="J234" i="1"/>
  <c r="K234" i="1"/>
  <c r="L234" i="1"/>
  <c r="D226" i="3" l="1"/>
  <c r="E226" i="3" s="1"/>
  <c r="F226" i="2"/>
  <c r="D226" i="2"/>
  <c r="E226" i="2" s="1"/>
  <c r="A225" i="3" a="1"/>
  <c r="A225" i="3" s="1"/>
  <c r="B225" i="3"/>
  <c r="C225" i="3"/>
  <c r="D225" i="3"/>
  <c r="E225" i="3" s="1"/>
  <c r="F225" i="3"/>
  <c r="H225" i="3"/>
  <c r="J225" i="3"/>
  <c r="K225" i="3"/>
  <c r="L225" i="3"/>
  <c r="A225" i="2" a="1"/>
  <c r="A225" i="2" s="1"/>
  <c r="B225" i="2"/>
  <c r="C225" i="2"/>
  <c r="D225" i="2"/>
  <c r="E225" i="2" s="1"/>
  <c r="F225" i="2"/>
  <c r="H225" i="2"/>
  <c r="J225" i="2"/>
  <c r="K225" i="2"/>
  <c r="L225" i="2"/>
  <c r="A233" i="1" a="1"/>
  <c r="A233" i="1" s="1"/>
  <c r="B233" i="1"/>
  <c r="C233" i="1" s="1"/>
  <c r="D233" i="1"/>
  <c r="E233" i="1" s="1"/>
  <c r="F233" i="1"/>
  <c r="H233" i="1"/>
  <c r="J233" i="1"/>
  <c r="K233" i="1"/>
  <c r="L233" i="1"/>
  <c r="A224" i="3" l="1" a="1"/>
  <c r="A224" i="3" s="1"/>
  <c r="B224" i="3"/>
  <c r="C224" i="3" s="1"/>
  <c r="D224" i="3"/>
  <c r="E224" i="3" s="1"/>
  <c r="F224" i="3"/>
  <c r="H224" i="3"/>
  <c r="J224" i="3"/>
  <c r="K224" i="3"/>
  <c r="L224" i="3"/>
  <c r="A224" i="2" a="1"/>
  <c r="A224" i="2" s="1"/>
  <c r="B224" i="2"/>
  <c r="C224" i="2"/>
  <c r="D224" i="2"/>
  <c r="E224" i="2" s="1"/>
  <c r="F224" i="2"/>
  <c r="H224" i="2"/>
  <c r="J224" i="2"/>
  <c r="K224" i="2"/>
  <c r="L224" i="2"/>
  <c r="A232" i="1" a="1"/>
  <c r="A232" i="1" s="1"/>
  <c r="B232" i="1"/>
  <c r="C232" i="1" s="1"/>
  <c r="F232" i="1"/>
  <c r="H232" i="1"/>
  <c r="J232" i="1"/>
  <c r="K232" i="1"/>
  <c r="L232" i="1"/>
  <c r="D232" i="1" l="1"/>
  <c r="E232" i="1" s="1"/>
  <c r="A223" i="3" a="1"/>
  <c r="A223" i="3" s="1"/>
  <c r="B223" i="3"/>
  <c r="C223" i="3"/>
  <c r="D223" i="3"/>
  <c r="E223" i="3" s="1"/>
  <c r="F223" i="3"/>
  <c r="H223" i="3"/>
  <c r="J223" i="3"/>
  <c r="K223" i="3"/>
  <c r="L223" i="3"/>
  <c r="A223" i="2" a="1"/>
  <c r="A223" i="2" s="1"/>
  <c r="B223" i="2"/>
  <c r="L223" i="2" s="1"/>
  <c r="C223" i="2"/>
  <c r="D223" i="2"/>
  <c r="E223" i="2" s="1"/>
  <c r="F223" i="2"/>
  <c r="H223" i="2"/>
  <c r="J223" i="2"/>
  <c r="K223" i="2"/>
  <c r="A231" i="1" a="1"/>
  <c r="A231" i="1" s="1"/>
  <c r="B231" i="1"/>
  <c r="C231" i="1" s="1"/>
  <c r="H231" i="1"/>
  <c r="J231" i="1"/>
  <c r="K231" i="1"/>
  <c r="L231" i="1" l="1"/>
  <c r="F231" i="1"/>
  <c r="D231" i="1"/>
  <c r="E231" i="1" s="1"/>
  <c r="A222" i="3" a="1"/>
  <c r="A222" i="3" s="1"/>
  <c r="B222" i="3"/>
  <c r="C222" i="3" s="1"/>
  <c r="D222" i="3"/>
  <c r="E222" i="3"/>
  <c r="F222" i="3"/>
  <c r="H222" i="3"/>
  <c r="J222" i="3"/>
  <c r="K222" i="3"/>
  <c r="L222" i="3"/>
  <c r="A222" i="2" a="1"/>
  <c r="A222" i="2" s="1"/>
  <c r="B222" i="2"/>
  <c r="C222" i="2"/>
  <c r="D222" i="2"/>
  <c r="E222" i="2" s="1"/>
  <c r="F222" i="2"/>
  <c r="H222" i="2"/>
  <c r="J222" i="2"/>
  <c r="K222" i="2"/>
  <c r="L222" i="2"/>
  <c r="A230" i="1" a="1"/>
  <c r="A230" i="1" s="1"/>
  <c r="B230" i="1"/>
  <c r="C230" i="1"/>
  <c r="D230" i="1"/>
  <c r="E230" i="1" s="1"/>
  <c r="F230" i="1"/>
  <c r="H230" i="1"/>
  <c r="J230" i="1"/>
  <c r="K230" i="1"/>
  <c r="L230" i="1"/>
  <c r="A221" i="3" l="1" a="1"/>
  <c r="A221" i="3" s="1"/>
  <c r="B221" i="3"/>
  <c r="C221" i="3"/>
  <c r="D221" i="3"/>
  <c r="E221" i="3"/>
  <c r="F221" i="3"/>
  <c r="H221" i="3"/>
  <c r="J221" i="3"/>
  <c r="K221" i="3"/>
  <c r="L221" i="3"/>
  <c r="A221" i="2" a="1"/>
  <c r="A221" i="2" s="1"/>
  <c r="B221" i="2"/>
  <c r="C221" i="2"/>
  <c r="D221" i="2"/>
  <c r="E221" i="2" s="1"/>
  <c r="F221" i="2"/>
  <c r="H221" i="2"/>
  <c r="J221" i="2"/>
  <c r="K221" i="2"/>
  <c r="L221" i="2"/>
  <c r="A229" i="1" a="1"/>
  <c r="A229" i="1" s="1"/>
  <c r="B229" i="1"/>
  <c r="C229" i="1"/>
  <c r="D229" i="1"/>
  <c r="E229" i="1" s="1"/>
  <c r="F229" i="1"/>
  <c r="H229" i="1"/>
  <c r="J229" i="1"/>
  <c r="K229" i="1"/>
  <c r="L229" i="1"/>
  <c r="A220" i="3" l="1" a="1"/>
  <c r="A220" i="3" s="1"/>
  <c r="B220" i="3"/>
  <c r="C220" i="3" s="1"/>
  <c r="D220" i="3"/>
  <c r="E220" i="3" s="1"/>
  <c r="F220" i="3"/>
  <c r="H220" i="3"/>
  <c r="J220" i="3"/>
  <c r="K220" i="3"/>
  <c r="L220" i="3"/>
  <c r="A220" i="2" a="1"/>
  <c r="A220" i="2" s="1"/>
  <c r="B220" i="2"/>
  <c r="C220" i="2"/>
  <c r="D220" i="2"/>
  <c r="E220" i="2" s="1"/>
  <c r="F220" i="2"/>
  <c r="H220" i="2"/>
  <c r="J220" i="2"/>
  <c r="K220" i="2"/>
  <c r="L220" i="2"/>
  <c r="A228" i="1" a="1"/>
  <c r="A228" i="1" s="1"/>
  <c r="B228" i="1"/>
  <c r="C228" i="1" s="1"/>
  <c r="F228" i="1"/>
  <c r="H228" i="1"/>
  <c r="J228" i="1"/>
  <c r="K228" i="1"/>
  <c r="L228" i="1" l="1"/>
  <c r="D228" i="1"/>
  <c r="E228" i="1" s="1"/>
  <c r="G166" i="4"/>
  <c r="B166" i="4" s="1"/>
  <c r="L167" i="4" l="1"/>
  <c r="F167" i="4"/>
  <c r="D167" i="4"/>
  <c r="E167" i="4" s="1"/>
  <c r="C166" i="4"/>
  <c r="A219" i="3" a="1"/>
  <c r="A219" i="3" s="1"/>
  <c r="B219" i="3"/>
  <c r="D219" i="3" s="1"/>
  <c r="E219" i="3" s="1"/>
  <c r="H219" i="3"/>
  <c r="J219" i="3"/>
  <c r="K219" i="3"/>
  <c r="A219" i="2" a="1"/>
  <c r="A219" i="2" s="1"/>
  <c r="B219" i="2"/>
  <c r="C219" i="2"/>
  <c r="D219" i="2"/>
  <c r="E219" i="2" s="1"/>
  <c r="F219" i="2"/>
  <c r="H219" i="2"/>
  <c r="J219" i="2"/>
  <c r="K219" i="2"/>
  <c r="L219" i="2"/>
  <c r="A227" i="1" a="1"/>
  <c r="A227" i="1" s="1"/>
  <c r="B227" i="1"/>
  <c r="C227" i="1"/>
  <c r="D227" i="1"/>
  <c r="E227" i="1"/>
  <c r="F227" i="1"/>
  <c r="H227" i="1"/>
  <c r="J227" i="1"/>
  <c r="K227" i="1"/>
  <c r="L227" i="1"/>
  <c r="C219" i="3" l="1"/>
  <c r="F219" i="3"/>
  <c r="L219" i="3"/>
  <c r="G165" i="4"/>
  <c r="H166" i="4" l="1"/>
  <c r="B165" i="4"/>
  <c r="C165" i="4" s="1"/>
  <c r="A218" i="3" a="1"/>
  <c r="A218" i="3" s="1"/>
  <c r="B218" i="3"/>
  <c r="C218" i="3"/>
  <c r="D218" i="3"/>
  <c r="E218" i="3" s="1"/>
  <c r="F218" i="3"/>
  <c r="H218" i="3"/>
  <c r="J218" i="3"/>
  <c r="K218" i="3"/>
  <c r="L218" i="3"/>
  <c r="A218" i="2" a="1"/>
  <c r="A218" i="2" s="1"/>
  <c r="B218" i="2"/>
  <c r="C218" i="2" s="1"/>
  <c r="D218" i="2"/>
  <c r="E218" i="2" s="1"/>
  <c r="F218" i="2"/>
  <c r="H218" i="2"/>
  <c r="J218" i="2"/>
  <c r="K218" i="2"/>
  <c r="L218" i="2"/>
  <c r="A226" i="1" a="1"/>
  <c r="A226" i="1" s="1"/>
  <c r="B226" i="1"/>
  <c r="C226" i="1"/>
  <c r="D226" i="1"/>
  <c r="E226" i="1" s="1"/>
  <c r="F226" i="1"/>
  <c r="H226" i="1"/>
  <c r="J226" i="1"/>
  <c r="K226" i="1"/>
  <c r="L226" i="1"/>
  <c r="F166" i="4" l="1"/>
  <c r="D166" i="4"/>
  <c r="G164" i="4"/>
  <c r="B164" i="4" l="1"/>
  <c r="F165" i="4" s="1"/>
  <c r="H165" i="4"/>
  <c r="D165" i="4"/>
  <c r="A217" i="3" a="1"/>
  <c r="A217" i="3" s="1"/>
  <c r="B217" i="3"/>
  <c r="C217" i="3" s="1"/>
  <c r="D217" i="3"/>
  <c r="E217" i="3" s="1"/>
  <c r="F217" i="3"/>
  <c r="H217" i="3"/>
  <c r="J217" i="3"/>
  <c r="K217" i="3"/>
  <c r="L217" i="3"/>
  <c r="A217" i="2" a="1"/>
  <c r="A217" i="2" s="1"/>
  <c r="B217" i="2"/>
  <c r="C217" i="2" s="1"/>
  <c r="D217" i="2"/>
  <c r="E217" i="2" s="1"/>
  <c r="F217" i="2"/>
  <c r="H217" i="2"/>
  <c r="J217" i="2"/>
  <c r="K217" i="2"/>
  <c r="L217" i="2"/>
  <c r="A225" i="1" a="1"/>
  <c r="A225" i="1" s="1"/>
  <c r="B225" i="1"/>
  <c r="C225" i="1"/>
  <c r="D225" i="1"/>
  <c r="E225" i="1" s="1"/>
  <c r="F225" i="1"/>
  <c r="H225" i="1"/>
  <c r="J225" i="1"/>
  <c r="K225" i="1"/>
  <c r="L225" i="1"/>
  <c r="C164" i="4" l="1"/>
  <c r="G163" i="4"/>
  <c r="H163" i="4" l="1"/>
  <c r="H164" i="4"/>
  <c r="B163" i="4"/>
  <c r="C163" i="4" s="1"/>
  <c r="A216" i="3" a="1"/>
  <c r="A216" i="3" s="1"/>
  <c r="B216" i="3"/>
  <c r="C216" i="3" s="1"/>
  <c r="D216" i="3"/>
  <c r="E216" i="3" s="1"/>
  <c r="F216" i="3"/>
  <c r="H216" i="3"/>
  <c r="J216" i="3"/>
  <c r="K216" i="3"/>
  <c r="L216" i="3"/>
  <c r="A216" i="2" a="1"/>
  <c r="A216" i="2" s="1"/>
  <c r="B216" i="2"/>
  <c r="C216" i="2"/>
  <c r="D216" i="2"/>
  <c r="E216" i="2" s="1"/>
  <c r="F216" i="2"/>
  <c r="H216" i="2"/>
  <c r="J216" i="2"/>
  <c r="K216" i="2"/>
  <c r="L216" i="2"/>
  <c r="A224" i="1" a="1"/>
  <c r="A224" i="1" s="1"/>
  <c r="B224" i="1"/>
  <c r="D224" i="1" s="1"/>
  <c r="E224" i="1" s="1"/>
  <c r="H224" i="1"/>
  <c r="J224" i="1"/>
  <c r="K224" i="1"/>
  <c r="F164" i="4" l="1"/>
  <c r="D164" i="4"/>
  <c r="L224" i="1"/>
  <c r="F224" i="1"/>
  <c r="C224" i="1"/>
  <c r="A215" i="3" l="1" a="1"/>
  <c r="A215" i="3" s="1"/>
  <c r="B215" i="3"/>
  <c r="C215" i="3"/>
  <c r="D215" i="3"/>
  <c r="E215" i="3" s="1"/>
  <c r="F215" i="3"/>
  <c r="H215" i="3"/>
  <c r="J215" i="3"/>
  <c r="K215" i="3"/>
  <c r="L215" i="3"/>
  <c r="A215" i="2" a="1"/>
  <c r="A215" i="2" s="1"/>
  <c r="B215" i="2"/>
  <c r="C215" i="2"/>
  <c r="D215" i="2"/>
  <c r="E215" i="2" s="1"/>
  <c r="F215" i="2"/>
  <c r="H215" i="2"/>
  <c r="J215" i="2"/>
  <c r="K215" i="2"/>
  <c r="L215" i="2"/>
  <c r="A223" i="1" a="1"/>
  <c r="A223" i="1" s="1"/>
  <c r="B223" i="1"/>
  <c r="C223" i="1"/>
  <c r="D223" i="1"/>
  <c r="E223" i="1" s="1"/>
  <c r="F223" i="1"/>
  <c r="H223" i="1"/>
  <c r="J223" i="1"/>
  <c r="K223" i="1"/>
  <c r="L223" i="1"/>
  <c r="F163" i="4" l="1"/>
  <c r="D163" i="4"/>
  <c r="G161" i="4"/>
  <c r="H162" i="4" s="1"/>
  <c r="H161" i="4"/>
  <c r="B161" i="4" l="1"/>
  <c r="C161" i="4" s="1"/>
  <c r="A214" i="3" a="1"/>
  <c r="A214" i="3" s="1"/>
  <c r="B214" i="3"/>
  <c r="C214" i="3"/>
  <c r="D214" i="3"/>
  <c r="E214" i="3"/>
  <c r="F214" i="3"/>
  <c r="H214" i="3"/>
  <c r="J214" i="3"/>
  <c r="K214" i="3"/>
  <c r="L214" i="3"/>
  <c r="A214" i="2" a="1"/>
  <c r="A214" i="2" s="1"/>
  <c r="B214" i="2"/>
  <c r="C214" i="2"/>
  <c r="D214" i="2"/>
  <c r="E214" i="2" s="1"/>
  <c r="F214" i="2"/>
  <c r="H214" i="2"/>
  <c r="J214" i="2"/>
  <c r="K214" i="2"/>
  <c r="L214" i="2"/>
  <c r="A222" i="1" a="1"/>
  <c r="A222" i="1" s="1"/>
  <c r="B222" i="1"/>
  <c r="C222" i="1" s="1"/>
  <c r="F222" i="1"/>
  <c r="H222" i="1"/>
  <c r="J222" i="1"/>
  <c r="K222" i="1"/>
  <c r="L222" i="1"/>
  <c r="D162" i="4" l="1"/>
  <c r="F162" i="4"/>
  <c r="D161" i="4"/>
  <c r="F161" i="4"/>
  <c r="D222" i="1"/>
  <c r="E222" i="1" s="1"/>
  <c r="K73" i="4"/>
  <c r="J73" i="4"/>
  <c r="K72" i="4"/>
  <c r="J72" i="4"/>
  <c r="K71" i="4"/>
  <c r="J71" i="4"/>
  <c r="U119" i="4"/>
  <c r="U71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 l="1"/>
  <c r="C213" i="3"/>
  <c r="D213" i="3"/>
  <c r="E213" i="3"/>
  <c r="F213" i="3"/>
  <c r="H213" i="3"/>
  <c r="J213" i="3"/>
  <c r="K213" i="3"/>
  <c r="L213" i="3"/>
  <c r="B213" i="2"/>
  <c r="C213" i="2"/>
  <c r="D213" i="2"/>
  <c r="E213" i="2" s="1"/>
  <c r="F213" i="2"/>
  <c r="H213" i="2"/>
  <c r="J213" i="2"/>
  <c r="K213" i="2"/>
  <c r="L213" i="2"/>
  <c r="A221" i="1" a="1"/>
  <c r="A221" i="1" s="1"/>
  <c r="B221" i="1"/>
  <c r="C221" i="1"/>
  <c r="D221" i="1"/>
  <c r="E221" i="1"/>
  <c r="F221" i="1"/>
  <c r="H221" i="1"/>
  <c r="J221" i="1"/>
  <c r="K221" i="1"/>
  <c r="L221" i="1"/>
  <c r="B159" i="4" l="1"/>
  <c r="G159" i="4"/>
  <c r="J159" i="4"/>
  <c r="K159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 s="1"/>
  <c r="B220" i="1"/>
  <c r="L220" i="1" s="1"/>
  <c r="C220" i="1"/>
  <c r="D220" i="1"/>
  <c r="E220" i="1" s="1"/>
  <c r="F220" i="1"/>
  <c r="H220" i="1"/>
  <c r="J220" i="1"/>
  <c r="K220" i="1"/>
  <c r="H160" i="4" l="1"/>
  <c r="C159" i="4"/>
  <c r="D160" i="4"/>
  <c r="F160" i="4"/>
  <c r="I157" i="4"/>
  <c r="J157" i="4" s="1"/>
  <c r="B158" i="4" l="1"/>
  <c r="G158" i="4"/>
  <c r="H159" i="4" s="1"/>
  <c r="J158" i="4"/>
  <c r="K158" i="4"/>
  <c r="B211" i="3"/>
  <c r="C211" i="3" s="1"/>
  <c r="D211" i="3"/>
  <c r="F211" i="3"/>
  <c r="H211" i="3"/>
  <c r="E211" i="3"/>
  <c r="B211" i="2"/>
  <c r="C211" i="2"/>
  <c r="D211" i="2"/>
  <c r="F211" i="2"/>
  <c r="H211" i="2"/>
  <c r="A219" i="1" a="1"/>
  <c r="A219" i="1" s="1"/>
  <c r="B219" i="1"/>
  <c r="C219" i="1"/>
  <c r="D219" i="1"/>
  <c r="E219" i="1" s="1"/>
  <c r="F219" i="1"/>
  <c r="H219" i="1"/>
  <c r="J219" i="1"/>
  <c r="K219" i="1"/>
  <c r="L219" i="1"/>
  <c r="C158" i="4" l="1"/>
  <c r="F159" i="4"/>
  <c r="L159" i="4"/>
  <c r="D159" i="4"/>
  <c r="E159" i="4" s="1"/>
  <c r="B157" i="4"/>
  <c r="G157" i="4"/>
  <c r="K157" i="4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 s="1"/>
  <c r="B218" i="1"/>
  <c r="C218" i="1"/>
  <c r="D218" i="1"/>
  <c r="E218" i="1" s="1"/>
  <c r="F218" i="1"/>
  <c r="H218" i="1"/>
  <c r="J218" i="1"/>
  <c r="K218" i="1"/>
  <c r="L218" i="1"/>
  <c r="F158" i="4" l="1"/>
  <c r="C157" i="4"/>
  <c r="D158" i="4"/>
  <c r="E158" i="4" s="1"/>
  <c r="L158" i="4"/>
  <c r="H158" i="4"/>
  <c r="A210" i="2" a="1"/>
  <c r="A210" i="2" s="1"/>
  <c r="A211" i="2" s="1" a="1"/>
  <c r="A211" i="2" s="1"/>
  <c r="A212" i="2" s="1" a="1"/>
  <c r="A212" i="2" s="1"/>
  <c r="A213" i="2" s="1" a="1"/>
  <c r="A213" i="2" s="1"/>
  <c r="A210" i="3" a="1"/>
  <c r="A210" i="3" s="1"/>
  <c r="A211" i="3" s="1" a="1"/>
  <c r="A211" i="3" s="1"/>
  <c r="A212" i="3" s="1" a="1"/>
  <c r="A212" i="3" s="1"/>
  <c r="A213" i="3" s="1" a="1"/>
  <c r="A213" i="3" s="1"/>
  <c r="B156" i="4"/>
  <c r="D157" i="4" s="1"/>
  <c r="E157" i="4" s="1"/>
  <c r="G156" i="4"/>
  <c r="J156" i="4"/>
  <c r="K156" i="4"/>
  <c r="A209" i="3" a="1"/>
  <c r="A209" i="3" s="1"/>
  <c r="B209" i="3"/>
  <c r="C209" i="3" s="1"/>
  <c r="D209" i="3"/>
  <c r="E209" i="3" s="1"/>
  <c r="F209" i="3"/>
  <c r="H209" i="3"/>
  <c r="J209" i="3"/>
  <c r="K209" i="3"/>
  <c r="L209" i="3"/>
  <c r="A209" i="2" a="1"/>
  <c r="A209" i="2" s="1"/>
  <c r="B209" i="2"/>
  <c r="C209" i="2" s="1"/>
  <c r="D209" i="2"/>
  <c r="E209" i="2" s="1"/>
  <c r="F209" i="2"/>
  <c r="H209" i="2"/>
  <c r="J209" i="2"/>
  <c r="K209" i="2"/>
  <c r="L209" i="2"/>
  <c r="A217" i="1" a="1"/>
  <c r="A217" i="1" s="1"/>
  <c r="B217" i="1"/>
  <c r="C217" i="1"/>
  <c r="D217" i="1"/>
  <c r="E217" i="1"/>
  <c r="F217" i="1"/>
  <c r="H217" i="1"/>
  <c r="J217" i="1"/>
  <c r="K217" i="1"/>
  <c r="L217" i="1"/>
  <c r="H156" i="4" l="1"/>
  <c r="F157" i="4"/>
  <c r="L157" i="4"/>
  <c r="H157" i="4"/>
  <c r="C156" i="4"/>
  <c r="B155" i="4"/>
  <c r="F156" i="4" s="1"/>
  <c r="C155" i="4"/>
  <c r="G155" i="4"/>
  <c r="J155" i="4"/>
  <c r="K155" i="4"/>
  <c r="A208" i="3" a="1"/>
  <c r="A208" i="3" s="1"/>
  <c r="B208" i="3"/>
  <c r="C208" i="3" s="1"/>
  <c r="F208" i="3"/>
  <c r="H208" i="3"/>
  <c r="J208" i="3"/>
  <c r="K208" i="3"/>
  <c r="L208" i="3"/>
  <c r="A208" i="2" a="1"/>
  <c r="A208" i="2" s="1"/>
  <c r="B208" i="2"/>
  <c r="C208" i="2"/>
  <c r="D208" i="2"/>
  <c r="E208" i="2" s="1"/>
  <c r="F208" i="2"/>
  <c r="H208" i="2"/>
  <c r="J208" i="2"/>
  <c r="K208" i="2"/>
  <c r="L208" i="2"/>
  <c r="A216" i="1" a="1"/>
  <c r="A216" i="1" s="1"/>
  <c r="B216" i="1"/>
  <c r="C216" i="1" s="1"/>
  <c r="H216" i="1"/>
  <c r="J216" i="1"/>
  <c r="K216" i="1"/>
  <c r="L156" i="4" l="1"/>
  <c r="D156" i="4"/>
  <c r="E156" i="4" s="1"/>
  <c r="D208" i="3"/>
  <c r="E208" i="3" s="1"/>
  <c r="L216" i="1"/>
  <c r="F216" i="1"/>
  <c r="D216" i="1"/>
  <c r="E216" i="1" s="1"/>
  <c r="B154" i="4"/>
  <c r="C154" i="4" s="1"/>
  <c r="G154" i="4"/>
  <c r="H155" i="4" s="1"/>
  <c r="J154" i="4"/>
  <c r="K154" i="4"/>
  <c r="A207" i="3" a="1"/>
  <c r="A207" i="3" s="1"/>
  <c r="B207" i="3"/>
  <c r="C207" i="3"/>
  <c r="D207" i="3"/>
  <c r="E207" i="3"/>
  <c r="F207" i="3"/>
  <c r="H207" i="3"/>
  <c r="J207" i="3"/>
  <c r="K207" i="3"/>
  <c r="L207" i="3"/>
  <c r="A207" i="2" a="1"/>
  <c r="A207" i="2" s="1"/>
  <c r="B207" i="2"/>
  <c r="C207" i="2"/>
  <c r="D207" i="2"/>
  <c r="E207" i="2" s="1"/>
  <c r="F207" i="2"/>
  <c r="H207" i="2"/>
  <c r="J207" i="2"/>
  <c r="K207" i="2"/>
  <c r="L207" i="2"/>
  <c r="A215" i="1" a="1"/>
  <c r="A215" i="1" s="1"/>
  <c r="B215" i="1"/>
  <c r="C215" i="1"/>
  <c r="D215" i="1"/>
  <c r="E215" i="1" s="1"/>
  <c r="F215" i="1"/>
  <c r="H215" i="1"/>
  <c r="J215" i="1"/>
  <c r="K215" i="1"/>
  <c r="L215" i="1"/>
  <c r="F155" i="4" l="1"/>
  <c r="L155" i="4"/>
  <c r="D155" i="4"/>
  <c r="E155" i="4" s="1"/>
  <c r="G153" i="4"/>
  <c r="H154" i="4" s="1"/>
  <c r="J153" i="4"/>
  <c r="K153" i="4"/>
  <c r="A206" i="3" a="1"/>
  <c r="A206" i="3" s="1"/>
  <c r="B206" i="3"/>
  <c r="C206" i="3" s="1"/>
  <c r="D206" i="3"/>
  <c r="E206" i="3" s="1"/>
  <c r="F206" i="3"/>
  <c r="H206" i="3"/>
  <c r="J206" i="3"/>
  <c r="K206" i="3"/>
  <c r="L206" i="3"/>
  <c r="A206" i="2" a="1"/>
  <c r="A206" i="2" s="1"/>
  <c r="B206" i="2"/>
  <c r="C206" i="2"/>
  <c r="D206" i="2"/>
  <c r="E206" i="2" s="1"/>
  <c r="F206" i="2"/>
  <c r="H206" i="2"/>
  <c r="J206" i="2"/>
  <c r="K206" i="2"/>
  <c r="L206" i="2"/>
  <c r="A214" i="1" a="1"/>
  <c r="A214" i="1" s="1"/>
  <c r="B214" i="1"/>
  <c r="C214" i="1" s="1"/>
  <c r="D214" i="1"/>
  <c r="E214" i="1" s="1"/>
  <c r="F214" i="1"/>
  <c r="H214" i="1"/>
  <c r="J214" i="1"/>
  <c r="K214" i="1"/>
  <c r="L214" i="1"/>
  <c r="B153" i="4" l="1"/>
  <c r="G152" i="4"/>
  <c r="H153" i="4" s="1"/>
  <c r="J152" i="4"/>
  <c r="K152" i="4"/>
  <c r="A205" i="3" a="1"/>
  <c r="A205" i="3" s="1"/>
  <c r="B205" i="3"/>
  <c r="C205" i="3"/>
  <c r="D205" i="3"/>
  <c r="E205" i="3" s="1"/>
  <c r="F205" i="3"/>
  <c r="H205" i="3"/>
  <c r="J205" i="3"/>
  <c r="K205" i="3"/>
  <c r="L205" i="3"/>
  <c r="A205" i="2" a="1"/>
  <c r="A205" i="2" s="1"/>
  <c r="B205" i="2"/>
  <c r="C205" i="2" s="1"/>
  <c r="H205" i="2"/>
  <c r="J205" i="2"/>
  <c r="K205" i="2"/>
  <c r="L205" i="2"/>
  <c r="A213" i="1" a="1"/>
  <c r="A213" i="1" s="1"/>
  <c r="B213" i="1"/>
  <c r="C213" i="1" s="1"/>
  <c r="D213" i="1"/>
  <c r="E213" i="1"/>
  <c r="F213" i="1"/>
  <c r="H213" i="1"/>
  <c r="J213" i="1"/>
  <c r="K213" i="1"/>
  <c r="L213" i="1"/>
  <c r="B152" i="4" l="1"/>
  <c r="C152" i="4" s="1"/>
  <c r="C153" i="4"/>
  <c r="F154" i="4"/>
  <c r="D154" i="4"/>
  <c r="E154" i="4" s="1"/>
  <c r="L153" i="4"/>
  <c r="D153" i="4"/>
  <c r="E153" i="4" s="1"/>
  <c r="L154" i="4"/>
  <c r="F205" i="2"/>
  <c r="D205" i="2"/>
  <c r="E205" i="2" s="1"/>
  <c r="B151" i="4"/>
  <c r="C151" i="4" s="1"/>
  <c r="G151" i="4"/>
  <c r="H152" i="4" s="1"/>
  <c r="J151" i="4"/>
  <c r="K151" i="4"/>
  <c r="A204" i="3" a="1"/>
  <c r="A204" i="3" s="1"/>
  <c r="B204" i="3"/>
  <c r="D204" i="3" s="1"/>
  <c r="E204" i="3" s="1"/>
  <c r="F204" i="3"/>
  <c r="H204" i="3"/>
  <c r="J204" i="3"/>
  <c r="K204" i="3"/>
  <c r="A204" i="2" a="1"/>
  <c r="A204" i="2" s="1"/>
  <c r="B204" i="2"/>
  <c r="C204" i="2" s="1"/>
  <c r="H204" i="2"/>
  <c r="J204" i="2"/>
  <c r="K204" i="2"/>
  <c r="L204" i="2"/>
  <c r="A212" i="1" a="1"/>
  <c r="A212" i="1" s="1"/>
  <c r="B212" i="1"/>
  <c r="C212" i="1" s="1"/>
  <c r="H212" i="1"/>
  <c r="J212" i="1"/>
  <c r="K212" i="1"/>
  <c r="F152" i="4" l="1"/>
  <c r="D152" i="4"/>
  <c r="E152" i="4" s="1"/>
  <c r="L152" i="4"/>
  <c r="F153" i="4"/>
  <c r="L204" i="3"/>
  <c r="C204" i="3"/>
  <c r="F204" i="2"/>
  <c r="D204" i="2"/>
  <c r="E204" i="2" s="1"/>
  <c r="L212" i="1"/>
  <c r="D212" i="1"/>
  <c r="E212" i="1" s="1"/>
  <c r="F212" i="1"/>
  <c r="G150" i="4"/>
  <c r="B150" i="4" s="1"/>
  <c r="J150" i="4"/>
  <c r="K150" i="4"/>
  <c r="A203" i="3" a="1"/>
  <c r="A203" i="3" s="1"/>
  <c r="B203" i="3"/>
  <c r="C203" i="3"/>
  <c r="D203" i="3"/>
  <c r="E203" i="3" s="1"/>
  <c r="F203" i="3"/>
  <c r="H203" i="3"/>
  <c r="J203" i="3"/>
  <c r="K203" i="3"/>
  <c r="L203" i="3"/>
  <c r="A203" i="2" a="1"/>
  <c r="A203" i="2" s="1"/>
  <c r="B203" i="2"/>
  <c r="F203" i="2" s="1"/>
  <c r="C203" i="2"/>
  <c r="D203" i="2"/>
  <c r="E203" i="2" s="1"/>
  <c r="H203" i="2"/>
  <c r="J203" i="2"/>
  <c r="K203" i="2"/>
  <c r="L203" i="2"/>
  <c r="A211" i="1" a="1"/>
  <c r="A211" i="1" s="1"/>
  <c r="B211" i="1"/>
  <c r="C211" i="1" s="1"/>
  <c r="D211" i="1"/>
  <c r="E211" i="1" s="1"/>
  <c r="F211" i="1"/>
  <c r="H211" i="1"/>
  <c r="J211" i="1"/>
  <c r="K211" i="1"/>
  <c r="L211" i="1"/>
  <c r="C150" i="4" l="1"/>
  <c r="F151" i="4"/>
  <c r="D151" i="4"/>
  <c r="E151" i="4" s="1"/>
  <c r="L151" i="4"/>
  <c r="H151" i="4"/>
  <c r="G149" i="4"/>
  <c r="H150" i="4" s="1"/>
  <c r="J149" i="4"/>
  <c r="K149" i="4"/>
  <c r="A202" i="3" a="1"/>
  <c r="A202" i="3" s="1"/>
  <c r="B202" i="3"/>
  <c r="C202" i="3"/>
  <c r="D202" i="3"/>
  <c r="E202" i="3" s="1"/>
  <c r="F202" i="3"/>
  <c r="H202" i="3"/>
  <c r="J202" i="3"/>
  <c r="K202" i="3"/>
  <c r="L202" i="3"/>
  <c r="A202" i="2" a="1"/>
  <c r="A202" i="2" s="1"/>
  <c r="B202" i="2"/>
  <c r="C202" i="2" s="1"/>
  <c r="F202" i="2"/>
  <c r="H202" i="2"/>
  <c r="J202" i="2"/>
  <c r="K202" i="2"/>
  <c r="L202" i="2"/>
  <c r="A210" i="1" a="1"/>
  <c r="A210" i="1" s="1"/>
  <c r="B210" i="1"/>
  <c r="C210" i="1" s="1"/>
  <c r="D210" i="1"/>
  <c r="E210" i="1" s="1"/>
  <c r="F210" i="1"/>
  <c r="H210" i="1"/>
  <c r="J210" i="1"/>
  <c r="K210" i="1"/>
  <c r="L210" i="1"/>
  <c r="B149" i="4" l="1"/>
  <c r="H149" i="4"/>
  <c r="D202" i="2"/>
  <c r="E202" i="2" s="1"/>
  <c r="B148" i="4"/>
  <c r="C148" i="4" s="1"/>
  <c r="G148" i="4"/>
  <c r="J148" i="4"/>
  <c r="K148" i="4"/>
  <c r="A201" i="3" a="1"/>
  <c r="A201" i="3" s="1"/>
  <c r="B201" i="3"/>
  <c r="D201" i="3" s="1"/>
  <c r="E201" i="3" s="1"/>
  <c r="C201" i="3"/>
  <c r="F201" i="3"/>
  <c r="H201" i="3"/>
  <c r="J201" i="3"/>
  <c r="K201" i="3"/>
  <c r="L201" i="3"/>
  <c r="A201" i="2" a="1"/>
  <c r="A201" i="2" s="1"/>
  <c r="B201" i="2"/>
  <c r="C201" i="2"/>
  <c r="D201" i="2"/>
  <c r="E201" i="2" s="1"/>
  <c r="F201" i="2"/>
  <c r="H201" i="2"/>
  <c r="J201" i="2"/>
  <c r="K201" i="2"/>
  <c r="L201" i="2"/>
  <c r="A209" i="1" a="1"/>
  <c r="A209" i="1" s="1"/>
  <c r="B209" i="1"/>
  <c r="C209" i="1" s="1"/>
  <c r="D209" i="1"/>
  <c r="E209" i="1" s="1"/>
  <c r="F209" i="1"/>
  <c r="H209" i="1"/>
  <c r="J209" i="1"/>
  <c r="K209" i="1"/>
  <c r="L209" i="1"/>
  <c r="D150" i="4" l="1"/>
  <c r="E150" i="4" s="1"/>
  <c r="F149" i="4"/>
  <c r="L150" i="4"/>
  <c r="C149" i="4"/>
  <c r="L149" i="4"/>
  <c r="F150" i="4"/>
  <c r="D149" i="4"/>
  <c r="E149" i="4" s="1"/>
  <c r="B147" i="4"/>
  <c r="G147" i="4"/>
  <c r="J147" i="4"/>
  <c r="K147" i="4"/>
  <c r="A200" i="3" a="1"/>
  <c r="A200" i="3" s="1"/>
  <c r="B200" i="3"/>
  <c r="C200" i="3" s="1"/>
  <c r="F200" i="3"/>
  <c r="H200" i="3"/>
  <c r="J200" i="3"/>
  <c r="K200" i="3"/>
  <c r="L200" i="3"/>
  <c r="A200" i="2" a="1"/>
  <c r="A200" i="2" s="1"/>
  <c r="B200" i="2"/>
  <c r="C200" i="2"/>
  <c r="D200" i="2"/>
  <c r="E200" i="2" s="1"/>
  <c r="F200" i="2"/>
  <c r="H200" i="2"/>
  <c r="J200" i="2"/>
  <c r="K200" i="2"/>
  <c r="L200" i="2"/>
  <c r="A208" i="1" a="1"/>
  <c r="A208" i="1" s="1"/>
  <c r="B208" i="1"/>
  <c r="C208" i="1"/>
  <c r="D208" i="1"/>
  <c r="E208" i="1"/>
  <c r="F208" i="1"/>
  <c r="H208" i="1"/>
  <c r="J208" i="1"/>
  <c r="K208" i="1"/>
  <c r="L208" i="1"/>
  <c r="C147" i="4" l="1"/>
  <c r="L148" i="4"/>
  <c r="D148" i="4"/>
  <c r="E148" i="4" s="1"/>
  <c r="F148" i="4"/>
  <c r="H148" i="4"/>
  <c r="D200" i="3"/>
  <c r="E200" i="3" s="1"/>
  <c r="G146" i="4"/>
  <c r="H147" i="4" s="1"/>
  <c r="J146" i="4"/>
  <c r="K146" i="4"/>
  <c r="A199" i="3" a="1"/>
  <c r="A199" i="3" s="1"/>
  <c r="B199" i="3"/>
  <c r="L199" i="3" s="1"/>
  <c r="C199" i="3"/>
  <c r="D199" i="3"/>
  <c r="E199" i="3" s="1"/>
  <c r="F199" i="3"/>
  <c r="H199" i="3"/>
  <c r="J199" i="3"/>
  <c r="K199" i="3"/>
  <c r="A199" i="2" a="1"/>
  <c r="A199" i="2" s="1"/>
  <c r="B199" i="2"/>
  <c r="C199" i="2" s="1"/>
  <c r="F199" i="2"/>
  <c r="H199" i="2"/>
  <c r="J199" i="2"/>
  <c r="K199" i="2"/>
  <c r="L199" i="2"/>
  <c r="A207" i="1" a="1"/>
  <c r="A207" i="1" s="1"/>
  <c r="B207" i="1"/>
  <c r="C207" i="1" s="1"/>
  <c r="D207" i="1"/>
  <c r="E207" i="1" s="1"/>
  <c r="F207" i="1"/>
  <c r="H207" i="1"/>
  <c r="J207" i="1"/>
  <c r="K207" i="1"/>
  <c r="L207" i="1"/>
  <c r="B146" i="4" l="1"/>
  <c r="D199" i="2"/>
  <c r="E199" i="2" s="1"/>
  <c r="G145" i="4"/>
  <c r="H146" i="4" s="1"/>
  <c r="J145" i="4"/>
  <c r="K145" i="4"/>
  <c r="A198" i="3" a="1"/>
  <c r="A198" i="3" s="1"/>
  <c r="B198" i="3"/>
  <c r="C198" i="3"/>
  <c r="D198" i="3"/>
  <c r="E198" i="3" s="1"/>
  <c r="F198" i="3"/>
  <c r="H198" i="3"/>
  <c r="J198" i="3"/>
  <c r="K198" i="3"/>
  <c r="L198" i="3"/>
  <c r="A198" i="2" a="1"/>
  <c r="A198" i="2" s="1"/>
  <c r="B198" i="2"/>
  <c r="C198" i="2"/>
  <c r="D198" i="2"/>
  <c r="E198" i="2" s="1"/>
  <c r="F198" i="2"/>
  <c r="H198" i="2"/>
  <c r="J198" i="2"/>
  <c r="K198" i="2"/>
  <c r="L198" i="2"/>
  <c r="A206" i="1" a="1"/>
  <c r="A206" i="1" s="1"/>
  <c r="B206" i="1"/>
  <c r="C206" i="1" s="1"/>
  <c r="H206" i="1"/>
  <c r="J206" i="1"/>
  <c r="K206" i="1"/>
  <c r="C146" i="4" l="1"/>
  <c r="F147" i="4"/>
  <c r="D147" i="4"/>
  <c r="E147" i="4" s="1"/>
  <c r="L147" i="4"/>
  <c r="B145" i="4"/>
  <c r="L206" i="1"/>
  <c r="F206" i="1"/>
  <c r="D206" i="1"/>
  <c r="E206" i="1" s="1"/>
  <c r="G144" i="4"/>
  <c r="H145" i="4" s="1"/>
  <c r="J144" i="4"/>
  <c r="K144" i="4"/>
  <c r="A197" i="3" a="1"/>
  <c r="A197" i="3" s="1"/>
  <c r="B197" i="3"/>
  <c r="C197" i="3" s="1"/>
  <c r="H197" i="3"/>
  <c r="J197" i="3"/>
  <c r="K197" i="3"/>
  <c r="L197" i="3"/>
  <c r="A197" i="2" a="1"/>
  <c r="A197" i="2" s="1"/>
  <c r="B197" i="2"/>
  <c r="C197" i="2" s="1"/>
  <c r="H197" i="2"/>
  <c r="J197" i="2"/>
  <c r="K197" i="2"/>
  <c r="A205" i="1" a="1"/>
  <c r="A205" i="1" s="1"/>
  <c r="B205" i="1"/>
  <c r="C205" i="1" s="1"/>
  <c r="F205" i="1"/>
  <c r="H205" i="1"/>
  <c r="J205" i="1"/>
  <c r="K205" i="1"/>
  <c r="L205" i="1"/>
  <c r="C145" i="4" l="1"/>
  <c r="D145" i="4"/>
  <c r="E145" i="4" s="1"/>
  <c r="F145" i="4"/>
  <c r="F146" i="4"/>
  <c r="D146" i="4"/>
  <c r="E146" i="4" s="1"/>
  <c r="L145" i="4"/>
  <c r="L146" i="4"/>
  <c r="B144" i="4"/>
  <c r="F197" i="3"/>
  <c r="D197" i="3"/>
  <c r="E197" i="3" s="1"/>
  <c r="D197" i="2"/>
  <c r="E197" i="2" s="1"/>
  <c r="L197" i="2"/>
  <c r="F197" i="2"/>
  <c r="D205" i="1"/>
  <c r="E205" i="1" s="1"/>
  <c r="G143" i="4"/>
  <c r="H144" i="4" s="1"/>
  <c r="J143" i="4"/>
  <c r="K143" i="4"/>
  <c r="A196" i="3" a="1"/>
  <c r="A196" i="3" s="1"/>
  <c r="B196" i="3"/>
  <c r="C196" i="3" s="1"/>
  <c r="D196" i="3"/>
  <c r="E196" i="3" s="1"/>
  <c r="F196" i="3"/>
  <c r="H196" i="3"/>
  <c r="J196" i="3"/>
  <c r="K196" i="3"/>
  <c r="L196" i="3"/>
  <c r="A196" i="2" a="1"/>
  <c r="A196" i="2" s="1"/>
  <c r="B196" i="2"/>
  <c r="C196" i="2"/>
  <c r="D196" i="2"/>
  <c r="E196" i="2"/>
  <c r="F196" i="2"/>
  <c r="H196" i="2"/>
  <c r="J196" i="2"/>
  <c r="K196" i="2"/>
  <c r="L196" i="2"/>
  <c r="A204" i="1" a="1"/>
  <c r="A204" i="1" s="1"/>
  <c r="B204" i="1"/>
  <c r="C204" i="1"/>
  <c r="D204" i="1"/>
  <c r="E204" i="1" s="1"/>
  <c r="F204" i="1"/>
  <c r="H204" i="1"/>
  <c r="J204" i="1"/>
  <c r="K204" i="1"/>
  <c r="L204" i="1"/>
  <c r="B143" i="4" l="1"/>
  <c r="C144" i="4"/>
  <c r="F144" i="4"/>
  <c r="L144" i="4"/>
  <c r="G142" i="4"/>
  <c r="H143" i="4" s="1"/>
  <c r="J142" i="4"/>
  <c r="K142" i="4"/>
  <c r="A195" i="3" a="1"/>
  <c r="A195" i="3" s="1"/>
  <c r="B195" i="3"/>
  <c r="C195" i="3" s="1"/>
  <c r="D195" i="3"/>
  <c r="E195" i="3" s="1"/>
  <c r="F195" i="3"/>
  <c r="H195" i="3"/>
  <c r="J195" i="3"/>
  <c r="K195" i="3"/>
  <c r="L195" i="3"/>
  <c r="A195" i="2" a="1"/>
  <c r="A195" i="2" s="1"/>
  <c r="B195" i="2"/>
  <c r="C195" i="2" s="1"/>
  <c r="D195" i="2"/>
  <c r="E195" i="2" s="1"/>
  <c r="F195" i="2"/>
  <c r="H195" i="2"/>
  <c r="J195" i="2"/>
  <c r="K195" i="2"/>
  <c r="L195" i="2"/>
  <c r="A203" i="1" a="1"/>
  <c r="A203" i="1" s="1"/>
  <c r="B203" i="1"/>
  <c r="C203" i="1" s="1"/>
  <c r="D203" i="1"/>
  <c r="E203" i="1" s="1"/>
  <c r="F203" i="1"/>
  <c r="H203" i="1"/>
  <c r="J203" i="1"/>
  <c r="K203" i="1"/>
  <c r="D144" i="4" l="1"/>
  <c r="E144" i="4" s="1"/>
  <c r="C143" i="4"/>
  <c r="B142" i="4"/>
  <c r="L143" i="4" s="1"/>
  <c r="L203" i="1"/>
  <c r="G141" i="4"/>
  <c r="H142" i="4" s="1"/>
  <c r="J141" i="4"/>
  <c r="K141" i="4"/>
  <c r="A194" i="3" a="1"/>
  <c r="A194" i="3" s="1"/>
  <c r="B194" i="3"/>
  <c r="C194" i="3"/>
  <c r="D194" i="3"/>
  <c r="E194" i="3" s="1"/>
  <c r="F194" i="3"/>
  <c r="H194" i="3"/>
  <c r="J194" i="3"/>
  <c r="K194" i="3"/>
  <c r="L194" i="3"/>
  <c r="A194" i="2" a="1"/>
  <c r="A194" i="2" s="1"/>
  <c r="B194" i="2"/>
  <c r="C194" i="2" s="1"/>
  <c r="D194" i="2"/>
  <c r="E194" i="2" s="1"/>
  <c r="F194" i="2"/>
  <c r="H194" i="2"/>
  <c r="J194" i="2"/>
  <c r="K194" i="2"/>
  <c r="L194" i="2"/>
  <c r="A202" i="1" a="1"/>
  <c r="A202" i="1" s="1"/>
  <c r="B202" i="1"/>
  <c r="C202" i="1"/>
  <c r="D202" i="1"/>
  <c r="E202" i="1"/>
  <c r="F202" i="1"/>
  <c r="H202" i="1"/>
  <c r="J202" i="1"/>
  <c r="K202" i="1"/>
  <c r="L202" i="1"/>
  <c r="B141" i="4" l="1"/>
  <c r="C142" i="4"/>
  <c r="L142" i="4"/>
  <c r="F143" i="4"/>
  <c r="D143" i="4"/>
  <c r="E143" i="4" s="1"/>
  <c r="G140" i="4"/>
  <c r="H141" i="4" s="1"/>
  <c r="J140" i="4"/>
  <c r="K140" i="4"/>
  <c r="A193" i="3" a="1"/>
  <c r="A193" i="3" s="1"/>
  <c r="B193" i="3"/>
  <c r="D193" i="3" s="1"/>
  <c r="E193" i="3" s="1"/>
  <c r="H193" i="3"/>
  <c r="J193" i="3"/>
  <c r="K193" i="3"/>
  <c r="A193" i="2" a="1"/>
  <c r="A193" i="2" s="1"/>
  <c r="B193" i="2"/>
  <c r="C193" i="2" s="1"/>
  <c r="D193" i="2"/>
  <c r="E193" i="2" s="1"/>
  <c r="F193" i="2"/>
  <c r="H193" i="2"/>
  <c r="J193" i="2"/>
  <c r="K193" i="2"/>
  <c r="L193" i="2"/>
  <c r="A201" i="1" a="1"/>
  <c r="A201" i="1" s="1"/>
  <c r="B201" i="1"/>
  <c r="C201" i="1" s="1"/>
  <c r="D201" i="1"/>
  <c r="E201" i="1" s="1"/>
  <c r="H201" i="1"/>
  <c r="J201" i="1"/>
  <c r="K201" i="1"/>
  <c r="L201" i="1"/>
  <c r="C141" i="4" l="1"/>
  <c r="B140" i="4"/>
  <c r="F142" i="4"/>
  <c r="D142" i="4"/>
  <c r="E142" i="4" s="1"/>
  <c r="L193" i="3"/>
  <c r="F193" i="3"/>
  <c r="C193" i="3"/>
  <c r="F201" i="1"/>
  <c r="G139" i="4"/>
  <c r="J139" i="4"/>
  <c r="K139" i="4"/>
  <c r="A192" i="3" a="1"/>
  <c r="A192" i="3" s="1"/>
  <c r="B192" i="3"/>
  <c r="C192" i="3"/>
  <c r="D192" i="3"/>
  <c r="E192" i="3" s="1"/>
  <c r="F192" i="3"/>
  <c r="H192" i="3"/>
  <c r="J192" i="3"/>
  <c r="K192" i="3"/>
  <c r="L192" i="3"/>
  <c r="A192" i="2" a="1"/>
  <c r="A192" i="2" s="1"/>
  <c r="B192" i="2"/>
  <c r="C192" i="2"/>
  <c r="D192" i="2"/>
  <c r="E192" i="2"/>
  <c r="F192" i="2"/>
  <c r="H192" i="2"/>
  <c r="J192" i="2"/>
  <c r="K192" i="2"/>
  <c r="L192" i="2"/>
  <c r="A200" i="1" a="1"/>
  <c r="A200" i="1" s="1"/>
  <c r="B200" i="1"/>
  <c r="C200" i="1" s="1"/>
  <c r="D200" i="1"/>
  <c r="E200" i="1" s="1"/>
  <c r="F200" i="1"/>
  <c r="H200" i="1"/>
  <c r="J200" i="1"/>
  <c r="K200" i="1"/>
  <c r="L200" i="1"/>
  <c r="F140" i="4" l="1"/>
  <c r="C140" i="4"/>
  <c r="L140" i="4"/>
  <c r="H140" i="4"/>
  <c r="B139" i="4"/>
  <c r="C139" i="4" s="1"/>
  <c r="F141" i="4"/>
  <c r="D141" i="4"/>
  <c r="E141" i="4" s="1"/>
  <c r="D140" i="4"/>
  <c r="E140" i="4" s="1"/>
  <c r="L141" i="4"/>
  <c r="G138" i="4"/>
  <c r="J138" i="4"/>
  <c r="K138" i="4"/>
  <c r="A191" i="3" a="1"/>
  <c r="A191" i="3"/>
  <c r="B191" i="3"/>
  <c r="L191" i="3" s="1"/>
  <c r="C191" i="3"/>
  <c r="D191" i="3"/>
  <c r="E191" i="3" s="1"/>
  <c r="F191" i="3"/>
  <c r="H191" i="3"/>
  <c r="J191" i="3"/>
  <c r="K191" i="3"/>
  <c r="A191" i="2" a="1"/>
  <c r="A191" i="2" s="1"/>
  <c r="B191" i="2"/>
  <c r="C191" i="2" s="1"/>
  <c r="F191" i="2"/>
  <c r="H191" i="2"/>
  <c r="J191" i="2"/>
  <c r="K191" i="2"/>
  <c r="L191" i="2"/>
  <c r="A199" i="1" a="1"/>
  <c r="A199" i="1" s="1"/>
  <c r="B199" i="1"/>
  <c r="C199" i="1" s="1"/>
  <c r="F199" i="1"/>
  <c r="H199" i="1"/>
  <c r="J199" i="1"/>
  <c r="K199" i="1"/>
  <c r="L199" i="1"/>
  <c r="B138" i="4" l="1"/>
  <c r="D139" i="4"/>
  <c r="E139" i="4" s="1"/>
  <c r="H139" i="4"/>
  <c r="D191" i="2"/>
  <c r="E191" i="2" s="1"/>
  <c r="D199" i="1"/>
  <c r="E199" i="1" s="1"/>
  <c r="B137" i="4"/>
  <c r="C137" i="4"/>
  <c r="G137" i="4"/>
  <c r="H138" i="4" s="1"/>
  <c r="J137" i="4"/>
  <c r="K137" i="4"/>
  <c r="A190" i="3" a="1"/>
  <c r="A190" i="3" s="1"/>
  <c r="B190" i="3"/>
  <c r="C190" i="3" s="1"/>
  <c r="D190" i="3"/>
  <c r="E190" i="3" s="1"/>
  <c r="F190" i="3"/>
  <c r="H190" i="3"/>
  <c r="J190" i="3"/>
  <c r="K190" i="3"/>
  <c r="L190" i="3"/>
  <c r="A190" i="2" a="1"/>
  <c r="A190" i="2" s="1"/>
  <c r="B190" i="2"/>
  <c r="C190" i="2" s="1"/>
  <c r="H190" i="2"/>
  <c r="J190" i="2"/>
  <c r="K190" i="2"/>
  <c r="A198" i="1" a="1"/>
  <c r="A198" i="1" s="1"/>
  <c r="B198" i="1"/>
  <c r="C198" i="1" s="1"/>
  <c r="F198" i="1"/>
  <c r="H198" i="1"/>
  <c r="J198" i="1"/>
  <c r="K198" i="1"/>
  <c r="L198" i="1"/>
  <c r="C138" i="4" l="1"/>
  <c r="F138" i="4"/>
  <c r="L139" i="4"/>
  <c r="L138" i="4"/>
  <c r="D138" i="4"/>
  <c r="E138" i="4" s="1"/>
  <c r="F139" i="4"/>
  <c r="L190" i="2"/>
  <c r="D190" i="2"/>
  <c r="E190" i="2" s="1"/>
  <c r="F190" i="2"/>
  <c r="D198" i="1"/>
  <c r="E198" i="1" s="1"/>
  <c r="G136" i="4"/>
  <c r="B136" i="4" s="1"/>
  <c r="J136" i="4"/>
  <c r="K136" i="4"/>
  <c r="A189" i="3" a="1"/>
  <c r="A189" i="3" s="1"/>
  <c r="B189" i="3"/>
  <c r="C189" i="3" s="1"/>
  <c r="H189" i="3"/>
  <c r="J189" i="3"/>
  <c r="K189" i="3"/>
  <c r="A189" i="2" a="1"/>
  <c r="A189" i="2" s="1"/>
  <c r="B189" i="2"/>
  <c r="C189" i="2" s="1"/>
  <c r="H189" i="2"/>
  <c r="J189" i="2"/>
  <c r="K189" i="2"/>
  <c r="A197" i="1" a="1"/>
  <c r="A197" i="1" s="1"/>
  <c r="B197" i="1"/>
  <c r="C197" i="1" s="1"/>
  <c r="F197" i="1"/>
  <c r="H197" i="1"/>
  <c r="J197" i="1"/>
  <c r="K197" i="1"/>
  <c r="L197" i="1"/>
  <c r="C136" i="4" l="1"/>
  <c r="L137" i="4"/>
  <c r="D137" i="4"/>
  <c r="E137" i="4" s="1"/>
  <c r="F137" i="4"/>
  <c r="H137" i="4"/>
  <c r="L189" i="3"/>
  <c r="F189" i="3"/>
  <c r="D189" i="3"/>
  <c r="E189" i="3" s="1"/>
  <c r="L189" i="2"/>
  <c r="F189" i="2"/>
  <c r="D189" i="2"/>
  <c r="E189" i="2" s="1"/>
  <c r="D197" i="1"/>
  <c r="E197" i="1" s="1"/>
  <c r="G135" i="4"/>
  <c r="J135" i="4"/>
  <c r="K135" i="4"/>
  <c r="A188" i="3" a="1"/>
  <c r="A188" i="3" s="1"/>
  <c r="B188" i="3"/>
  <c r="C188" i="3"/>
  <c r="D188" i="3"/>
  <c r="E188" i="3" s="1"/>
  <c r="F188" i="3"/>
  <c r="H188" i="3"/>
  <c r="J188" i="3"/>
  <c r="K188" i="3"/>
  <c r="L188" i="3"/>
  <c r="A188" i="2" a="1"/>
  <c r="A188" i="2" s="1"/>
  <c r="B188" i="2"/>
  <c r="C188" i="2" s="1"/>
  <c r="D188" i="2"/>
  <c r="E188" i="2" s="1"/>
  <c r="F188" i="2"/>
  <c r="H188" i="2"/>
  <c r="J188" i="2"/>
  <c r="K188" i="2"/>
  <c r="L188" i="2"/>
  <c r="A196" i="1" a="1"/>
  <c r="A196" i="1" s="1"/>
  <c r="B196" i="1"/>
  <c r="C196" i="1" s="1"/>
  <c r="H196" i="1"/>
  <c r="J196" i="1"/>
  <c r="K196" i="1"/>
  <c r="H135" i="4" l="1"/>
  <c r="B135" i="4"/>
  <c r="H136" i="4"/>
  <c r="F196" i="1"/>
  <c r="D196" i="1"/>
  <c r="E196" i="1" s="1"/>
  <c r="L196" i="1"/>
  <c r="G134" i="4"/>
  <c r="J134" i="4"/>
  <c r="K134" i="4"/>
  <c r="A187" i="3" a="1"/>
  <c r="A187" i="3" s="1"/>
  <c r="B187" i="3"/>
  <c r="C187" i="3" s="1"/>
  <c r="H187" i="3"/>
  <c r="J187" i="3"/>
  <c r="K187" i="3"/>
  <c r="L187" i="3"/>
  <c r="A187" i="2" a="1"/>
  <c r="A187" i="2" s="1"/>
  <c r="B187" i="2"/>
  <c r="D187" i="2" s="1"/>
  <c r="E187" i="2" s="1"/>
  <c r="C187" i="2"/>
  <c r="F187" i="2"/>
  <c r="H187" i="2"/>
  <c r="J187" i="2"/>
  <c r="K187" i="2"/>
  <c r="L187" i="2"/>
  <c r="A195" i="1" a="1"/>
  <c r="A195" i="1" s="1"/>
  <c r="B195" i="1"/>
  <c r="C195" i="1" s="1"/>
  <c r="H195" i="1"/>
  <c r="J195" i="1"/>
  <c r="K195" i="1"/>
  <c r="F135" i="4" l="1"/>
  <c r="F136" i="4"/>
  <c r="L136" i="4"/>
  <c r="D136" i="4"/>
  <c r="E136" i="4" s="1"/>
  <c r="C135" i="4"/>
  <c r="B134" i="4"/>
  <c r="C134" i="4" s="1"/>
  <c r="F187" i="3"/>
  <c r="D187" i="3"/>
  <c r="E187" i="3" s="1"/>
  <c r="D195" i="1"/>
  <c r="E195" i="1" s="1"/>
  <c r="L195" i="1"/>
  <c r="F195" i="1"/>
  <c r="G133" i="4"/>
  <c r="H134" i="4" s="1"/>
  <c r="J133" i="4"/>
  <c r="K133" i="4"/>
  <c r="A186" i="3" a="1"/>
  <c r="A186" i="3" s="1"/>
  <c r="B186" i="3"/>
  <c r="C186" i="3" s="1"/>
  <c r="H186" i="3"/>
  <c r="J186" i="3"/>
  <c r="K186" i="3"/>
  <c r="A186" i="2" a="1"/>
  <c r="A186" i="2" s="1"/>
  <c r="B186" i="2"/>
  <c r="C186" i="2" s="1"/>
  <c r="F186" i="2"/>
  <c r="H186" i="2"/>
  <c r="J186" i="2"/>
  <c r="K186" i="2"/>
  <c r="L186" i="2"/>
  <c r="A194" i="1" a="1"/>
  <c r="A194" i="1" s="1"/>
  <c r="B194" i="1"/>
  <c r="C194" i="1"/>
  <c r="D194" i="1"/>
  <c r="E194" i="1" s="1"/>
  <c r="F194" i="1"/>
  <c r="H194" i="1"/>
  <c r="J194" i="1"/>
  <c r="K194" i="1"/>
  <c r="L194" i="1"/>
  <c r="B133" i="4" l="1"/>
  <c r="D135" i="4"/>
  <c r="E135" i="4" s="1"/>
  <c r="L135" i="4"/>
  <c r="F134" i="4"/>
  <c r="C133" i="4"/>
  <c r="L186" i="3"/>
  <c r="F186" i="3"/>
  <c r="D186" i="3"/>
  <c r="E186" i="3" s="1"/>
  <c r="D186" i="2"/>
  <c r="E186" i="2" s="1"/>
  <c r="G132" i="4"/>
  <c r="J132" i="4"/>
  <c r="K132" i="4"/>
  <c r="A185" i="3" a="1"/>
  <c r="A185" i="3" s="1"/>
  <c r="B185" i="3"/>
  <c r="C185" i="3" s="1"/>
  <c r="D185" i="3"/>
  <c r="E185" i="3" s="1"/>
  <c r="F185" i="3"/>
  <c r="H185" i="3"/>
  <c r="J185" i="3"/>
  <c r="K185" i="3"/>
  <c r="L185" i="3"/>
  <c r="A185" i="2" a="1"/>
  <c r="A185" i="2" s="1"/>
  <c r="B185" i="2"/>
  <c r="C185" i="2" s="1"/>
  <c r="F185" i="2"/>
  <c r="H185" i="2"/>
  <c r="J185" i="2"/>
  <c r="K185" i="2"/>
  <c r="L185" i="2"/>
  <c r="A193" i="1" a="1"/>
  <c r="A193" i="1" s="1"/>
  <c r="B193" i="1"/>
  <c r="C193" i="1" s="1"/>
  <c r="H193" i="1"/>
  <c r="J193" i="1"/>
  <c r="K193" i="1"/>
  <c r="H132" i="4" l="1"/>
  <c r="B132" i="4"/>
  <c r="H133" i="4"/>
  <c r="D133" i="4"/>
  <c r="E133" i="4" s="1"/>
  <c r="L134" i="4"/>
  <c r="D134" i="4"/>
  <c r="E134" i="4" s="1"/>
  <c r="D185" i="2"/>
  <c r="E185" i="2" s="1"/>
  <c r="F193" i="1"/>
  <c r="D193" i="1"/>
  <c r="E193" i="1" s="1"/>
  <c r="L193" i="1"/>
  <c r="G131" i="4"/>
  <c r="B131" i="4" s="1"/>
  <c r="J131" i="4"/>
  <c r="K131" i="4"/>
  <c r="A184" i="3" a="1"/>
  <c r="A184" i="3" s="1"/>
  <c r="B184" i="3"/>
  <c r="C184" i="3" s="1"/>
  <c r="F184" i="3"/>
  <c r="H184" i="3"/>
  <c r="J184" i="3"/>
  <c r="K184" i="3"/>
  <c r="L184" i="3"/>
  <c r="A184" i="2" a="1"/>
  <c r="A184" i="2" s="1"/>
  <c r="B184" i="2"/>
  <c r="C184" i="2"/>
  <c r="D184" i="2"/>
  <c r="E184" i="2" s="1"/>
  <c r="F184" i="2"/>
  <c r="H184" i="2"/>
  <c r="J184" i="2"/>
  <c r="K184" i="2"/>
  <c r="L184" i="2"/>
  <c r="A192" i="1" a="1"/>
  <c r="A192" i="1" s="1"/>
  <c r="B192" i="1"/>
  <c r="C192" i="1"/>
  <c r="D192" i="1"/>
  <c r="E192" i="1" s="1"/>
  <c r="F192" i="1"/>
  <c r="H192" i="1"/>
  <c r="J192" i="1"/>
  <c r="K192" i="1"/>
  <c r="L192" i="1"/>
  <c r="C131" i="4" l="1"/>
  <c r="C132" i="4"/>
  <c r="F132" i="4"/>
  <c r="F133" i="4"/>
  <c r="L132" i="4"/>
  <c r="D132" i="4"/>
  <c r="E132" i="4" s="1"/>
  <c r="L133" i="4"/>
  <c r="D184" i="3"/>
  <c r="E184" i="3" s="1"/>
  <c r="G130" i="4"/>
  <c r="J130" i="4"/>
  <c r="K130" i="4"/>
  <c r="A183" i="3" a="1"/>
  <c r="A183" i="3" s="1"/>
  <c r="B183" i="3"/>
  <c r="C183" i="3" s="1"/>
  <c r="H183" i="3"/>
  <c r="J183" i="3"/>
  <c r="K183" i="3"/>
  <c r="A183" i="2" a="1"/>
  <c r="A183" i="2" s="1"/>
  <c r="B183" i="2"/>
  <c r="C183" i="2" s="1"/>
  <c r="D183" i="2"/>
  <c r="E183" i="2"/>
  <c r="F183" i="2"/>
  <c r="H183" i="2"/>
  <c r="J183" i="2"/>
  <c r="K183" i="2"/>
  <c r="L183" i="2"/>
  <c r="A191" i="1" a="1"/>
  <c r="A191" i="1" s="1"/>
  <c r="B191" i="1"/>
  <c r="C191" i="1" s="1"/>
  <c r="D191" i="1"/>
  <c r="E191" i="1"/>
  <c r="F191" i="1"/>
  <c r="H191" i="1"/>
  <c r="J191" i="1"/>
  <c r="K191" i="1"/>
  <c r="L191" i="1"/>
  <c r="H130" i="4" l="1"/>
  <c r="H131" i="4"/>
  <c r="B130" i="4"/>
  <c r="D130" i="4" s="1"/>
  <c r="E130" i="4" s="1"/>
  <c r="L183" i="3"/>
  <c r="F183" i="3"/>
  <c r="D183" i="3"/>
  <c r="E183" i="3" s="1"/>
  <c r="B129" i="4"/>
  <c r="C129" i="4" s="1"/>
  <c r="G129" i="4"/>
  <c r="J129" i="4"/>
  <c r="K129" i="4"/>
  <c r="A182" i="3" a="1"/>
  <c r="A182" i="3" s="1"/>
  <c r="B182" i="3"/>
  <c r="C182" i="3" s="1"/>
  <c r="D182" i="3"/>
  <c r="E182" i="3" s="1"/>
  <c r="H182" i="3"/>
  <c r="J182" i="3"/>
  <c r="K182" i="3"/>
  <c r="L182" i="3"/>
  <c r="A182" i="2" a="1"/>
  <c r="A182" i="2" s="1"/>
  <c r="B182" i="2"/>
  <c r="F182" i="2" s="1"/>
  <c r="C182" i="2"/>
  <c r="D182" i="2"/>
  <c r="E182" i="2" s="1"/>
  <c r="H182" i="2"/>
  <c r="J182" i="2"/>
  <c r="K182" i="2"/>
  <c r="L182" i="2"/>
  <c r="A190" i="1" a="1"/>
  <c r="A190" i="1" s="1"/>
  <c r="B190" i="1"/>
  <c r="C190" i="1" s="1"/>
  <c r="F190" i="1"/>
  <c r="H190" i="1"/>
  <c r="J190" i="1"/>
  <c r="K190" i="1"/>
  <c r="L190" i="1"/>
  <c r="F130" i="4" l="1"/>
  <c r="C130" i="4"/>
  <c r="F131" i="4"/>
  <c r="L130" i="4"/>
  <c r="L131" i="4"/>
  <c r="D131" i="4"/>
  <c r="E131" i="4" s="1"/>
  <c r="H129" i="4"/>
  <c r="F182" i="3"/>
  <c r="D190" i="1"/>
  <c r="E190" i="1" s="1"/>
  <c r="G128" i="4"/>
  <c r="J128" i="4"/>
  <c r="K128" i="4"/>
  <c r="A181" i="3" a="1"/>
  <c r="A181" i="3" s="1"/>
  <c r="B181" i="3"/>
  <c r="C181" i="3" s="1"/>
  <c r="D181" i="3"/>
  <c r="E181" i="3" s="1"/>
  <c r="F181" i="3"/>
  <c r="H181" i="3"/>
  <c r="J181" i="3"/>
  <c r="K181" i="3"/>
  <c r="L181" i="3"/>
  <c r="A181" i="2" a="1"/>
  <c r="A181" i="2" s="1"/>
  <c r="B181" i="2"/>
  <c r="F181" i="2" s="1"/>
  <c r="C181" i="2"/>
  <c r="D181" i="2"/>
  <c r="E181" i="2" s="1"/>
  <c r="H181" i="2"/>
  <c r="J181" i="2"/>
  <c r="K181" i="2"/>
  <c r="L181" i="2"/>
  <c r="A189" i="1" a="1"/>
  <c r="A189" i="1" s="1"/>
  <c r="B189" i="1"/>
  <c r="C189" i="1" s="1"/>
  <c r="D189" i="1"/>
  <c r="E189" i="1" s="1"/>
  <c r="F189" i="1"/>
  <c r="H189" i="1"/>
  <c r="J189" i="1"/>
  <c r="K189" i="1"/>
  <c r="L189" i="1"/>
  <c r="H128" i="4" l="1"/>
  <c r="B128" i="4"/>
  <c r="B127" i="4"/>
  <c r="C127" i="4" s="1"/>
  <c r="G127" i="4"/>
  <c r="J127" i="4"/>
  <c r="K127" i="4"/>
  <c r="A180" i="3" a="1"/>
  <c r="A180" i="3" s="1"/>
  <c r="B180" i="3"/>
  <c r="C180" i="3"/>
  <c r="D180" i="3"/>
  <c r="E180" i="3"/>
  <c r="F180" i="3"/>
  <c r="H180" i="3"/>
  <c r="J180" i="3"/>
  <c r="K180" i="3"/>
  <c r="L180" i="3"/>
  <c r="A180" i="2" a="1"/>
  <c r="A180" i="2" s="1"/>
  <c r="B180" i="2"/>
  <c r="C180" i="2"/>
  <c r="D180" i="2"/>
  <c r="E180" i="2"/>
  <c r="F180" i="2"/>
  <c r="H180" i="2"/>
  <c r="J180" i="2"/>
  <c r="K180" i="2"/>
  <c r="L180" i="2"/>
  <c r="A188" i="1" a="1"/>
  <c r="A188" i="1" s="1"/>
  <c r="B188" i="1"/>
  <c r="C188" i="1" s="1"/>
  <c r="H188" i="1"/>
  <c r="J188" i="1"/>
  <c r="K188" i="1"/>
  <c r="L128" i="4" l="1"/>
  <c r="C128" i="4"/>
  <c r="L129" i="4"/>
  <c r="F129" i="4"/>
  <c r="F128" i="4"/>
  <c r="D129" i="4"/>
  <c r="E129" i="4" s="1"/>
  <c r="D128" i="4"/>
  <c r="E128" i="4" s="1"/>
  <c r="L188" i="1"/>
  <c r="F188" i="1"/>
  <c r="D188" i="1"/>
  <c r="E188" i="1" s="1"/>
  <c r="G126" i="4"/>
  <c r="H127" i="4" s="1"/>
  <c r="J126" i="4"/>
  <c r="K126" i="4"/>
  <c r="A179" i="3" a="1"/>
  <c r="A179" i="3" s="1"/>
  <c r="B179" i="3"/>
  <c r="C179" i="3" s="1"/>
  <c r="H179" i="3"/>
  <c r="J179" i="3"/>
  <c r="K179" i="3"/>
  <c r="A179" i="2" a="1"/>
  <c r="A179" i="2" s="1"/>
  <c r="B179" i="2"/>
  <c r="C179" i="2" s="1"/>
  <c r="F179" i="2"/>
  <c r="H179" i="2"/>
  <c r="J179" i="2"/>
  <c r="K179" i="2"/>
  <c r="A187" i="1" a="1"/>
  <c r="A187" i="1" s="1"/>
  <c r="B187" i="1"/>
  <c r="C187" i="1" s="1"/>
  <c r="H187" i="1"/>
  <c r="J187" i="1"/>
  <c r="K187" i="1"/>
  <c r="B126" i="4" l="1"/>
  <c r="L179" i="3"/>
  <c r="F179" i="3"/>
  <c r="D179" i="3"/>
  <c r="E179" i="3" s="1"/>
  <c r="D179" i="2"/>
  <c r="E179" i="2" s="1"/>
  <c r="L179" i="2"/>
  <c r="F187" i="1"/>
  <c r="D187" i="1"/>
  <c r="E187" i="1" s="1"/>
  <c r="L187" i="1"/>
  <c r="G125" i="4"/>
  <c r="B125" i="4" s="1"/>
  <c r="J125" i="4"/>
  <c r="K125" i="4"/>
  <c r="A178" i="3" a="1"/>
  <c r="A178" i="3" s="1"/>
  <c r="B178" i="3"/>
  <c r="C178" i="3"/>
  <c r="D178" i="3"/>
  <c r="E178" i="3" s="1"/>
  <c r="F178" i="3"/>
  <c r="H178" i="3"/>
  <c r="J178" i="3"/>
  <c r="K178" i="3"/>
  <c r="L178" i="3"/>
  <c r="A178" i="2" a="1"/>
  <c r="A178" i="2" s="1"/>
  <c r="B178" i="2"/>
  <c r="C178" i="2"/>
  <c r="D178" i="2"/>
  <c r="E178" i="2" s="1"/>
  <c r="F178" i="2"/>
  <c r="H178" i="2"/>
  <c r="J178" i="2"/>
  <c r="K178" i="2"/>
  <c r="L178" i="2"/>
  <c r="A186" i="1" a="1"/>
  <c r="A186" i="1" s="1"/>
  <c r="B186" i="1"/>
  <c r="D186" i="1" s="1"/>
  <c r="E186" i="1" s="1"/>
  <c r="H186" i="1"/>
  <c r="J186" i="1"/>
  <c r="K186" i="1"/>
  <c r="C125" i="4" l="1"/>
  <c r="F126" i="4"/>
  <c r="C126" i="4"/>
  <c r="L127" i="4"/>
  <c r="L126" i="4"/>
  <c r="D127" i="4"/>
  <c r="E127" i="4" s="1"/>
  <c r="F127" i="4"/>
  <c r="H126" i="4"/>
  <c r="D126" i="4"/>
  <c r="E126" i="4" s="1"/>
  <c r="C186" i="1"/>
  <c r="L186" i="1"/>
  <c r="F186" i="1"/>
  <c r="G124" i="4"/>
  <c r="H125" i="4" s="1"/>
  <c r="J124" i="4"/>
  <c r="K124" i="4"/>
  <c r="A177" i="3" a="1"/>
  <c r="A177" i="3" s="1"/>
  <c r="B177" i="3"/>
  <c r="C177" i="3"/>
  <c r="D177" i="3"/>
  <c r="E177" i="3" s="1"/>
  <c r="F177" i="3"/>
  <c r="H177" i="3"/>
  <c r="J177" i="3"/>
  <c r="K177" i="3"/>
  <c r="L177" i="3"/>
  <c r="A177" i="2" a="1"/>
  <c r="A177" i="2" s="1"/>
  <c r="B177" i="2"/>
  <c r="C177" i="2" s="1"/>
  <c r="D177" i="2"/>
  <c r="E177" i="2" s="1"/>
  <c r="F177" i="2"/>
  <c r="H177" i="2"/>
  <c r="J177" i="2"/>
  <c r="K177" i="2"/>
  <c r="L177" i="2"/>
  <c r="A185" i="1" a="1"/>
  <c r="A185" i="1" s="1"/>
  <c r="B185" i="1"/>
  <c r="D185" i="1" s="1"/>
  <c r="E185" i="1" s="1"/>
  <c r="H185" i="1"/>
  <c r="J185" i="1"/>
  <c r="K185" i="1"/>
  <c r="B124" i="4" l="1"/>
  <c r="C185" i="1"/>
  <c r="L185" i="1"/>
  <c r="F185" i="1"/>
  <c r="G8" i="3"/>
  <c r="H8" i="3" s="1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C124" i="4" l="1"/>
  <c r="L124" i="4"/>
  <c r="D124" i="4"/>
  <c r="E124" i="4" s="1"/>
  <c r="L125" i="4"/>
  <c r="D125" i="4"/>
  <c r="E125" i="4" s="1"/>
  <c r="F125" i="4"/>
  <c r="H9" i="2"/>
  <c r="B123" i="4"/>
  <c r="C123" i="4" s="1"/>
  <c r="G123" i="4"/>
  <c r="J123" i="4"/>
  <c r="K123" i="4"/>
  <c r="B176" i="3"/>
  <c r="C176" i="3"/>
  <c r="D176" i="3"/>
  <c r="E176" i="3" s="1"/>
  <c r="F176" i="3"/>
  <c r="H176" i="3"/>
  <c r="J176" i="3"/>
  <c r="K176" i="3"/>
  <c r="L176" i="3"/>
  <c r="B176" i="2"/>
  <c r="C176" i="2" s="1"/>
  <c r="F176" i="2"/>
  <c r="H176" i="2"/>
  <c r="J176" i="2"/>
  <c r="K176" i="2"/>
  <c r="L176" i="2"/>
  <c r="A184" i="1" a="1"/>
  <c r="A184" i="1" s="1"/>
  <c r="B184" i="1"/>
  <c r="C184" i="1" s="1"/>
  <c r="D184" i="1"/>
  <c r="E184" i="1" s="1"/>
  <c r="F184" i="1"/>
  <c r="H184" i="1"/>
  <c r="J184" i="1"/>
  <c r="K184" i="1"/>
  <c r="L184" i="1"/>
  <c r="F124" i="4" l="1"/>
  <c r="H123" i="4"/>
  <c r="H124" i="4"/>
  <c r="D176" i="2"/>
  <c r="E176" i="2" s="1"/>
  <c r="G122" i="4"/>
  <c r="J122" i="4"/>
  <c r="K122" i="4"/>
  <c r="B175" i="3"/>
  <c r="C175" i="3" s="1"/>
  <c r="D175" i="3"/>
  <c r="E175" i="3" s="1"/>
  <c r="F175" i="3"/>
  <c r="H175" i="3"/>
  <c r="J175" i="3"/>
  <c r="K175" i="3"/>
  <c r="L175" i="3"/>
  <c r="B175" i="2"/>
  <c r="C175" i="2"/>
  <c r="D175" i="2"/>
  <c r="E175" i="2" s="1"/>
  <c r="F175" i="2"/>
  <c r="H175" i="2"/>
  <c r="J175" i="2"/>
  <c r="K175" i="2"/>
  <c r="L175" i="2"/>
  <c r="A183" i="1" a="1"/>
  <c r="A183" i="1" s="1"/>
  <c r="B183" i="1"/>
  <c r="C183" i="1" s="1"/>
  <c r="D183" i="1"/>
  <c r="E183" i="1"/>
  <c r="H183" i="1"/>
  <c r="J183" i="1"/>
  <c r="K183" i="1"/>
  <c r="B122" i="4" l="1"/>
  <c r="L183" i="1"/>
  <c r="F183" i="1"/>
  <c r="G121" i="4"/>
  <c r="J121" i="4"/>
  <c r="K121" i="4"/>
  <c r="B174" i="3"/>
  <c r="C174" i="3"/>
  <c r="D174" i="3"/>
  <c r="E174" i="3" s="1"/>
  <c r="F174" i="3"/>
  <c r="H174" i="3"/>
  <c r="J174" i="3"/>
  <c r="K174" i="3"/>
  <c r="L174" i="3"/>
  <c r="B174" i="2"/>
  <c r="C174" i="2" s="1"/>
  <c r="F174" i="2"/>
  <c r="H174" i="2"/>
  <c r="J174" i="2"/>
  <c r="K174" i="2"/>
  <c r="L174" i="2"/>
  <c r="A182" i="1" a="1"/>
  <c r="A182" i="1" s="1"/>
  <c r="B182" i="1"/>
  <c r="C182" i="1" s="1"/>
  <c r="D182" i="1"/>
  <c r="E182" i="1" s="1"/>
  <c r="F182" i="1"/>
  <c r="H182" i="1"/>
  <c r="J182" i="1"/>
  <c r="K182" i="1"/>
  <c r="L182" i="1"/>
  <c r="L123" i="4" l="1"/>
  <c r="D123" i="4"/>
  <c r="E123" i="4" s="1"/>
  <c r="F123" i="4"/>
  <c r="L122" i="4"/>
  <c r="C122" i="4"/>
  <c r="H122" i="4"/>
  <c r="B121" i="4"/>
  <c r="D174" i="2"/>
  <c r="E174" i="2" s="1"/>
  <c r="B120" i="4"/>
  <c r="C120" i="4" s="1"/>
  <c r="G120" i="4"/>
  <c r="J120" i="4"/>
  <c r="K120" i="4"/>
  <c r="B173" i="3"/>
  <c r="C173" i="3"/>
  <c r="D173" i="3"/>
  <c r="E173" i="3" s="1"/>
  <c r="F173" i="3"/>
  <c r="H173" i="3"/>
  <c r="J173" i="3"/>
  <c r="K173" i="3"/>
  <c r="L173" i="3"/>
  <c r="B173" i="2"/>
  <c r="C173" i="2" s="1"/>
  <c r="F173" i="2"/>
  <c r="H173" i="2"/>
  <c r="J173" i="2"/>
  <c r="K173" i="2"/>
  <c r="L173" i="2"/>
  <c r="A181" i="1" a="1"/>
  <c r="A181" i="1" s="1"/>
  <c r="B181" i="1"/>
  <c r="C181" i="1" s="1"/>
  <c r="D181" i="1"/>
  <c r="E181" i="1" s="1"/>
  <c r="F181" i="1"/>
  <c r="H181" i="1"/>
  <c r="J181" i="1"/>
  <c r="K181" i="1"/>
  <c r="L181" i="1"/>
  <c r="L121" i="4" l="1"/>
  <c r="C121" i="4"/>
  <c r="D121" i="4"/>
  <c r="E121" i="4" s="1"/>
  <c r="F121" i="4"/>
  <c r="H121" i="4"/>
  <c r="F122" i="4"/>
  <c r="D122" i="4"/>
  <c r="E122" i="4" s="1"/>
  <c r="D173" i="2"/>
  <c r="E173" i="2" s="1"/>
  <c r="G119" i="4"/>
  <c r="B119" i="4" s="1"/>
  <c r="J119" i="4"/>
  <c r="K119" i="4"/>
  <c r="B172" i="3"/>
  <c r="C172" i="3" s="1"/>
  <c r="D172" i="3"/>
  <c r="E172" i="3" s="1"/>
  <c r="F172" i="3"/>
  <c r="H172" i="3"/>
  <c r="J172" i="3"/>
  <c r="K172" i="3"/>
  <c r="L172" i="3"/>
  <c r="B172" i="2"/>
  <c r="C172" i="2" s="1"/>
  <c r="D172" i="2"/>
  <c r="E172" i="2" s="1"/>
  <c r="F172" i="2"/>
  <c r="H172" i="2"/>
  <c r="J172" i="2"/>
  <c r="K172" i="2"/>
  <c r="L172" i="2"/>
  <c r="A180" i="1" a="1"/>
  <c r="A180" i="1" s="1"/>
  <c r="B180" i="1"/>
  <c r="C180" i="1" s="1"/>
  <c r="D180" i="1"/>
  <c r="E180" i="1"/>
  <c r="F180" i="1"/>
  <c r="H180" i="1"/>
  <c r="J180" i="1"/>
  <c r="K180" i="1"/>
  <c r="L180" i="1"/>
  <c r="H120" i="4" l="1"/>
  <c r="C119" i="4"/>
  <c r="L120" i="4"/>
  <c r="F120" i="4"/>
  <c r="D120" i="4"/>
  <c r="E120" i="4" s="1"/>
  <c r="G118" i="4"/>
  <c r="H119" i="4" s="1"/>
  <c r="J118" i="4"/>
  <c r="K118" i="4"/>
  <c r="B171" i="3"/>
  <c r="D171" i="3" s="1"/>
  <c r="E171" i="3" s="1"/>
  <c r="H171" i="3"/>
  <c r="J171" i="3"/>
  <c r="K171" i="3"/>
  <c r="L171" i="3"/>
  <c r="B171" i="2"/>
  <c r="C171" i="2" s="1"/>
  <c r="F171" i="2"/>
  <c r="H171" i="2"/>
  <c r="J171" i="2"/>
  <c r="K171" i="2"/>
  <c r="L171" i="2"/>
  <c r="A179" i="1" a="1"/>
  <c r="A179" i="1" s="1"/>
  <c r="B179" i="1"/>
  <c r="C179" i="1" s="1"/>
  <c r="F179" i="1"/>
  <c r="H179" i="1"/>
  <c r="J179" i="1"/>
  <c r="K179" i="1"/>
  <c r="L179" i="1"/>
  <c r="B118" i="4" l="1"/>
  <c r="C171" i="3"/>
  <c r="F171" i="3"/>
  <c r="D171" i="2"/>
  <c r="E171" i="2" s="1"/>
  <c r="D179" i="1"/>
  <c r="E179" i="1" s="1"/>
  <c r="G117" i="4"/>
  <c r="H118" i="4" s="1"/>
  <c r="J117" i="4"/>
  <c r="K117" i="4"/>
  <c r="B170" i="3"/>
  <c r="C170" i="3"/>
  <c r="D170" i="3"/>
  <c r="E170" i="3" s="1"/>
  <c r="F170" i="3"/>
  <c r="H170" i="3"/>
  <c r="J170" i="3"/>
  <c r="K170" i="3"/>
  <c r="L170" i="3"/>
  <c r="B170" i="2"/>
  <c r="C170" i="2" s="1"/>
  <c r="F170" i="2"/>
  <c r="H170" i="2"/>
  <c r="J170" i="2"/>
  <c r="K170" i="2"/>
  <c r="L170" i="2"/>
  <c r="A178" i="1" a="1"/>
  <c r="A178" i="1" s="1"/>
  <c r="B178" i="1"/>
  <c r="C178" i="1"/>
  <c r="D178" i="1"/>
  <c r="E178" i="1" s="1"/>
  <c r="F178" i="1"/>
  <c r="H178" i="1"/>
  <c r="J178" i="1"/>
  <c r="K178" i="1"/>
  <c r="L178" i="1"/>
  <c r="B117" i="4" l="1"/>
  <c r="C118" i="4"/>
  <c r="L119" i="4"/>
  <c r="D118" i="4"/>
  <c r="E118" i="4" s="1"/>
  <c r="F118" i="4"/>
  <c r="F119" i="4"/>
  <c r="D119" i="4"/>
  <c r="E119" i="4" s="1"/>
  <c r="L118" i="4"/>
  <c r="D170" i="2"/>
  <c r="E170" i="2" s="1"/>
  <c r="G116" i="4"/>
  <c r="J116" i="4"/>
  <c r="K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 s="1"/>
  <c r="B177" i="1"/>
  <c r="C177" i="1"/>
  <c r="D177" i="1"/>
  <c r="E177" i="1"/>
  <c r="F177" i="1"/>
  <c r="H177" i="1"/>
  <c r="J177" i="1"/>
  <c r="K177" i="1"/>
  <c r="L177" i="1"/>
  <c r="B116" i="4" l="1"/>
  <c r="H117" i="4"/>
  <c r="C117" i="4"/>
  <c r="L117" i="4"/>
  <c r="F117" i="4"/>
  <c r="B115" i="4"/>
  <c r="C115" i="4" s="1"/>
  <c r="G115" i="4"/>
  <c r="J115" i="4"/>
  <c r="K115" i="4"/>
  <c r="B168" i="3"/>
  <c r="C168" i="3" s="1"/>
  <c r="F168" i="3"/>
  <c r="H168" i="3"/>
  <c r="J168" i="3"/>
  <c r="K168" i="3"/>
  <c r="L168" i="3"/>
  <c r="B168" i="2"/>
  <c r="C168" i="2"/>
  <c r="D168" i="2"/>
  <c r="E168" i="2" s="1"/>
  <c r="F168" i="2"/>
  <c r="H168" i="2"/>
  <c r="J168" i="2"/>
  <c r="K168" i="2"/>
  <c r="L168" i="2"/>
  <c r="A176" i="1" a="1"/>
  <c r="A176" i="1" s="1"/>
  <c r="B176" i="1"/>
  <c r="C176" i="1"/>
  <c r="D176" i="1"/>
  <c r="E176" i="1"/>
  <c r="F176" i="1"/>
  <c r="H176" i="1"/>
  <c r="J176" i="1"/>
  <c r="K176" i="1"/>
  <c r="L176" i="1"/>
  <c r="D117" i="4" l="1"/>
  <c r="E117" i="4" s="1"/>
  <c r="L116" i="4"/>
  <c r="C116" i="4"/>
  <c r="D116" i="4"/>
  <c r="E116" i="4" s="1"/>
  <c r="F116" i="4"/>
  <c r="H116" i="4"/>
  <c r="D168" i="3"/>
  <c r="E168" i="3" s="1"/>
  <c r="G114" i="4"/>
  <c r="H115" i="4" s="1"/>
  <c r="J114" i="4"/>
  <c r="K114" i="4"/>
  <c r="B167" i="3"/>
  <c r="C167" i="3"/>
  <c r="D167" i="3"/>
  <c r="E167" i="3" s="1"/>
  <c r="F167" i="3"/>
  <c r="H167" i="3"/>
  <c r="J167" i="3"/>
  <c r="K167" i="3"/>
  <c r="L167" i="3"/>
  <c r="B167" i="2"/>
  <c r="C167" i="2" s="1"/>
  <c r="F167" i="2"/>
  <c r="H167" i="2"/>
  <c r="J167" i="2"/>
  <c r="K167" i="2"/>
  <c r="L167" i="2"/>
  <c r="A175" i="1" a="1"/>
  <c r="A175" i="1" s="1"/>
  <c r="B175" i="1"/>
  <c r="C175" i="1" s="1"/>
  <c r="D175" i="1"/>
  <c r="E175" i="1" s="1"/>
  <c r="H175" i="1"/>
  <c r="J175" i="1"/>
  <c r="K175" i="1"/>
  <c r="B114" i="4" l="1"/>
  <c r="F114" i="4" s="1"/>
  <c r="D167" i="2"/>
  <c r="E167" i="2" s="1"/>
  <c r="L175" i="1"/>
  <c r="F175" i="1"/>
  <c r="B113" i="4"/>
  <c r="C113" i="4" s="1"/>
  <c r="G113" i="4"/>
  <c r="H114" i="4" s="1"/>
  <c r="J113" i="4"/>
  <c r="K113" i="4"/>
  <c r="B166" i="3"/>
  <c r="C166" i="3" s="1"/>
  <c r="D166" i="3"/>
  <c r="E166" i="3" s="1"/>
  <c r="F166" i="3"/>
  <c r="H166" i="3"/>
  <c r="J166" i="3"/>
  <c r="K166" i="3"/>
  <c r="L166" i="3"/>
  <c r="B166" i="2"/>
  <c r="C166" i="2" s="1"/>
  <c r="D166" i="2"/>
  <c r="E166" i="2" s="1"/>
  <c r="F166" i="2"/>
  <c r="H166" i="2"/>
  <c r="J166" i="2"/>
  <c r="K166" i="2"/>
  <c r="L166" i="2"/>
  <c r="B174" i="1"/>
  <c r="C174" i="1" s="1"/>
  <c r="H174" i="1"/>
  <c r="J174" i="1"/>
  <c r="K174" i="1"/>
  <c r="H113" i="4" l="1"/>
  <c r="C114" i="4"/>
  <c r="L114" i="4"/>
  <c r="L115" i="4"/>
  <c r="D115" i="4"/>
  <c r="E115" i="4" s="1"/>
  <c r="D114" i="4"/>
  <c r="E114" i="4" s="1"/>
  <c r="F115" i="4"/>
  <c r="G112" i="4"/>
  <c r="J112" i="4"/>
  <c r="K112" i="4"/>
  <c r="B165" i="3"/>
  <c r="C165" i="3"/>
  <c r="D165" i="3"/>
  <c r="E165" i="3" s="1"/>
  <c r="F165" i="3"/>
  <c r="H165" i="3"/>
  <c r="J165" i="3"/>
  <c r="K165" i="3"/>
  <c r="L165" i="3"/>
  <c r="B165" i="2"/>
  <c r="C165" i="2" s="1"/>
  <c r="F165" i="2"/>
  <c r="H165" i="2"/>
  <c r="J165" i="2"/>
  <c r="K165" i="2"/>
  <c r="L165" i="2"/>
  <c r="B173" i="1"/>
  <c r="H173" i="1"/>
  <c r="J173" i="1"/>
  <c r="K173" i="1"/>
  <c r="B112" i="4" l="1"/>
  <c r="C173" i="1"/>
  <c r="D174" i="1"/>
  <c r="L174" i="1"/>
  <c r="F174" i="1"/>
  <c r="D165" i="2"/>
  <c r="E165" i="2" s="1"/>
  <c r="G111" i="4"/>
  <c r="B111" i="4" s="1"/>
  <c r="J111" i="4"/>
  <c r="K111" i="4"/>
  <c r="B164" i="3"/>
  <c r="C164" i="3"/>
  <c r="D164" i="3"/>
  <c r="E164" i="3" s="1"/>
  <c r="F164" i="3"/>
  <c r="H164" i="3"/>
  <c r="J164" i="3"/>
  <c r="K164" i="3"/>
  <c r="L164" i="3"/>
  <c r="B164" i="2"/>
  <c r="D164" i="2" s="1"/>
  <c r="E164" i="2" s="1"/>
  <c r="H164" i="2"/>
  <c r="J164" i="2"/>
  <c r="K164" i="2"/>
  <c r="B172" i="1"/>
  <c r="L173" i="1" s="1"/>
  <c r="C172" i="1"/>
  <c r="H172" i="1"/>
  <c r="J172" i="1"/>
  <c r="K172" i="1"/>
  <c r="D113" i="4" l="1"/>
  <c r="E113" i="4" s="1"/>
  <c r="C112" i="4"/>
  <c r="D112" i="4"/>
  <c r="E112" i="4" s="1"/>
  <c r="F112" i="4"/>
  <c r="L113" i="4"/>
  <c r="F113" i="4"/>
  <c r="L112" i="4"/>
  <c r="H112" i="4"/>
  <c r="D172" i="1"/>
  <c r="E172" i="1" s="1"/>
  <c r="E174" i="1"/>
  <c r="F173" i="1"/>
  <c r="D173" i="1"/>
  <c r="C111" i="4"/>
  <c r="L164" i="2"/>
  <c r="C164" i="2"/>
  <c r="F164" i="2"/>
  <c r="G110" i="4"/>
  <c r="J110" i="4"/>
  <c r="K110" i="4"/>
  <c r="B163" i="3"/>
  <c r="C163" i="3" s="1"/>
  <c r="H163" i="3"/>
  <c r="J163" i="3"/>
  <c r="K163" i="3"/>
  <c r="B163" i="2"/>
  <c r="C163" i="2" s="1"/>
  <c r="H163" i="2"/>
  <c r="J163" i="2"/>
  <c r="K163" i="2"/>
  <c r="B171" i="1"/>
  <c r="H171" i="1"/>
  <c r="J171" i="1"/>
  <c r="K171" i="1"/>
  <c r="H111" i="4" l="1"/>
  <c r="B110" i="4"/>
  <c r="E173" i="1"/>
  <c r="C171" i="1"/>
  <c r="F172" i="1"/>
  <c r="L172" i="1"/>
  <c r="D163" i="3"/>
  <c r="E163" i="3" s="1"/>
  <c r="F163" i="3"/>
  <c r="F163" i="2"/>
  <c r="D163" i="2"/>
  <c r="E163" i="2" s="1"/>
  <c r="C110" i="4" l="1"/>
  <c r="D111" i="4"/>
  <c r="E111" i="4" s="1"/>
  <c r="L111" i="4"/>
  <c r="F111" i="4"/>
  <c r="L163" i="3"/>
  <c r="L163" i="2"/>
  <c r="H112" i="2" l="1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 s="1"/>
  <c r="B113" i="2"/>
  <c r="D113" i="2" s="1"/>
  <c r="B114" i="2"/>
  <c r="C114" i="2" s="1"/>
  <c r="B115" i="2"/>
  <c r="C115" i="2" s="1"/>
  <c r="B116" i="2"/>
  <c r="L116" i="2" s="1"/>
  <c r="B117" i="2"/>
  <c r="C117" i="2" s="1"/>
  <c r="B118" i="2"/>
  <c r="F119" i="2" s="1"/>
  <c r="C118" i="2"/>
  <c r="B119" i="2"/>
  <c r="C119" i="2" s="1"/>
  <c r="B120" i="2"/>
  <c r="C120" i="2" s="1"/>
  <c r="B121" i="2"/>
  <c r="D121" i="2" s="1"/>
  <c r="B122" i="2"/>
  <c r="D122" i="2" s="1"/>
  <c r="C122" i="2"/>
  <c r="B123" i="2"/>
  <c r="C123" i="2" s="1"/>
  <c r="B124" i="2"/>
  <c r="L124" i="2" s="1"/>
  <c r="B125" i="2"/>
  <c r="C125" i="2" s="1"/>
  <c r="B126" i="2"/>
  <c r="C126" i="2"/>
  <c r="B127" i="2"/>
  <c r="F127" i="2" s="1"/>
  <c r="C127" i="2"/>
  <c r="D127" i="2"/>
  <c r="E127" i="2" s="1"/>
  <c r="B128" i="2"/>
  <c r="C128" i="2" s="1"/>
  <c r="B129" i="2"/>
  <c r="D129" i="2" s="1"/>
  <c r="B130" i="2"/>
  <c r="C130" i="2" s="1"/>
  <c r="B131" i="2"/>
  <c r="C131" i="2" s="1"/>
  <c r="B132" i="2"/>
  <c r="L132" i="2" s="1"/>
  <c r="B133" i="2"/>
  <c r="C133" i="2" s="1"/>
  <c r="B134" i="2"/>
  <c r="C134" i="2"/>
  <c r="B135" i="2"/>
  <c r="F135" i="2" s="1"/>
  <c r="B136" i="2"/>
  <c r="C136" i="2" s="1"/>
  <c r="B137" i="2"/>
  <c r="D137" i="2" s="1"/>
  <c r="C137" i="2"/>
  <c r="B138" i="2"/>
  <c r="C138" i="2"/>
  <c r="B139" i="2"/>
  <c r="C139" i="2" s="1"/>
  <c r="B140" i="2"/>
  <c r="F140" i="2" s="1"/>
  <c r="B141" i="2"/>
  <c r="C141" i="2" s="1"/>
  <c r="B142" i="2"/>
  <c r="C142" i="2"/>
  <c r="B143" i="2"/>
  <c r="C143" i="2" s="1"/>
  <c r="B144" i="2"/>
  <c r="C144" i="2" s="1"/>
  <c r="B145" i="2"/>
  <c r="F145" i="2" s="1"/>
  <c r="C145" i="2"/>
  <c r="B146" i="2"/>
  <c r="D146" i="2" s="1"/>
  <c r="E146" i="2" s="1"/>
  <c r="B147" i="2"/>
  <c r="C147" i="2" s="1"/>
  <c r="B148" i="2"/>
  <c r="B149" i="2"/>
  <c r="C149" i="2" s="1"/>
  <c r="B150" i="2"/>
  <c r="C150" i="2" s="1"/>
  <c r="B151" i="2"/>
  <c r="F151" i="2" s="1"/>
  <c r="D151" i="2"/>
  <c r="E151" i="2" s="1"/>
  <c r="B152" i="2"/>
  <c r="C152" i="2" s="1"/>
  <c r="B153" i="2"/>
  <c r="C153" i="2" s="1"/>
  <c r="B154" i="2"/>
  <c r="D154" i="2" s="1"/>
  <c r="B155" i="2"/>
  <c r="C155" i="2" s="1"/>
  <c r="B156" i="2"/>
  <c r="L156" i="2" s="1"/>
  <c r="B157" i="2"/>
  <c r="C157" i="2" s="1"/>
  <c r="B158" i="2"/>
  <c r="C158" i="2" s="1"/>
  <c r="B159" i="2"/>
  <c r="F159" i="2" s="1"/>
  <c r="B160" i="2"/>
  <c r="C160" i="2" s="1"/>
  <c r="B161" i="2"/>
  <c r="D161" i="2" s="1"/>
  <c r="C161" i="2"/>
  <c r="B162" i="2"/>
  <c r="D162" i="2" s="1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 s="1"/>
  <c r="J107" i="2"/>
  <c r="L106" i="2"/>
  <c r="K106" i="2"/>
  <c r="J106" i="2"/>
  <c r="L105" i="2"/>
  <c r="K105" i="2"/>
  <c r="E105" i="2" s="1"/>
  <c r="J105" i="2"/>
  <c r="L104" i="2"/>
  <c r="K104" i="2"/>
  <c r="E104" i="2" s="1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 s="1"/>
  <c r="J99" i="2"/>
  <c r="L98" i="2"/>
  <c r="K98" i="2"/>
  <c r="J98" i="2"/>
  <c r="L97" i="2"/>
  <c r="K97" i="2"/>
  <c r="E97" i="2" s="1"/>
  <c r="J97" i="2"/>
  <c r="L96" i="2"/>
  <c r="K96" i="2"/>
  <c r="E96" i="2" s="1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 s="1"/>
  <c r="J91" i="2"/>
  <c r="L90" i="2"/>
  <c r="K90" i="2"/>
  <c r="J90" i="2"/>
  <c r="L89" i="2"/>
  <c r="K89" i="2"/>
  <c r="E89" i="2" s="1"/>
  <c r="J89" i="2"/>
  <c r="L88" i="2"/>
  <c r="K88" i="2"/>
  <c r="E88" i="2" s="1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 s="1"/>
  <c r="J83" i="2"/>
  <c r="L82" i="2"/>
  <c r="K82" i="2"/>
  <c r="J82" i="2"/>
  <c r="L81" i="2"/>
  <c r="K81" i="2"/>
  <c r="E81" i="2" s="1"/>
  <c r="J81" i="2"/>
  <c r="L80" i="2"/>
  <c r="K80" i="2"/>
  <c r="E80" i="2" s="1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 s="1"/>
  <c r="J75" i="2"/>
  <c r="L74" i="2"/>
  <c r="K74" i="2"/>
  <c r="J74" i="2"/>
  <c r="L73" i="2"/>
  <c r="K73" i="2"/>
  <c r="E73" i="2" s="1"/>
  <c r="J73" i="2"/>
  <c r="L72" i="2"/>
  <c r="K72" i="2"/>
  <c r="E72" i="2" s="1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 s="1"/>
  <c r="J67" i="2"/>
  <c r="L66" i="2"/>
  <c r="K66" i="2"/>
  <c r="J66" i="2"/>
  <c r="L65" i="2"/>
  <c r="K65" i="2"/>
  <c r="E65" i="2" s="1"/>
  <c r="J65" i="2"/>
  <c r="L64" i="2"/>
  <c r="K64" i="2"/>
  <c r="E64" i="2" s="1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 s="1"/>
  <c r="J59" i="2"/>
  <c r="L58" i="2"/>
  <c r="K58" i="2"/>
  <c r="J58" i="2"/>
  <c r="L57" i="2"/>
  <c r="K57" i="2"/>
  <c r="E57" i="2" s="1"/>
  <c r="J57" i="2"/>
  <c r="L56" i="2"/>
  <c r="K56" i="2"/>
  <c r="E56" i="2" s="1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 s="1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 s="1"/>
  <c r="B113" i="3"/>
  <c r="F113" i="3" s="1"/>
  <c r="C113" i="3"/>
  <c r="D113" i="3"/>
  <c r="B114" i="3"/>
  <c r="D114" i="3" s="1"/>
  <c r="C114" i="3"/>
  <c r="B115" i="3"/>
  <c r="C115" i="3" s="1"/>
  <c r="B116" i="3"/>
  <c r="L116" i="3" s="1"/>
  <c r="C116" i="3"/>
  <c r="D116" i="3"/>
  <c r="B117" i="3"/>
  <c r="C117" i="3" s="1"/>
  <c r="B118" i="3"/>
  <c r="C118" i="3"/>
  <c r="B119" i="3"/>
  <c r="F119" i="3" s="1"/>
  <c r="C119" i="3"/>
  <c r="D119" i="3"/>
  <c r="B120" i="3"/>
  <c r="C120" i="3" s="1"/>
  <c r="B121" i="3"/>
  <c r="F121" i="3" s="1"/>
  <c r="C121" i="3"/>
  <c r="D121" i="3"/>
  <c r="B122" i="3"/>
  <c r="D122" i="3" s="1"/>
  <c r="C122" i="3"/>
  <c r="B123" i="3"/>
  <c r="C123" i="3" s="1"/>
  <c r="B124" i="3"/>
  <c r="L124" i="3" s="1"/>
  <c r="C124" i="3"/>
  <c r="D124" i="3"/>
  <c r="B125" i="3"/>
  <c r="C125" i="3" s="1"/>
  <c r="B126" i="3"/>
  <c r="C126" i="3"/>
  <c r="B127" i="3"/>
  <c r="F127" i="3" s="1"/>
  <c r="C127" i="3"/>
  <c r="D127" i="3"/>
  <c r="B128" i="3"/>
  <c r="C128" i="3" s="1"/>
  <c r="B129" i="3"/>
  <c r="F129" i="3" s="1"/>
  <c r="C129" i="3"/>
  <c r="D129" i="3"/>
  <c r="B130" i="3"/>
  <c r="D130" i="3" s="1"/>
  <c r="C130" i="3"/>
  <c r="B131" i="3"/>
  <c r="C131" i="3" s="1"/>
  <c r="B132" i="3"/>
  <c r="L132" i="3" s="1"/>
  <c r="C132" i="3"/>
  <c r="D132" i="3"/>
  <c r="B133" i="3"/>
  <c r="C133" i="3" s="1"/>
  <c r="B134" i="3"/>
  <c r="C134" i="3"/>
  <c r="B135" i="3"/>
  <c r="F135" i="3" s="1"/>
  <c r="C135" i="3"/>
  <c r="D135" i="3"/>
  <c r="B136" i="3"/>
  <c r="C136" i="3" s="1"/>
  <c r="B137" i="3"/>
  <c r="F137" i="3" s="1"/>
  <c r="C137" i="3"/>
  <c r="D137" i="3"/>
  <c r="B138" i="3"/>
  <c r="D138" i="3" s="1"/>
  <c r="C138" i="3"/>
  <c r="B139" i="3"/>
  <c r="C139" i="3" s="1"/>
  <c r="B140" i="3"/>
  <c r="L140" i="3" s="1"/>
  <c r="C140" i="3"/>
  <c r="D140" i="3"/>
  <c r="B141" i="3"/>
  <c r="C141" i="3" s="1"/>
  <c r="B142" i="3"/>
  <c r="C142" i="3"/>
  <c r="B143" i="3"/>
  <c r="F143" i="3" s="1"/>
  <c r="C143" i="3"/>
  <c r="D143" i="3"/>
  <c r="B144" i="3"/>
  <c r="C144" i="3" s="1"/>
  <c r="B145" i="3"/>
  <c r="F145" i="3" s="1"/>
  <c r="C145" i="3"/>
  <c r="D145" i="3"/>
  <c r="B146" i="3"/>
  <c r="D146" i="3" s="1"/>
  <c r="C146" i="3"/>
  <c r="B147" i="3"/>
  <c r="C147" i="3" s="1"/>
  <c r="B148" i="3"/>
  <c r="L148" i="3" s="1"/>
  <c r="C148" i="3"/>
  <c r="D148" i="3"/>
  <c r="B149" i="3"/>
  <c r="C149" i="3" s="1"/>
  <c r="B150" i="3"/>
  <c r="C150" i="3"/>
  <c r="B151" i="3"/>
  <c r="F151" i="3" s="1"/>
  <c r="C151" i="3"/>
  <c r="D151" i="3"/>
  <c r="B152" i="3"/>
  <c r="C152" i="3" s="1"/>
  <c r="B153" i="3"/>
  <c r="F153" i="3" s="1"/>
  <c r="C153" i="3"/>
  <c r="D153" i="3"/>
  <c r="B154" i="3"/>
  <c r="D154" i="3" s="1"/>
  <c r="C154" i="3"/>
  <c r="B155" i="3"/>
  <c r="C155" i="3" s="1"/>
  <c r="B156" i="3"/>
  <c r="L156" i="3" s="1"/>
  <c r="C156" i="3"/>
  <c r="D156" i="3"/>
  <c r="B157" i="3"/>
  <c r="C157" i="3" s="1"/>
  <c r="B158" i="3"/>
  <c r="C158" i="3"/>
  <c r="B159" i="3"/>
  <c r="F159" i="3" s="1"/>
  <c r="C159" i="3"/>
  <c r="D159" i="3"/>
  <c r="B160" i="3"/>
  <c r="C160" i="3" s="1"/>
  <c r="B161" i="3"/>
  <c r="F161" i="3" s="1"/>
  <c r="C161" i="3"/>
  <c r="D161" i="3"/>
  <c r="B162" i="3"/>
  <c r="D162" i="3" s="1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 s="1"/>
  <c r="B121" i="1"/>
  <c r="C121" i="1" s="1"/>
  <c r="B122" i="1"/>
  <c r="C122" i="1" s="1"/>
  <c r="B123" i="1"/>
  <c r="C123" i="1" s="1"/>
  <c r="B124" i="1"/>
  <c r="F124" i="1" s="1"/>
  <c r="B125" i="1"/>
  <c r="C125" i="1" s="1"/>
  <c r="B126" i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B141" i="1"/>
  <c r="C141" i="1" s="1"/>
  <c r="B142" i="1"/>
  <c r="D142" i="1" s="1"/>
  <c r="B143" i="1"/>
  <c r="F144" i="1" s="1"/>
  <c r="B144" i="1"/>
  <c r="C144" i="1" s="1"/>
  <c r="B145" i="1"/>
  <c r="F145" i="1" s="1"/>
  <c r="B146" i="1"/>
  <c r="C146" i="1" s="1"/>
  <c r="B147" i="1"/>
  <c r="C147" i="1" s="1"/>
  <c r="B148" i="1"/>
  <c r="C148" i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F156" i="1" s="1"/>
  <c r="B157" i="1"/>
  <c r="C157" i="1" s="1"/>
  <c r="B158" i="1"/>
  <c r="B159" i="1"/>
  <c r="C159" i="1" s="1"/>
  <c r="B160" i="1"/>
  <c r="C160" i="1" s="1"/>
  <c r="B161" i="1"/>
  <c r="B162" i="1"/>
  <c r="B163" i="1"/>
  <c r="C163" i="1" s="1"/>
  <c r="B164" i="1"/>
  <c r="C164" i="1" s="1"/>
  <c r="B165" i="1"/>
  <c r="C165" i="1" s="1"/>
  <c r="B166" i="1"/>
  <c r="B167" i="1"/>
  <c r="L167" i="1" s="1"/>
  <c r="B168" i="1"/>
  <c r="C168" i="1" s="1"/>
  <c r="B169" i="1"/>
  <c r="C169" i="1" s="1"/>
  <c r="B170" i="1"/>
  <c r="C170" i="1" s="1"/>
  <c r="U103" i="4"/>
  <c r="U75" i="4"/>
  <c r="U59" i="4"/>
  <c r="I103" i="4"/>
  <c r="I75" i="4"/>
  <c r="K75" i="4" s="1"/>
  <c r="I59" i="4"/>
  <c r="K59" i="4" s="1"/>
  <c r="G59" i="4"/>
  <c r="G60" i="4"/>
  <c r="H61" i="4" s="1"/>
  <c r="H60" i="4"/>
  <c r="B61" i="4"/>
  <c r="C61" i="4" s="1"/>
  <c r="G61" i="4"/>
  <c r="G62" i="4"/>
  <c r="B62" i="4" s="1"/>
  <c r="C62" i="4" s="1"/>
  <c r="G63" i="4"/>
  <c r="G64" i="4"/>
  <c r="B64" i="4" s="1"/>
  <c r="H64" i="4"/>
  <c r="G65" i="4"/>
  <c r="G66" i="4"/>
  <c r="B66" i="4" s="1"/>
  <c r="G67" i="4"/>
  <c r="B67" i="4" s="1"/>
  <c r="G68" i="4"/>
  <c r="B68" i="4" s="1"/>
  <c r="G69" i="4"/>
  <c r="B69" i="4" s="1"/>
  <c r="L70" i="4" s="1"/>
  <c r="B70" i="4"/>
  <c r="C70" i="4" s="1"/>
  <c r="G70" i="4"/>
  <c r="H70" i="4"/>
  <c r="B71" i="4"/>
  <c r="G71" i="4"/>
  <c r="H71" i="4" s="1"/>
  <c r="G72" i="4"/>
  <c r="B72" i="4" s="1"/>
  <c r="C72" i="4" s="1"/>
  <c r="H72" i="4"/>
  <c r="G73" i="4"/>
  <c r="G74" i="4"/>
  <c r="B74" i="4" s="1"/>
  <c r="G75" i="4"/>
  <c r="G76" i="4"/>
  <c r="H76" i="4" s="1"/>
  <c r="B77" i="4"/>
  <c r="C77" i="4" s="1"/>
  <c r="G77" i="4"/>
  <c r="G78" i="4"/>
  <c r="B78" i="4" s="1"/>
  <c r="H78" i="4"/>
  <c r="G79" i="4"/>
  <c r="G80" i="4"/>
  <c r="B80" i="4" s="1"/>
  <c r="C80" i="4" s="1"/>
  <c r="G81" i="4"/>
  <c r="G82" i="4"/>
  <c r="B82" i="4" s="1"/>
  <c r="G83" i="4"/>
  <c r="H83" i="4" s="1"/>
  <c r="G84" i="4"/>
  <c r="B84" i="4" s="1"/>
  <c r="G85" i="4"/>
  <c r="H86" i="4" s="1"/>
  <c r="B86" i="4"/>
  <c r="C86" i="4" s="1"/>
  <c r="G86" i="4"/>
  <c r="B87" i="4"/>
  <c r="G87" i="4"/>
  <c r="G88" i="4"/>
  <c r="B88" i="4" s="1"/>
  <c r="C88" i="4" s="1"/>
  <c r="G89" i="4"/>
  <c r="B89" i="4" s="1"/>
  <c r="C89" i="4" s="1"/>
  <c r="B90" i="4"/>
  <c r="G90" i="4"/>
  <c r="G91" i="4"/>
  <c r="H91" i="4"/>
  <c r="G92" i="4"/>
  <c r="B92" i="4" s="1"/>
  <c r="G93" i="4"/>
  <c r="B93" i="4" s="1"/>
  <c r="C93" i="4" s="1"/>
  <c r="B94" i="4"/>
  <c r="C94" i="4" s="1"/>
  <c r="G94" i="4"/>
  <c r="G95" i="4"/>
  <c r="H95" i="4" s="1"/>
  <c r="G96" i="4"/>
  <c r="B96" i="4" s="1"/>
  <c r="C96" i="4" s="1"/>
  <c r="G97" i="4"/>
  <c r="B97" i="4" s="1"/>
  <c r="C97" i="4" s="1"/>
  <c r="G98" i="4"/>
  <c r="H99" i="4" s="1"/>
  <c r="H98" i="4"/>
  <c r="G99" i="4"/>
  <c r="B99" i="4" s="1"/>
  <c r="G100" i="4"/>
  <c r="B100" i="4" s="1"/>
  <c r="C100" i="4" s="1"/>
  <c r="G101" i="4"/>
  <c r="B101" i="4" s="1"/>
  <c r="C101" i="4" s="1"/>
  <c r="B102" i="4"/>
  <c r="F102" i="4" s="1"/>
  <c r="C102" i="4"/>
  <c r="G102" i="4"/>
  <c r="H102" i="4" s="1"/>
  <c r="G103" i="4"/>
  <c r="H103" i="4" s="1"/>
  <c r="G104" i="4"/>
  <c r="B104" i="4" s="1"/>
  <c r="G105" i="4"/>
  <c r="B105" i="4" s="1"/>
  <c r="C105" i="4" s="1"/>
  <c r="H105" i="4"/>
  <c r="G106" i="4"/>
  <c r="B106" i="4" s="1"/>
  <c r="B107" i="4"/>
  <c r="C107" i="4" s="1"/>
  <c r="G107" i="4"/>
  <c r="G108" i="4"/>
  <c r="H108" i="4"/>
  <c r="G109" i="4"/>
  <c r="H110" i="4" s="1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H109" i="4" l="1"/>
  <c r="H94" i="4"/>
  <c r="H92" i="4"/>
  <c r="B83" i="4"/>
  <c r="C83" i="4" s="1"/>
  <c r="H63" i="4"/>
  <c r="B103" i="4"/>
  <c r="H90" i="4"/>
  <c r="H82" i="4"/>
  <c r="H68" i="4"/>
  <c r="B63" i="4"/>
  <c r="C63" i="4" s="1"/>
  <c r="H62" i="4"/>
  <c r="B59" i="4"/>
  <c r="D102" i="4"/>
  <c r="E102" i="4" s="1"/>
  <c r="H75" i="4"/>
  <c r="B85" i="4"/>
  <c r="C85" i="4" s="1"/>
  <c r="B109" i="4"/>
  <c r="H101" i="4"/>
  <c r="H87" i="4"/>
  <c r="H84" i="4"/>
  <c r="H79" i="4"/>
  <c r="F148" i="1"/>
  <c r="L153" i="1"/>
  <c r="D166" i="1"/>
  <c r="E166" i="1" s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 s="1"/>
  <c r="D121" i="1"/>
  <c r="E121" i="1" s="1"/>
  <c r="L145" i="1"/>
  <c r="D171" i="1"/>
  <c r="F171" i="1"/>
  <c r="L171" i="1"/>
  <c r="F160" i="1"/>
  <c r="E142" i="1"/>
  <c r="F136" i="1"/>
  <c r="D150" i="1"/>
  <c r="E150" i="1" s="1"/>
  <c r="C145" i="1"/>
  <c r="F140" i="1"/>
  <c r="F135" i="1"/>
  <c r="E126" i="1"/>
  <c r="L125" i="1"/>
  <c r="F164" i="1"/>
  <c r="D153" i="1"/>
  <c r="E153" i="1" s="1"/>
  <c r="F138" i="1"/>
  <c r="L157" i="1"/>
  <c r="F167" i="1"/>
  <c r="F143" i="1"/>
  <c r="F129" i="1"/>
  <c r="L121" i="1"/>
  <c r="C167" i="1"/>
  <c r="C162" i="1"/>
  <c r="D158" i="1"/>
  <c r="E158" i="1" s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 s="1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 s="1"/>
  <c r="C154" i="2"/>
  <c r="D145" i="2"/>
  <c r="E145" i="2" s="1"/>
  <c r="L140" i="2"/>
  <c r="C135" i="2"/>
  <c r="D130" i="2"/>
  <c r="E130" i="2" s="1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 s="1"/>
  <c r="F143" i="2"/>
  <c r="L143" i="2"/>
  <c r="L159" i="2"/>
  <c r="D143" i="2"/>
  <c r="E143" i="2" s="1"/>
  <c r="D114" i="2"/>
  <c r="E114" i="2" s="1"/>
  <c r="F158" i="2"/>
  <c r="F150" i="2"/>
  <c r="F134" i="2"/>
  <c r="C162" i="2"/>
  <c r="D153" i="2"/>
  <c r="E153" i="2" s="1"/>
  <c r="L148" i="2"/>
  <c r="D138" i="2"/>
  <c r="E138" i="2" s="1"/>
  <c r="C113" i="2"/>
  <c r="F157" i="2"/>
  <c r="F149" i="2"/>
  <c r="F141" i="2"/>
  <c r="F133" i="2"/>
  <c r="F125" i="2"/>
  <c r="F117" i="2"/>
  <c r="D156" i="2"/>
  <c r="E156" i="2" s="1"/>
  <c r="D148" i="2"/>
  <c r="E148" i="2" s="1"/>
  <c r="D140" i="2"/>
  <c r="E140" i="2" s="1"/>
  <c r="D132" i="2"/>
  <c r="E132" i="2" s="1"/>
  <c r="D124" i="2"/>
  <c r="E124" i="2" s="1"/>
  <c r="D116" i="2"/>
  <c r="E116" i="2" s="1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 s="1"/>
  <c r="D155" i="2"/>
  <c r="E155" i="2" s="1"/>
  <c r="D147" i="2"/>
  <c r="E147" i="2" s="1"/>
  <c r="D139" i="2"/>
  <c r="E139" i="2" s="1"/>
  <c r="D131" i="2"/>
  <c r="E131" i="2" s="1"/>
  <c r="D123" i="2"/>
  <c r="E123" i="2" s="1"/>
  <c r="D115" i="2"/>
  <c r="E115" i="2" s="1"/>
  <c r="D158" i="2"/>
  <c r="E158" i="2" s="1"/>
  <c r="D150" i="2"/>
  <c r="E150" i="2" s="1"/>
  <c r="D142" i="2"/>
  <c r="E142" i="2" s="1"/>
  <c r="D134" i="2"/>
  <c r="E134" i="2" s="1"/>
  <c r="D126" i="2"/>
  <c r="E126" i="2" s="1"/>
  <c r="D160" i="2"/>
  <c r="E160" i="2" s="1"/>
  <c r="D152" i="2"/>
  <c r="E152" i="2" s="1"/>
  <c r="D144" i="2"/>
  <c r="D136" i="2"/>
  <c r="D128" i="2"/>
  <c r="D120" i="2"/>
  <c r="E120" i="2" s="1"/>
  <c r="D112" i="2"/>
  <c r="E112" i="2" s="1"/>
  <c r="L114" i="2"/>
  <c r="L122" i="2"/>
  <c r="L130" i="2"/>
  <c r="L138" i="2"/>
  <c r="L146" i="2"/>
  <c r="L154" i="2"/>
  <c r="L162" i="2"/>
  <c r="D157" i="2"/>
  <c r="E157" i="2" s="1"/>
  <c r="D149" i="2"/>
  <c r="E149" i="2" s="1"/>
  <c r="D141" i="2"/>
  <c r="E141" i="2" s="1"/>
  <c r="D133" i="2"/>
  <c r="E133" i="2" s="1"/>
  <c r="D125" i="2"/>
  <c r="E125" i="2" s="1"/>
  <c r="D117" i="2"/>
  <c r="E117" i="2" s="1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 s="1"/>
  <c r="C156" i="1"/>
  <c r="F153" i="1"/>
  <c r="F149" i="1"/>
  <c r="D145" i="1"/>
  <c r="E145" i="1" s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 s="1"/>
  <c r="F141" i="1"/>
  <c r="F169" i="1"/>
  <c r="F165" i="1"/>
  <c r="D161" i="1"/>
  <c r="E161" i="1" s="1"/>
  <c r="F154" i="1"/>
  <c r="F151" i="1"/>
  <c r="D134" i="1"/>
  <c r="E134" i="1" s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 s="1"/>
  <c r="F168" i="1"/>
  <c r="C161" i="1"/>
  <c r="C158" i="1"/>
  <c r="C140" i="1"/>
  <c r="F137" i="1"/>
  <c r="F133" i="1"/>
  <c r="D129" i="1"/>
  <c r="E129" i="1" s="1"/>
  <c r="C126" i="1"/>
  <c r="L168" i="1"/>
  <c r="L160" i="1"/>
  <c r="L152" i="1"/>
  <c r="L144" i="1"/>
  <c r="L136" i="1"/>
  <c r="L128" i="1"/>
  <c r="D124" i="1"/>
  <c r="E124" i="1" s="1"/>
  <c r="D159" i="1"/>
  <c r="E159" i="1" s="1"/>
  <c r="D135" i="1"/>
  <c r="E135" i="1" s="1"/>
  <c r="D154" i="1"/>
  <c r="E154" i="1" s="1"/>
  <c r="D146" i="1"/>
  <c r="E146" i="1" s="1"/>
  <c r="D138" i="1"/>
  <c r="E138" i="1" s="1"/>
  <c r="D130" i="1"/>
  <c r="E130" i="1" s="1"/>
  <c r="D122" i="1"/>
  <c r="E122" i="1" s="1"/>
  <c r="D165" i="1"/>
  <c r="E165" i="1" s="1"/>
  <c r="F163" i="1"/>
  <c r="D157" i="1"/>
  <c r="E157" i="1" s="1"/>
  <c r="F155" i="1"/>
  <c r="D149" i="1"/>
  <c r="E149" i="1" s="1"/>
  <c r="F147" i="1"/>
  <c r="D141" i="1"/>
  <c r="E141" i="1" s="1"/>
  <c r="F139" i="1"/>
  <c r="D133" i="1"/>
  <c r="E133" i="1" s="1"/>
  <c r="F131" i="1"/>
  <c r="D125" i="1"/>
  <c r="E125" i="1" s="1"/>
  <c r="F123" i="1"/>
  <c r="D168" i="1"/>
  <c r="E168" i="1" s="1"/>
  <c r="F166" i="1"/>
  <c r="F158" i="1"/>
  <c r="D152" i="1"/>
  <c r="E152" i="1" s="1"/>
  <c r="F150" i="1"/>
  <c r="D144" i="1"/>
  <c r="E144" i="1" s="1"/>
  <c r="F142" i="1"/>
  <c r="D136" i="1"/>
  <c r="E136" i="1" s="1"/>
  <c r="F134" i="1"/>
  <c r="D128" i="1"/>
  <c r="E128" i="1" s="1"/>
  <c r="F126" i="1"/>
  <c r="D156" i="1"/>
  <c r="E156" i="1" s="1"/>
  <c r="D148" i="1"/>
  <c r="E148" i="1" s="1"/>
  <c r="D132" i="1"/>
  <c r="E132" i="1" s="1"/>
  <c r="D151" i="1"/>
  <c r="E151" i="1" s="1"/>
  <c r="D143" i="1"/>
  <c r="E143" i="1" s="1"/>
  <c r="D127" i="1"/>
  <c r="E127" i="1" s="1"/>
  <c r="D170" i="1"/>
  <c r="E170" i="1" s="1"/>
  <c r="D163" i="1"/>
  <c r="E163" i="1" s="1"/>
  <c r="F161" i="1"/>
  <c r="D155" i="1"/>
  <c r="E155" i="1" s="1"/>
  <c r="D147" i="1"/>
  <c r="E147" i="1" s="1"/>
  <c r="D139" i="1"/>
  <c r="E139" i="1" s="1"/>
  <c r="D131" i="1"/>
  <c r="E131" i="1" s="1"/>
  <c r="D123" i="1"/>
  <c r="E123" i="1" s="1"/>
  <c r="D164" i="1"/>
  <c r="E164" i="1" s="1"/>
  <c r="D140" i="1"/>
  <c r="E140" i="1" s="1"/>
  <c r="D167" i="1"/>
  <c r="E167" i="1" s="1"/>
  <c r="F104" i="4"/>
  <c r="B75" i="4"/>
  <c r="C75" i="4" s="1"/>
  <c r="L72" i="4"/>
  <c r="L102" i="4"/>
  <c r="D97" i="4"/>
  <c r="E97" i="4" s="1"/>
  <c r="D87" i="4"/>
  <c r="E87" i="4" s="1"/>
  <c r="L94" i="4"/>
  <c r="L62" i="4"/>
  <c r="D64" i="4"/>
  <c r="E64" i="4" s="1"/>
  <c r="D94" i="4"/>
  <c r="E94" i="4" s="1"/>
  <c r="C87" i="4"/>
  <c r="C71" i="4"/>
  <c r="L103" i="4"/>
  <c r="F78" i="4"/>
  <c r="D86" i="4"/>
  <c r="E86" i="4" s="1"/>
  <c r="F72" i="4"/>
  <c r="D78" i="4"/>
  <c r="E78" i="4" s="1"/>
  <c r="L97" i="4"/>
  <c r="C78" i="4"/>
  <c r="C104" i="4"/>
  <c r="F94" i="4"/>
  <c r="L90" i="4"/>
  <c r="D72" i="4"/>
  <c r="E72" i="4" s="1"/>
  <c r="K76" i="4"/>
  <c r="J76" i="4"/>
  <c r="K60" i="4"/>
  <c r="J60" i="4"/>
  <c r="L84" i="4"/>
  <c r="C84" i="4"/>
  <c r="L85" i="4"/>
  <c r="D85" i="4"/>
  <c r="E85" i="4" s="1"/>
  <c r="C99" i="4"/>
  <c r="D100" i="4"/>
  <c r="E100" i="4" s="1"/>
  <c r="D93" i="4"/>
  <c r="E93" i="4" s="1"/>
  <c r="C92" i="4"/>
  <c r="C82" i="4"/>
  <c r="C68" i="4"/>
  <c r="D68" i="4"/>
  <c r="E68" i="4" s="1"/>
  <c r="L68" i="4"/>
  <c r="F68" i="4"/>
  <c r="C106" i="4"/>
  <c r="D106" i="4"/>
  <c r="E106" i="4" s="1"/>
  <c r="L106" i="4"/>
  <c r="F107" i="4"/>
  <c r="F106" i="4"/>
  <c r="C66" i="4"/>
  <c r="L88" i="4"/>
  <c r="D104" i="4"/>
  <c r="E104" i="4" s="1"/>
  <c r="B76" i="4"/>
  <c r="D77" i="4" s="1"/>
  <c r="E77" i="4" s="1"/>
  <c r="H73" i="4"/>
  <c r="B73" i="4"/>
  <c r="D74" i="4" s="1"/>
  <c r="E74" i="4" s="1"/>
  <c r="F63" i="4"/>
  <c r="L63" i="4"/>
  <c r="D107" i="4"/>
  <c r="E107" i="4" s="1"/>
  <c r="F105" i="4"/>
  <c r="L100" i="4"/>
  <c r="F100" i="4"/>
  <c r="H96" i="4"/>
  <c r="D70" i="4"/>
  <c r="E70" i="4" s="1"/>
  <c r="L64" i="4"/>
  <c r="D75" i="4"/>
  <c r="E75" i="4" s="1"/>
  <c r="H65" i="4"/>
  <c r="B65" i="4"/>
  <c r="D66" i="4" s="1"/>
  <c r="E66" i="4" s="1"/>
  <c r="B98" i="4"/>
  <c r="D99" i="4" s="1"/>
  <c r="E99" i="4" s="1"/>
  <c r="F89" i="4"/>
  <c r="F70" i="4"/>
  <c r="C64" i="4"/>
  <c r="L104" i="4"/>
  <c r="L101" i="4"/>
  <c r="L69" i="4"/>
  <c r="L66" i="4"/>
  <c r="B108" i="4"/>
  <c r="F109" i="4" s="1"/>
  <c r="H104" i="4"/>
  <c r="F101" i="4"/>
  <c r="H97" i="4"/>
  <c r="B95" i="4"/>
  <c r="F96" i="4" s="1"/>
  <c r="H93" i="4"/>
  <c r="F86" i="4"/>
  <c r="B79" i="4"/>
  <c r="H74" i="4"/>
  <c r="D71" i="4"/>
  <c r="E71" i="4" s="1"/>
  <c r="H69" i="4"/>
  <c r="C67" i="4"/>
  <c r="D67" i="4"/>
  <c r="E67" i="4" s="1"/>
  <c r="B60" i="4"/>
  <c r="D61" i="4" s="1"/>
  <c r="E61" i="4" s="1"/>
  <c r="C90" i="4"/>
  <c r="D90" i="4"/>
  <c r="E90" i="4" s="1"/>
  <c r="F64" i="4"/>
  <c r="L105" i="4"/>
  <c r="L87" i="4"/>
  <c r="H106" i="4"/>
  <c r="D101" i="4"/>
  <c r="E101" i="4" s="1"/>
  <c r="L78" i="4"/>
  <c r="F103" i="4"/>
  <c r="B91" i="4"/>
  <c r="D92" i="4" s="1"/>
  <c r="E92" i="4" s="1"/>
  <c r="H67" i="4"/>
  <c r="L89" i="4"/>
  <c r="D89" i="4"/>
  <c r="E89" i="4" s="1"/>
  <c r="F87" i="4"/>
  <c r="C74" i="4"/>
  <c r="F67" i="4"/>
  <c r="F62" i="4"/>
  <c r="D69" i="4"/>
  <c r="E69" i="4" s="1"/>
  <c r="F69" i="4"/>
  <c r="F88" i="4"/>
  <c r="F66" i="4"/>
  <c r="L67" i="4"/>
  <c r="F93" i="4"/>
  <c r="H89" i="4"/>
  <c r="H85" i="4"/>
  <c r="L93" i="4"/>
  <c r="D88" i="4"/>
  <c r="E88" i="4" s="1"/>
  <c r="H80" i="4"/>
  <c r="H77" i="4"/>
  <c r="L107" i="4"/>
  <c r="L75" i="4"/>
  <c r="D105" i="4"/>
  <c r="E105" i="4" s="1"/>
  <c r="D62" i="4"/>
  <c r="E62" i="4" s="1"/>
  <c r="L86" i="4"/>
  <c r="H107" i="4"/>
  <c r="D103" i="4"/>
  <c r="E103" i="4" s="1"/>
  <c r="H100" i="4"/>
  <c r="C109" i="4"/>
  <c r="C103" i="4"/>
  <c r="F97" i="4"/>
  <c r="F90" i="4"/>
  <c r="H88" i="4"/>
  <c r="F85" i="4"/>
  <c r="H81" i="4"/>
  <c r="B81" i="4"/>
  <c r="F74" i="4"/>
  <c r="F71" i="4"/>
  <c r="L71" i="4"/>
  <c r="C69" i="4"/>
  <c r="H66" i="4"/>
  <c r="D63" i="4"/>
  <c r="E63" i="4" s="1"/>
  <c r="C59" i="4"/>
  <c r="H111" i="2"/>
  <c r="B111" i="2"/>
  <c r="H111" i="3"/>
  <c r="B111" i="3"/>
  <c r="C111" i="3" s="1"/>
  <c r="H119" i="1"/>
  <c r="J119" i="1"/>
  <c r="K119" i="1"/>
  <c r="B119" i="1"/>
  <c r="F120" i="1" s="1"/>
  <c r="F83" i="4" l="1"/>
  <c r="D84" i="4"/>
  <c r="E84" i="4" s="1"/>
  <c r="L83" i="4"/>
  <c r="D83" i="4"/>
  <c r="E83" i="4" s="1"/>
  <c r="F84" i="4"/>
  <c r="F75" i="4"/>
  <c r="D110" i="4"/>
  <c r="E110" i="4" s="1"/>
  <c r="F110" i="4"/>
  <c r="L110" i="4"/>
  <c r="E171" i="1"/>
  <c r="C111" i="2"/>
  <c r="D120" i="1"/>
  <c r="E120" i="1" s="1"/>
  <c r="L120" i="1"/>
  <c r="C119" i="1"/>
  <c r="L61" i="4"/>
  <c r="D96" i="4"/>
  <c r="E96" i="4" s="1"/>
  <c r="D109" i="4"/>
  <c r="E109" i="4" s="1"/>
  <c r="F77" i="4"/>
  <c r="L99" i="4"/>
  <c r="F61" i="4"/>
  <c r="C81" i="4"/>
  <c r="D81" i="4"/>
  <c r="E81" i="4" s="1"/>
  <c r="L81" i="4"/>
  <c r="F81" i="4"/>
  <c r="D91" i="4"/>
  <c r="E91" i="4" s="1"/>
  <c r="C91" i="4"/>
  <c r="L91" i="4"/>
  <c r="F91" i="4"/>
  <c r="F79" i="4"/>
  <c r="L79" i="4"/>
  <c r="C79" i="4"/>
  <c r="D79" i="4"/>
  <c r="E79" i="4" s="1"/>
  <c r="L108" i="4"/>
  <c r="F108" i="4"/>
  <c r="C108" i="4"/>
  <c r="D108" i="4"/>
  <c r="E108" i="4" s="1"/>
  <c r="C98" i="4"/>
  <c r="D98" i="4"/>
  <c r="E98" i="4" s="1"/>
  <c r="F98" i="4"/>
  <c r="L98" i="4"/>
  <c r="C73" i="4"/>
  <c r="L74" i="4"/>
  <c r="D73" i="4"/>
  <c r="E73" i="4" s="1"/>
  <c r="F73" i="4"/>
  <c r="L73" i="4"/>
  <c r="D80" i="4"/>
  <c r="E80" i="4" s="1"/>
  <c r="L80" i="4"/>
  <c r="F80" i="4"/>
  <c r="C65" i="4"/>
  <c r="F65" i="4"/>
  <c r="D65" i="4"/>
  <c r="E65" i="4" s="1"/>
  <c r="L65" i="4"/>
  <c r="F92" i="4"/>
  <c r="L109" i="4"/>
  <c r="C60" i="4"/>
  <c r="D60" i="4"/>
  <c r="E60" i="4" s="1"/>
  <c r="L60" i="4"/>
  <c r="F60" i="4"/>
  <c r="C76" i="4"/>
  <c r="D76" i="4"/>
  <c r="E76" i="4" s="1"/>
  <c r="L76" i="4"/>
  <c r="F76" i="4"/>
  <c r="L77" i="4"/>
  <c r="L82" i="4"/>
  <c r="L92" i="4"/>
  <c r="F82" i="4"/>
  <c r="F99" i="4"/>
  <c r="L95" i="4"/>
  <c r="C95" i="4"/>
  <c r="D95" i="4"/>
  <c r="E95" i="4" s="1"/>
  <c r="L96" i="4"/>
  <c r="F95" i="4"/>
  <c r="D82" i="4"/>
  <c r="E82" i="4" s="1"/>
  <c r="G58" i="4"/>
  <c r="J58" i="4"/>
  <c r="B58" i="4" l="1"/>
  <c r="H59" i="4"/>
  <c r="H110" i="2"/>
  <c r="B110" i="2"/>
  <c r="H110" i="3"/>
  <c r="B110" i="3"/>
  <c r="H118" i="1"/>
  <c r="J118" i="1"/>
  <c r="K118" i="1"/>
  <c r="B118" i="1"/>
  <c r="G57" i="4"/>
  <c r="B57" i="4" s="1"/>
  <c r="J57" i="4"/>
  <c r="K57" i="4"/>
  <c r="L58" i="4" l="1"/>
  <c r="F59" i="4"/>
  <c r="D59" i="4"/>
  <c r="E59" i="4" s="1"/>
  <c r="L59" i="4"/>
  <c r="H58" i="4"/>
  <c r="C58" i="4"/>
  <c r="F58" i="4"/>
  <c r="D58" i="4"/>
  <c r="E58" i="4" s="1"/>
  <c r="C110" i="2"/>
  <c r="D111" i="2"/>
  <c r="F111" i="2"/>
  <c r="C118" i="1"/>
  <c r="D119" i="1"/>
  <c r="E119" i="1" s="1"/>
  <c r="F119" i="1"/>
  <c r="L119" i="1"/>
  <c r="C110" i="3"/>
  <c r="F111" i="3"/>
  <c r="D111" i="3"/>
  <c r="C57" i="4"/>
  <c r="H109" i="2"/>
  <c r="B109" i="2"/>
  <c r="D110" i="2" s="1"/>
  <c r="C109" i="2"/>
  <c r="H109" i="3"/>
  <c r="B109" i="3"/>
  <c r="C109" i="3" s="1"/>
  <c r="H117" i="1"/>
  <c r="J117" i="1"/>
  <c r="K117" i="1"/>
  <c r="B117" i="1"/>
  <c r="G56" i="4"/>
  <c r="H57" i="4" s="1"/>
  <c r="J56" i="4"/>
  <c r="K56" i="4"/>
  <c r="H56" i="4" l="1"/>
  <c r="F110" i="2"/>
  <c r="C117" i="1"/>
  <c r="D118" i="1"/>
  <c r="E118" i="1" s="1"/>
  <c r="F118" i="1"/>
  <c r="L118" i="1"/>
  <c r="D110" i="3"/>
  <c r="F110" i="3"/>
  <c r="B56" i="4"/>
  <c r="H108" i="2"/>
  <c r="B108" i="2"/>
  <c r="C108" i="2"/>
  <c r="B108" i="3"/>
  <c r="C108" i="3" s="1"/>
  <c r="H108" i="3"/>
  <c r="H116" i="1"/>
  <c r="J116" i="1"/>
  <c r="K116" i="1"/>
  <c r="B116" i="1"/>
  <c r="G55" i="4"/>
  <c r="J55" i="4"/>
  <c r="K55" i="4"/>
  <c r="H55" i="4" l="1"/>
  <c r="L57" i="4"/>
  <c r="F57" i="4"/>
  <c r="D57" i="4"/>
  <c r="E57" i="4" s="1"/>
  <c r="B55" i="4"/>
  <c r="C55" i="4" s="1"/>
  <c r="D109" i="2"/>
  <c r="F109" i="2"/>
  <c r="F109" i="3"/>
  <c r="C116" i="1"/>
  <c r="F117" i="1"/>
  <c r="D117" i="1"/>
  <c r="E117" i="1" s="1"/>
  <c r="L117" i="1"/>
  <c r="D109" i="3"/>
  <c r="F56" i="4"/>
  <c r="C56" i="4"/>
  <c r="L56" i="4"/>
  <c r="D56" i="4"/>
  <c r="E56" i="4" s="1"/>
  <c r="H107" i="2"/>
  <c r="B107" i="2"/>
  <c r="C107" i="2" s="1"/>
  <c r="H107" i="3"/>
  <c r="B107" i="3"/>
  <c r="C107" i="3" s="1"/>
  <c r="H115" i="1"/>
  <c r="J115" i="1"/>
  <c r="K115" i="1"/>
  <c r="B115" i="1"/>
  <c r="L116" i="1" s="1"/>
  <c r="G54" i="4"/>
  <c r="B54" i="4" s="1"/>
  <c r="J54" i="4"/>
  <c r="K54" i="4"/>
  <c r="L55" i="4" l="1"/>
  <c r="D55" i="4"/>
  <c r="E55" i="4" s="1"/>
  <c r="F55" i="4"/>
  <c r="C115" i="1"/>
  <c r="D116" i="1"/>
  <c r="E116" i="1" s="1"/>
  <c r="F108" i="2"/>
  <c r="D108" i="2"/>
  <c r="F116" i="1"/>
  <c r="D108" i="3"/>
  <c r="F108" i="3"/>
  <c r="C54" i="4"/>
  <c r="H54" i="4"/>
  <c r="H106" i="2"/>
  <c r="B106" i="2"/>
  <c r="D107" i="2" s="1"/>
  <c r="H106" i="3"/>
  <c r="B106" i="3"/>
  <c r="H114" i="1"/>
  <c r="J114" i="1"/>
  <c r="K114" i="1"/>
  <c r="B114" i="1"/>
  <c r="D115" i="1" s="1"/>
  <c r="E115" i="1" s="1"/>
  <c r="G53" i="4"/>
  <c r="J53" i="4"/>
  <c r="K53" i="4"/>
  <c r="H53" i="4" l="1"/>
  <c r="C106" i="2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 s="1"/>
  <c r="H113" i="1"/>
  <c r="J113" i="1"/>
  <c r="K113" i="1"/>
  <c r="B113" i="1"/>
  <c r="C113" i="1" s="1"/>
  <c r="I50" i="4"/>
  <c r="U50" i="4"/>
  <c r="G52" i="4"/>
  <c r="J52" i="4"/>
  <c r="K52" i="4"/>
  <c r="B52" i="4" l="1"/>
  <c r="L54" i="4"/>
  <c r="D54" i="4"/>
  <c r="E54" i="4" s="1"/>
  <c r="F54" i="4"/>
  <c r="C105" i="2"/>
  <c r="D106" i="2"/>
  <c r="F106" i="2"/>
  <c r="D114" i="1"/>
  <c r="E114" i="1" s="1"/>
  <c r="F114" i="1"/>
  <c r="L114" i="1"/>
  <c r="D106" i="3"/>
  <c r="F106" i="3"/>
  <c r="D53" i="4"/>
  <c r="E53" i="4" s="1"/>
  <c r="F53" i="4"/>
  <c r="C53" i="4"/>
  <c r="H103" i="2"/>
  <c r="H104" i="2"/>
  <c r="B104" i="2"/>
  <c r="B103" i="2"/>
  <c r="C103" i="2" s="1"/>
  <c r="H103" i="3"/>
  <c r="H104" i="3"/>
  <c r="B104" i="3"/>
  <c r="F105" i="3" s="1"/>
  <c r="B103" i="3"/>
  <c r="C103" i="3" s="1"/>
  <c r="G51" i="4"/>
  <c r="B51" i="4" s="1"/>
  <c r="D52" i="4" s="1"/>
  <c r="E52" i="4" s="1"/>
  <c r="J51" i="4"/>
  <c r="K51" i="4"/>
  <c r="B112" i="1"/>
  <c r="C112" i="1" s="1"/>
  <c r="H112" i="1"/>
  <c r="J112" i="1"/>
  <c r="K112" i="1"/>
  <c r="H111" i="1"/>
  <c r="J111" i="1"/>
  <c r="K111" i="1"/>
  <c r="B111" i="1"/>
  <c r="C111" i="1" s="1"/>
  <c r="G50" i="4"/>
  <c r="J50" i="4"/>
  <c r="K50" i="4"/>
  <c r="F52" i="4" l="1"/>
  <c r="C52" i="4"/>
  <c r="L52" i="4"/>
  <c r="L53" i="4"/>
  <c r="H52" i="4"/>
  <c r="D113" i="1"/>
  <c r="E113" i="1" s="1"/>
  <c r="C104" i="2"/>
  <c r="F105" i="2"/>
  <c r="D105" i="2"/>
  <c r="F104" i="2"/>
  <c r="D104" i="2"/>
  <c r="C104" i="3"/>
  <c r="F113" i="1"/>
  <c r="D104" i="3"/>
  <c r="L113" i="1"/>
  <c r="D105" i="3"/>
  <c r="F104" i="3"/>
  <c r="C51" i="4"/>
  <c r="H51" i="4"/>
  <c r="F112" i="1"/>
  <c r="D112" i="1"/>
  <c r="E112" i="1" s="1"/>
  <c r="L112" i="1"/>
  <c r="AG111" i="1"/>
  <c r="B50" i="4"/>
  <c r="D51" i="4" s="1"/>
  <c r="E51" i="4" s="1"/>
  <c r="H102" i="2"/>
  <c r="B102" i="2"/>
  <c r="C102" i="2" s="1"/>
  <c r="H102" i="3"/>
  <c r="B102" i="3"/>
  <c r="H110" i="1"/>
  <c r="J110" i="1"/>
  <c r="K110" i="1"/>
  <c r="B110" i="1"/>
  <c r="C110" i="1" s="1"/>
  <c r="G49" i="4"/>
  <c r="H50" i="4" s="1"/>
  <c r="J49" i="4"/>
  <c r="K49" i="4"/>
  <c r="B49" i="4" l="1"/>
  <c r="F103" i="2"/>
  <c r="D103" i="2"/>
  <c r="D111" i="1"/>
  <c r="E111" i="1" s="1"/>
  <c r="AG110" i="1"/>
  <c r="F111" i="1"/>
  <c r="L111" i="1"/>
  <c r="C102" i="3"/>
  <c r="F103" i="3"/>
  <c r="D103" i="3"/>
  <c r="L51" i="4"/>
  <c r="F51" i="4"/>
  <c r="D50" i="4"/>
  <c r="E50" i="4" s="1"/>
  <c r="F50" i="4"/>
  <c r="C50" i="4"/>
  <c r="L50" i="4"/>
  <c r="H101" i="2"/>
  <c r="B101" i="2"/>
  <c r="F102" i="2" s="1"/>
  <c r="H101" i="3"/>
  <c r="B101" i="3"/>
  <c r="C101" i="3" s="1"/>
  <c r="J109" i="1"/>
  <c r="K109" i="1"/>
  <c r="H109" i="1"/>
  <c r="B109" i="1"/>
  <c r="C109" i="1" s="1"/>
  <c r="J48" i="4"/>
  <c r="K48" i="4"/>
  <c r="G48" i="4"/>
  <c r="B48" i="4" l="1"/>
  <c r="H49" i="4"/>
  <c r="C49" i="4"/>
  <c r="L49" i="4"/>
  <c r="D49" i="4"/>
  <c r="E49" i="4" s="1"/>
  <c r="C101" i="2"/>
  <c r="D102" i="2"/>
  <c r="L110" i="1"/>
  <c r="AG109" i="1"/>
  <c r="D102" i="3"/>
  <c r="D110" i="1"/>
  <c r="E110" i="1" s="1"/>
  <c r="D109" i="1"/>
  <c r="E109" i="1" s="1"/>
  <c r="F110" i="1"/>
  <c r="F102" i="3"/>
  <c r="C48" i="4"/>
  <c r="H100" i="2"/>
  <c r="B100" i="2"/>
  <c r="H100" i="3"/>
  <c r="B100" i="3"/>
  <c r="C100" i="3" s="1"/>
  <c r="H108" i="1"/>
  <c r="J108" i="1"/>
  <c r="K108" i="1"/>
  <c r="B108" i="1"/>
  <c r="C108" i="1" s="1"/>
  <c r="G47" i="4"/>
  <c r="H48" i="4" s="1"/>
  <c r="J47" i="4"/>
  <c r="K47" i="4"/>
  <c r="B47" i="4" l="1"/>
  <c r="F49" i="4"/>
  <c r="L48" i="4"/>
  <c r="D101" i="2"/>
  <c r="F101" i="2"/>
  <c r="C100" i="2"/>
  <c r="F109" i="1"/>
  <c r="L109" i="1"/>
  <c r="AG108" i="1"/>
  <c r="F101" i="3"/>
  <c r="D101" i="3"/>
  <c r="F47" i="4"/>
  <c r="D47" i="4"/>
  <c r="E47" i="4" s="1"/>
  <c r="L47" i="4"/>
  <c r="H99" i="2"/>
  <c r="B99" i="2"/>
  <c r="C99" i="2" s="1"/>
  <c r="H99" i="3"/>
  <c r="B99" i="3"/>
  <c r="C99" i="3" s="1"/>
  <c r="H107" i="1"/>
  <c r="J107" i="1"/>
  <c r="K107" i="1"/>
  <c r="B107" i="1"/>
  <c r="K46" i="4"/>
  <c r="J46" i="4"/>
  <c r="G46" i="4"/>
  <c r="B46" i="4"/>
  <c r="H47" i="4" l="1"/>
  <c r="C47" i="4"/>
  <c r="D48" i="4"/>
  <c r="E48" i="4" s="1"/>
  <c r="F48" i="4"/>
  <c r="F100" i="2"/>
  <c r="D100" i="2"/>
  <c r="C107" i="1"/>
  <c r="D108" i="1"/>
  <c r="E108" i="1" s="1"/>
  <c r="F108" i="1"/>
  <c r="AG107" i="1"/>
  <c r="L108" i="1"/>
  <c r="F107" i="1"/>
  <c r="D100" i="3"/>
  <c r="F100" i="3"/>
  <c r="C46" i="4"/>
  <c r="H98" i="2"/>
  <c r="B98" i="2"/>
  <c r="C98" i="2" s="1"/>
  <c r="H98" i="3"/>
  <c r="B98" i="3"/>
  <c r="F99" i="3" s="1"/>
  <c r="H106" i="1"/>
  <c r="J106" i="1"/>
  <c r="K106" i="1"/>
  <c r="B106" i="1"/>
  <c r="C106" i="1" s="1"/>
  <c r="K45" i="4"/>
  <c r="J45" i="4"/>
  <c r="G45" i="4"/>
  <c r="B45" i="4" s="1"/>
  <c r="F46" i="4" s="1"/>
  <c r="D46" i="4" l="1"/>
  <c r="E46" i="4" s="1"/>
  <c r="L46" i="4"/>
  <c r="H46" i="4"/>
  <c r="D107" i="1"/>
  <c r="E107" i="1" s="1"/>
  <c r="L107" i="1"/>
  <c r="D99" i="2"/>
  <c r="F99" i="2"/>
  <c r="AG106" i="1"/>
  <c r="C98" i="3"/>
  <c r="D99" i="3"/>
  <c r="C45" i="4"/>
  <c r="H97" i="2"/>
  <c r="B97" i="2"/>
  <c r="C97" i="2" s="1"/>
  <c r="H97" i="3"/>
  <c r="B97" i="3"/>
  <c r="C97" i="3" s="1"/>
  <c r="H105" i="1"/>
  <c r="J105" i="1"/>
  <c r="K105" i="1"/>
  <c r="B105" i="1"/>
  <c r="G44" i="4"/>
  <c r="B44" i="4" s="1"/>
  <c r="L45" i="4" s="1"/>
  <c r="J44" i="4"/>
  <c r="K44" i="4"/>
  <c r="H45" i="4" l="1"/>
  <c r="F45" i="4"/>
  <c r="D45" i="4"/>
  <c r="E45" i="4" s="1"/>
  <c r="D98" i="2"/>
  <c r="F98" i="2"/>
  <c r="C105" i="1"/>
  <c r="D106" i="1"/>
  <c r="E106" i="1" s="1"/>
  <c r="F106" i="1"/>
  <c r="AG105" i="1"/>
  <c r="L106" i="1"/>
  <c r="D98" i="3"/>
  <c r="F98" i="3"/>
  <c r="C44" i="4"/>
  <c r="H96" i="2"/>
  <c r="B96" i="2"/>
  <c r="C96" i="2" s="1"/>
  <c r="H96" i="3"/>
  <c r="B96" i="3"/>
  <c r="D97" i="3" s="1"/>
  <c r="H104" i="1"/>
  <c r="J104" i="1"/>
  <c r="K104" i="1"/>
  <c r="B104" i="1"/>
  <c r="L105" i="1" s="1"/>
  <c r="G43" i="4"/>
  <c r="J43" i="4"/>
  <c r="K43" i="4"/>
  <c r="H44" i="4" l="1"/>
  <c r="D105" i="1"/>
  <c r="E105" i="1" s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 s="1"/>
  <c r="H103" i="1"/>
  <c r="J103" i="1"/>
  <c r="K103" i="1"/>
  <c r="B103" i="1"/>
  <c r="G42" i="4"/>
  <c r="J42" i="4"/>
  <c r="K42" i="4"/>
  <c r="F44" i="4" l="1"/>
  <c r="D44" i="4"/>
  <c r="E44" i="4" s="1"/>
  <c r="L44" i="4"/>
  <c r="H43" i="4"/>
  <c r="C95" i="2"/>
  <c r="D96" i="2"/>
  <c r="F96" i="2"/>
  <c r="C95" i="3"/>
  <c r="C103" i="1"/>
  <c r="D104" i="1"/>
  <c r="E104" i="1" s="1"/>
  <c r="F104" i="1"/>
  <c r="AG103" i="1"/>
  <c r="L104" i="1"/>
  <c r="D103" i="1"/>
  <c r="E103" i="1" s="1"/>
  <c r="L103" i="1"/>
  <c r="D96" i="3"/>
  <c r="C43" i="4"/>
  <c r="B42" i="4"/>
  <c r="D43" i="4" s="1"/>
  <c r="E43" i="4" s="1"/>
  <c r="B94" i="2"/>
  <c r="C94" i="2" s="1"/>
  <c r="H94" i="2"/>
  <c r="H94" i="3"/>
  <c r="B94" i="3"/>
  <c r="F95" i="3" s="1"/>
  <c r="H102" i="1"/>
  <c r="J102" i="1"/>
  <c r="K102" i="1"/>
  <c r="B102" i="1"/>
  <c r="C102" i="1" s="1"/>
  <c r="G41" i="4"/>
  <c r="J41" i="4"/>
  <c r="K41" i="4"/>
  <c r="H42" i="4" l="1"/>
  <c r="L43" i="4"/>
  <c r="F43" i="4"/>
  <c r="B41" i="4"/>
  <c r="C41" i="4" s="1"/>
  <c r="F103" i="1"/>
  <c r="D95" i="2"/>
  <c r="F95" i="2"/>
  <c r="AG102" i="1"/>
  <c r="D95" i="3"/>
  <c r="C94" i="3"/>
  <c r="C42" i="4"/>
  <c r="L42" i="4"/>
  <c r="F42" i="4"/>
  <c r="F41" i="4"/>
  <c r="H93" i="2"/>
  <c r="B93" i="2"/>
  <c r="C93" i="2" s="1"/>
  <c r="H93" i="3"/>
  <c r="B93" i="3"/>
  <c r="C93" i="3" s="1"/>
  <c r="H101" i="1"/>
  <c r="J101" i="1"/>
  <c r="K101" i="1"/>
  <c r="B101" i="1"/>
  <c r="H92" i="2"/>
  <c r="B92" i="2"/>
  <c r="C92" i="2" s="1"/>
  <c r="G40" i="4"/>
  <c r="B40" i="4" s="1"/>
  <c r="J40" i="4"/>
  <c r="K40" i="4"/>
  <c r="H92" i="3"/>
  <c r="B92" i="3"/>
  <c r="C92" i="3" s="1"/>
  <c r="H100" i="1"/>
  <c r="K100" i="1"/>
  <c r="J100" i="1"/>
  <c r="B100" i="1"/>
  <c r="AG100" i="1" s="1"/>
  <c r="G39" i="4"/>
  <c r="J39" i="4"/>
  <c r="K39" i="4"/>
  <c r="D42" i="4" l="1"/>
  <c r="E42" i="4" s="1"/>
  <c r="L41" i="4"/>
  <c r="D41" i="4"/>
  <c r="E41" i="4" s="1"/>
  <c r="H41" i="4"/>
  <c r="C100" i="1"/>
  <c r="F101" i="1"/>
  <c r="D101" i="1"/>
  <c r="E101" i="1" s="1"/>
  <c r="F93" i="2"/>
  <c r="D93" i="2"/>
  <c r="D94" i="2"/>
  <c r="F94" i="2"/>
  <c r="C101" i="1"/>
  <c r="D102" i="1"/>
  <c r="E102" i="1" s="1"/>
  <c r="F102" i="1"/>
  <c r="AG101" i="1"/>
  <c r="D94" i="3"/>
  <c r="L101" i="1"/>
  <c r="F93" i="3"/>
  <c r="L102" i="1"/>
  <c r="D93" i="3"/>
  <c r="F94" i="3"/>
  <c r="L40" i="4"/>
  <c r="D40" i="4"/>
  <c r="E40" i="4" s="1"/>
  <c r="C40" i="4"/>
  <c r="H40" i="4"/>
  <c r="B39" i="4"/>
  <c r="F40" i="4" s="1"/>
  <c r="H91" i="2"/>
  <c r="B91" i="2"/>
  <c r="C91" i="2" s="1"/>
  <c r="H91" i="3"/>
  <c r="B91" i="3"/>
  <c r="C91" i="3" s="1"/>
  <c r="H99" i="1"/>
  <c r="J99" i="1"/>
  <c r="K99" i="1"/>
  <c r="B99" i="1"/>
  <c r="C99" i="1" s="1"/>
  <c r="G38" i="4"/>
  <c r="J38" i="4"/>
  <c r="K38" i="4"/>
  <c r="H39" i="4" l="1"/>
  <c r="F92" i="2"/>
  <c r="D92" i="2"/>
  <c r="F100" i="1"/>
  <c r="D100" i="1"/>
  <c r="E100" i="1" s="1"/>
  <c r="AG99" i="1"/>
  <c r="L100" i="1"/>
  <c r="F92" i="3"/>
  <c r="D92" i="3"/>
  <c r="C39" i="4"/>
  <c r="B38" i="4"/>
  <c r="F39" i="4" s="1"/>
  <c r="H90" i="2"/>
  <c r="B90" i="2"/>
  <c r="D91" i="2" s="1"/>
  <c r="H90" i="3"/>
  <c r="B90" i="3"/>
  <c r="D91" i="3" s="1"/>
  <c r="H98" i="1"/>
  <c r="J98" i="1"/>
  <c r="K98" i="1"/>
  <c r="B98" i="1"/>
  <c r="G37" i="4"/>
  <c r="H38" i="4" s="1"/>
  <c r="J37" i="4"/>
  <c r="K37" i="4"/>
  <c r="H89" i="2"/>
  <c r="B89" i="2"/>
  <c r="C89" i="2" s="1"/>
  <c r="H89" i="3"/>
  <c r="B89" i="3"/>
  <c r="C89" i="3" s="1"/>
  <c r="H97" i="1"/>
  <c r="J97" i="1"/>
  <c r="K97" i="1"/>
  <c r="B97" i="1"/>
  <c r="L97" i="1" s="1"/>
  <c r="G35" i="4"/>
  <c r="H35" i="4" s="1"/>
  <c r="G36" i="4"/>
  <c r="H36" i="4" s="1"/>
  <c r="J35" i="4"/>
  <c r="K35" i="4"/>
  <c r="J36" i="4"/>
  <c r="K36" i="4"/>
  <c r="U35" i="4"/>
  <c r="B35" i="4" s="1"/>
  <c r="H88" i="2"/>
  <c r="B88" i="2"/>
  <c r="H88" i="3"/>
  <c r="B88" i="3"/>
  <c r="J96" i="1"/>
  <c r="K96" i="1"/>
  <c r="H96" i="1"/>
  <c r="B96" i="1"/>
  <c r="C96" i="1" s="1"/>
  <c r="AG96" i="1"/>
  <c r="H87" i="2"/>
  <c r="B87" i="2"/>
  <c r="H87" i="3"/>
  <c r="B87" i="3"/>
  <c r="C87" i="3" s="1"/>
  <c r="J95" i="1"/>
  <c r="K95" i="1"/>
  <c r="H95" i="1"/>
  <c r="B95" i="1"/>
  <c r="G34" i="4"/>
  <c r="B34" i="4" s="1"/>
  <c r="J34" i="4"/>
  <c r="K34" i="4"/>
  <c r="H86" i="2"/>
  <c r="B86" i="2"/>
  <c r="C86" i="2" s="1"/>
  <c r="H86" i="3"/>
  <c r="B86" i="3"/>
  <c r="H94" i="1"/>
  <c r="J94" i="1"/>
  <c r="K94" i="1"/>
  <c r="B94" i="1"/>
  <c r="U32" i="4"/>
  <c r="B32" i="4" s="1"/>
  <c r="G33" i="4"/>
  <c r="H33" i="4" s="1"/>
  <c r="J33" i="4"/>
  <c r="K33" i="4"/>
  <c r="B33" i="4"/>
  <c r="F33" i="4" s="1"/>
  <c r="G32" i="4"/>
  <c r="H32" i="4" s="1"/>
  <c r="J32" i="4"/>
  <c r="K32" i="4"/>
  <c r="J92" i="1"/>
  <c r="K92" i="1"/>
  <c r="J93" i="1"/>
  <c r="K93" i="1"/>
  <c r="H92" i="1"/>
  <c r="H93" i="1"/>
  <c r="B93" i="1"/>
  <c r="C93" i="1" s="1"/>
  <c r="B92" i="1"/>
  <c r="L93" i="1" s="1"/>
  <c r="H84" i="2"/>
  <c r="H85" i="2"/>
  <c r="B85" i="2"/>
  <c r="B84" i="2"/>
  <c r="H85" i="3"/>
  <c r="B85" i="3"/>
  <c r="H84" i="3"/>
  <c r="B84" i="3"/>
  <c r="C84" i="3" s="1"/>
  <c r="C33" i="4"/>
  <c r="J31" i="4"/>
  <c r="K31" i="4"/>
  <c r="G31" i="4"/>
  <c r="B31" i="4"/>
  <c r="L31" i="4" s="1"/>
  <c r="H31" i="4"/>
  <c r="K91" i="1"/>
  <c r="J91" i="1"/>
  <c r="H91" i="1"/>
  <c r="B91" i="1"/>
  <c r="AG91" i="1" s="1"/>
  <c r="H83" i="2"/>
  <c r="B83" i="2"/>
  <c r="D83" i="2" s="1"/>
  <c r="C83" i="2"/>
  <c r="H83" i="3"/>
  <c r="B83" i="3"/>
  <c r="H82" i="3"/>
  <c r="B82" i="3"/>
  <c r="H82" i="2"/>
  <c r="B82" i="2"/>
  <c r="G30" i="4"/>
  <c r="B30" i="4"/>
  <c r="C30" i="4" s="1"/>
  <c r="J30" i="4"/>
  <c r="K30" i="4"/>
  <c r="J90" i="1"/>
  <c r="K90" i="1"/>
  <c r="H90" i="1"/>
  <c r="B90" i="1"/>
  <c r="AG90" i="1" s="1"/>
  <c r="G29" i="4"/>
  <c r="B29" i="4"/>
  <c r="C29" i="4" s="1"/>
  <c r="J29" i="4"/>
  <c r="K29" i="4"/>
  <c r="H30" i="4"/>
  <c r="H29" i="4"/>
  <c r="H81" i="2"/>
  <c r="B81" i="2"/>
  <c r="H81" i="3"/>
  <c r="B81" i="3"/>
  <c r="C81" i="3" s="1"/>
  <c r="H89" i="1"/>
  <c r="J89" i="1"/>
  <c r="K89" i="1"/>
  <c r="B89" i="1"/>
  <c r="D90" i="1" s="1"/>
  <c r="G28" i="4"/>
  <c r="B28" i="4"/>
  <c r="C28" i="4" s="1"/>
  <c r="J28" i="4"/>
  <c r="K28" i="4"/>
  <c r="H28" i="4"/>
  <c r="H80" i="2"/>
  <c r="B80" i="2"/>
  <c r="C80" i="2" s="1"/>
  <c r="H80" i="3"/>
  <c r="B80" i="3"/>
  <c r="J27" i="4"/>
  <c r="K27" i="4"/>
  <c r="B27" i="4"/>
  <c r="L27" i="4" s="1"/>
  <c r="G27" i="4"/>
  <c r="H88" i="1"/>
  <c r="J88" i="1"/>
  <c r="K88" i="1"/>
  <c r="B88" i="1"/>
  <c r="F27" i="4"/>
  <c r="H79" i="2"/>
  <c r="B79" i="2"/>
  <c r="D79" i="2" s="1"/>
  <c r="H79" i="3"/>
  <c r="B79" i="3"/>
  <c r="C79" i="3" s="1"/>
  <c r="H87" i="1"/>
  <c r="J87" i="1"/>
  <c r="K87" i="1"/>
  <c r="B87" i="1"/>
  <c r="G26" i="4"/>
  <c r="H27" i="4" s="1"/>
  <c r="B26" i="4"/>
  <c r="J26" i="4"/>
  <c r="K26" i="4"/>
  <c r="C26" i="4"/>
  <c r="L26" i="4"/>
  <c r="D26" i="4"/>
  <c r="E26" i="4" s="1"/>
  <c r="H26" i="4"/>
  <c r="G25" i="4"/>
  <c r="H25" i="4"/>
  <c r="J25" i="4"/>
  <c r="K25" i="4"/>
  <c r="H78" i="2"/>
  <c r="B78" i="2"/>
  <c r="D78" i="2" s="1"/>
  <c r="C78" i="2"/>
  <c r="H78" i="3"/>
  <c r="B78" i="3"/>
  <c r="C78" i="3" s="1"/>
  <c r="J86" i="1"/>
  <c r="K86" i="1"/>
  <c r="H86" i="1"/>
  <c r="B86" i="1"/>
  <c r="C86" i="1" s="1"/>
  <c r="B25" i="4"/>
  <c r="F26" i="4" s="1"/>
  <c r="H77" i="2"/>
  <c r="B77" i="2"/>
  <c r="C77" i="2"/>
  <c r="H77" i="3"/>
  <c r="B77" i="3"/>
  <c r="C77" i="3" s="1"/>
  <c r="H85" i="1"/>
  <c r="J85" i="1"/>
  <c r="K85" i="1"/>
  <c r="B85" i="1"/>
  <c r="G24" i="4"/>
  <c r="B24" i="4"/>
  <c r="D25" i="4" s="1"/>
  <c r="J24" i="4"/>
  <c r="K24" i="4"/>
  <c r="C25" i="4"/>
  <c r="L25" i="4"/>
  <c r="F25" i="4"/>
  <c r="C24" i="4"/>
  <c r="L24" i="4"/>
  <c r="D24" i="4"/>
  <c r="E24" i="4"/>
  <c r="F24" i="4"/>
  <c r="H24" i="4"/>
  <c r="H76" i="2"/>
  <c r="B76" i="2"/>
  <c r="H76" i="3"/>
  <c r="B76" i="3"/>
  <c r="C76" i="3" s="1"/>
  <c r="H84" i="1"/>
  <c r="J84" i="1"/>
  <c r="K84" i="1"/>
  <c r="B84" i="1"/>
  <c r="C84" i="1" s="1"/>
  <c r="G23" i="4"/>
  <c r="B23" i="4"/>
  <c r="J23" i="4"/>
  <c r="K23" i="4"/>
  <c r="C23" i="4"/>
  <c r="H75" i="2"/>
  <c r="B75" i="2"/>
  <c r="H75" i="3"/>
  <c r="B75" i="3"/>
  <c r="C75" i="3" s="1"/>
  <c r="H83" i="1"/>
  <c r="J83" i="1"/>
  <c r="K83" i="1"/>
  <c r="B83" i="1"/>
  <c r="AG83" i="1" s="1"/>
  <c r="G22" i="4"/>
  <c r="H23" i="4" s="1"/>
  <c r="J22" i="4"/>
  <c r="K22" i="4"/>
  <c r="B22" i="4"/>
  <c r="D23" i="4" s="1"/>
  <c r="H74" i="2"/>
  <c r="B74" i="2"/>
  <c r="C74" i="2" s="1"/>
  <c r="H74" i="3"/>
  <c r="B74" i="3"/>
  <c r="H82" i="1"/>
  <c r="J82" i="1"/>
  <c r="K82" i="1"/>
  <c r="B82" i="1"/>
  <c r="C82" i="1" s="1"/>
  <c r="G21" i="4"/>
  <c r="H22" i="4" s="1"/>
  <c r="B21" i="4"/>
  <c r="J21" i="4"/>
  <c r="K21" i="4"/>
  <c r="F22" i="4"/>
  <c r="H73" i="2"/>
  <c r="B73" i="2"/>
  <c r="C73" i="2" s="1"/>
  <c r="H73" i="3"/>
  <c r="B73" i="3"/>
  <c r="H81" i="1"/>
  <c r="B81" i="1"/>
  <c r="AG81" i="1" s="1"/>
  <c r="J81" i="1"/>
  <c r="K81" i="1"/>
  <c r="G20" i="4"/>
  <c r="H21" i="4" s="1"/>
  <c r="J20" i="4"/>
  <c r="K20" i="4"/>
  <c r="H72" i="3"/>
  <c r="B72" i="2"/>
  <c r="H72" i="2"/>
  <c r="B72" i="3"/>
  <c r="H80" i="1"/>
  <c r="J80" i="1"/>
  <c r="K80" i="1"/>
  <c r="B80" i="1"/>
  <c r="AG80" i="1" s="1"/>
  <c r="G19" i="4"/>
  <c r="B19" i="4"/>
  <c r="F19" i="4" s="1"/>
  <c r="J19" i="4"/>
  <c r="K19" i="4"/>
  <c r="L19" i="4"/>
  <c r="H71" i="2"/>
  <c r="B71" i="2"/>
  <c r="C71" i="2"/>
  <c r="H71" i="3"/>
  <c r="B71" i="3"/>
  <c r="C71" i="3" s="1"/>
  <c r="H79" i="1"/>
  <c r="J79" i="1"/>
  <c r="K79" i="1"/>
  <c r="B79" i="1"/>
  <c r="AG79" i="1" s="1"/>
  <c r="G18" i="4"/>
  <c r="H18" i="4" s="1"/>
  <c r="B18" i="4"/>
  <c r="F18" i="4" s="1"/>
  <c r="J18" i="4"/>
  <c r="K18" i="4"/>
  <c r="D19" i="4"/>
  <c r="E19" i="4" s="1"/>
  <c r="H70" i="2"/>
  <c r="B70" i="2"/>
  <c r="H70" i="3"/>
  <c r="B70" i="3"/>
  <c r="H78" i="1"/>
  <c r="J78" i="1"/>
  <c r="K78" i="1"/>
  <c r="B78" i="1"/>
  <c r="D79" i="1" s="1"/>
  <c r="G17" i="4"/>
  <c r="J17" i="4"/>
  <c r="K17" i="4"/>
  <c r="B17" i="4"/>
  <c r="L17" i="4" s="1"/>
  <c r="H69" i="2"/>
  <c r="B69" i="2"/>
  <c r="C69" i="2"/>
  <c r="H69" i="3"/>
  <c r="B69" i="3"/>
  <c r="H77" i="1"/>
  <c r="J77" i="1"/>
  <c r="K77" i="1"/>
  <c r="B77" i="1"/>
  <c r="C77" i="1" s="1"/>
  <c r="G16" i="4"/>
  <c r="B16" i="4"/>
  <c r="J16" i="4"/>
  <c r="K16" i="4"/>
  <c r="H17" i="4"/>
  <c r="D17" i="4"/>
  <c r="E17" i="4" s="1"/>
  <c r="L18" i="4"/>
  <c r="H68" i="2"/>
  <c r="B68" i="2"/>
  <c r="C68" i="2" s="1"/>
  <c r="H68" i="3"/>
  <c r="B68" i="3"/>
  <c r="C68" i="3" s="1"/>
  <c r="H76" i="1"/>
  <c r="J76" i="1"/>
  <c r="K76" i="1"/>
  <c r="B76" i="1"/>
  <c r="J15" i="4"/>
  <c r="K15" i="4"/>
  <c r="G15" i="4"/>
  <c r="H16" i="4" s="1"/>
  <c r="H67" i="2"/>
  <c r="B67" i="2"/>
  <c r="C67" i="2"/>
  <c r="H67" i="3"/>
  <c r="B67" i="3"/>
  <c r="H75" i="1"/>
  <c r="J75" i="1"/>
  <c r="K75" i="1"/>
  <c r="B75" i="1"/>
  <c r="C75" i="1" s="1"/>
  <c r="G14" i="4"/>
  <c r="H14" i="4" s="1"/>
  <c r="B14" i="4"/>
  <c r="D14" i="4" s="1"/>
  <c r="E14" i="4" s="1"/>
  <c r="J14" i="4"/>
  <c r="K14" i="4"/>
  <c r="H15" i="4"/>
  <c r="C14" i="4"/>
  <c r="G13" i="4"/>
  <c r="J13" i="4"/>
  <c r="K13" i="4"/>
  <c r="B66" i="2"/>
  <c r="C66" i="2" s="1"/>
  <c r="H66" i="2"/>
  <c r="H66" i="3"/>
  <c r="B66" i="3"/>
  <c r="C66" i="3" s="1"/>
  <c r="H74" i="1"/>
  <c r="J74" i="1"/>
  <c r="K74" i="1"/>
  <c r="B74" i="1"/>
  <c r="B13" i="4"/>
  <c r="D13" i="4" s="1"/>
  <c r="E13" i="4" s="1"/>
  <c r="G12" i="4"/>
  <c r="H13" i="4" s="1"/>
  <c r="J12" i="4"/>
  <c r="K12" i="4"/>
  <c r="H65" i="2"/>
  <c r="B65" i="2"/>
  <c r="H65" i="3"/>
  <c r="B65" i="3"/>
  <c r="C65" i="3" s="1"/>
  <c r="H73" i="1"/>
  <c r="J73" i="1"/>
  <c r="K73" i="1"/>
  <c r="B73" i="1"/>
  <c r="AG73" i="1" s="1"/>
  <c r="B12" i="4"/>
  <c r="F12" i="4" s="1"/>
  <c r="L14" i="4"/>
  <c r="C12" i="4"/>
  <c r="J11" i="4"/>
  <c r="K11" i="4"/>
  <c r="G11" i="4"/>
  <c r="H64" i="2"/>
  <c r="B64" i="2"/>
  <c r="C64" i="2" s="1"/>
  <c r="H64" i="3"/>
  <c r="B64" i="3"/>
  <c r="H72" i="1"/>
  <c r="J72" i="1"/>
  <c r="K72" i="1"/>
  <c r="B72" i="1"/>
  <c r="AG72" i="1" s="1"/>
  <c r="H12" i="4"/>
  <c r="B11" i="4"/>
  <c r="J10" i="4"/>
  <c r="K10" i="4"/>
  <c r="G10" i="4"/>
  <c r="H11" i="4" s="1"/>
  <c r="H63" i="2"/>
  <c r="B63" i="2"/>
  <c r="H63" i="3"/>
  <c r="B63" i="3"/>
  <c r="C63" i="3" s="1"/>
  <c r="H71" i="1"/>
  <c r="J71" i="1"/>
  <c r="K71" i="1"/>
  <c r="B71" i="1"/>
  <c r="AG71" i="1" s="1"/>
  <c r="L12" i="4"/>
  <c r="C11" i="4"/>
  <c r="B10" i="4"/>
  <c r="F11" i="4" s="1"/>
  <c r="AH3" i="4"/>
  <c r="AI3" i="4"/>
  <c r="AE2" i="4"/>
  <c r="Z2" i="4"/>
  <c r="AA2" i="4" s="1"/>
  <c r="G9" i="4"/>
  <c r="H9" i="4" s="1"/>
  <c r="J9" i="4"/>
  <c r="K9" i="4"/>
  <c r="H62" i="2"/>
  <c r="B62" i="2"/>
  <c r="H62" i="3"/>
  <c r="B62" i="3"/>
  <c r="J70" i="1"/>
  <c r="K70" i="1"/>
  <c r="H70" i="1"/>
  <c r="B70" i="1"/>
  <c r="J8" i="4"/>
  <c r="K8" i="4"/>
  <c r="G8" i="4"/>
  <c r="H8" i="4" s="1"/>
  <c r="H61" i="2"/>
  <c r="B61" i="2"/>
  <c r="H61" i="3"/>
  <c r="B61" i="3"/>
  <c r="C61" i="3" s="1"/>
  <c r="H69" i="1"/>
  <c r="J69" i="1"/>
  <c r="K69" i="1"/>
  <c r="B69" i="1"/>
  <c r="B8" i="4"/>
  <c r="C8" i="4" s="1"/>
  <c r="G7" i="4"/>
  <c r="J7" i="4"/>
  <c r="K7" i="4"/>
  <c r="H60" i="2"/>
  <c r="B60" i="2"/>
  <c r="H60" i="3"/>
  <c r="B60" i="3"/>
  <c r="H68" i="1"/>
  <c r="J68" i="1"/>
  <c r="K68" i="1"/>
  <c r="B68" i="1"/>
  <c r="B7" i="4"/>
  <c r="L8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H7" i="4"/>
  <c r="B6" i="4"/>
  <c r="L7" i="4"/>
  <c r="G5" i="4"/>
  <c r="J5" i="4"/>
  <c r="K5" i="4"/>
  <c r="H58" i="2"/>
  <c r="B58" i="2"/>
  <c r="C58" i="2"/>
  <c r="H58" i="3"/>
  <c r="B58" i="3"/>
  <c r="C58" i="3" s="1"/>
  <c r="H66" i="1"/>
  <c r="J66" i="1"/>
  <c r="K66" i="1"/>
  <c r="B66" i="1"/>
  <c r="AG66" i="1" s="1"/>
  <c r="F7" i="4"/>
  <c r="C6" i="4"/>
  <c r="D7" i="4"/>
  <c r="E7" i="4"/>
  <c r="H6" i="4"/>
  <c r="B5" i="4"/>
  <c r="C5" i="4" s="1"/>
  <c r="G4" i="4"/>
  <c r="H4" i="4" s="1"/>
  <c r="H5" i="4"/>
  <c r="J4" i="4"/>
  <c r="K4" i="4"/>
  <c r="H57" i="2"/>
  <c r="B57" i="2"/>
  <c r="C57" i="2" s="1"/>
  <c r="H57" i="3"/>
  <c r="B57" i="3"/>
  <c r="H65" i="1"/>
  <c r="J65" i="1"/>
  <c r="K65" i="1"/>
  <c r="B65" i="1"/>
  <c r="F6" i="4"/>
  <c r="G3" i="4"/>
  <c r="J3" i="4"/>
  <c r="K3" i="4"/>
  <c r="H56" i="2"/>
  <c r="B56" i="2"/>
  <c r="H56" i="3"/>
  <c r="B56" i="3"/>
  <c r="H64" i="1"/>
  <c r="J64" i="1"/>
  <c r="K64" i="1"/>
  <c r="B64" i="1"/>
  <c r="B3" i="4"/>
  <c r="C3" i="4" s="1"/>
  <c r="G2" i="4"/>
  <c r="J2" i="4"/>
  <c r="K2" i="4"/>
  <c r="H55" i="2"/>
  <c r="B55" i="2"/>
  <c r="C55" i="2" s="1"/>
  <c r="H55" i="3"/>
  <c r="B55" i="3"/>
  <c r="C55" i="3" s="1"/>
  <c r="J63" i="1"/>
  <c r="K63" i="1"/>
  <c r="H63" i="1"/>
  <c r="B63" i="1"/>
  <c r="AE3" i="4"/>
  <c r="Z3" i="4"/>
  <c r="AD3" i="4" s="1"/>
  <c r="A2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H2" i="4"/>
  <c r="H3" i="4"/>
  <c r="B2" i="4"/>
  <c r="H54" i="2"/>
  <c r="B54" i="2"/>
  <c r="C54" i="2" s="1"/>
  <c r="H54" i="3"/>
  <c r="B54" i="3"/>
  <c r="C54" i="3" s="1"/>
  <c r="J62" i="1"/>
  <c r="K62" i="1"/>
  <c r="H62" i="1"/>
  <c r="B62" i="1"/>
  <c r="D3" i="4"/>
  <c r="E3" i="4" s="1"/>
  <c r="F3" i="4"/>
  <c r="L2" i="4"/>
  <c r="C2" i="4"/>
  <c r="H53" i="2"/>
  <c r="B53" i="2"/>
  <c r="F54" i="2" s="1"/>
  <c r="C53" i="2"/>
  <c r="H53" i="3"/>
  <c r="B53" i="3"/>
  <c r="C53" i="3" s="1"/>
  <c r="J61" i="1"/>
  <c r="K61" i="1"/>
  <c r="B61" i="1"/>
  <c r="H61" i="1"/>
  <c r="H52" i="2"/>
  <c r="B52" i="2"/>
  <c r="H52" i="3"/>
  <c r="B52" i="3"/>
  <c r="B60" i="1"/>
  <c r="AG60" i="1" s="1"/>
  <c r="J60" i="1"/>
  <c r="K60" i="1"/>
  <c r="H60" i="1"/>
  <c r="H51" i="2"/>
  <c r="B51" i="2"/>
  <c r="C51" i="2" s="1"/>
  <c r="H51" i="3"/>
  <c r="B51" i="3"/>
  <c r="C51" i="3" s="1"/>
  <c r="H59" i="1"/>
  <c r="J59" i="1"/>
  <c r="K59" i="1"/>
  <c r="B59" i="1"/>
  <c r="D60" i="1" s="1"/>
  <c r="E60" i="1" s="1"/>
  <c r="B50" i="2"/>
  <c r="D51" i="2" s="1"/>
  <c r="C50" i="2"/>
  <c r="H50" i="2"/>
  <c r="H49" i="2"/>
  <c r="B49" i="2"/>
  <c r="C49" i="2" s="1"/>
  <c r="H50" i="3"/>
  <c r="B50" i="3"/>
  <c r="H58" i="1"/>
  <c r="J58" i="1"/>
  <c r="K58" i="1"/>
  <c r="B58" i="1"/>
  <c r="AG58" i="1" s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 s="1"/>
  <c r="B57" i="1"/>
  <c r="F58" i="1" s="1"/>
  <c r="J57" i="1"/>
  <c r="K57" i="1"/>
  <c r="B48" i="2"/>
  <c r="B48" i="3"/>
  <c r="J56" i="1"/>
  <c r="K56" i="1"/>
  <c r="B56" i="1"/>
  <c r="B47" i="2"/>
  <c r="C47" i="2" s="1"/>
  <c r="B47" i="3"/>
  <c r="J55" i="1"/>
  <c r="K55" i="1"/>
  <c r="B55" i="1"/>
  <c r="C55" i="1" s="1"/>
  <c r="B46" i="2"/>
  <c r="F46" i="2" s="1"/>
  <c r="B46" i="3"/>
  <c r="J54" i="1"/>
  <c r="K54" i="1"/>
  <c r="B54" i="1"/>
  <c r="AG54" i="1" s="1"/>
  <c r="B45" i="2"/>
  <c r="C45" i="2" s="1"/>
  <c r="B45" i="3"/>
  <c r="C45" i="3" s="1"/>
  <c r="J53" i="1"/>
  <c r="K53" i="1"/>
  <c r="B53" i="1"/>
  <c r="B44" i="2"/>
  <c r="C44" i="2" s="1"/>
  <c r="B44" i="3"/>
  <c r="J52" i="1"/>
  <c r="K52" i="1"/>
  <c r="B52" i="1"/>
  <c r="C52" i="1" s="1"/>
  <c r="B43" i="2"/>
  <c r="B43" i="3"/>
  <c r="J51" i="1"/>
  <c r="K51" i="1"/>
  <c r="B51" i="1"/>
  <c r="B42" i="2"/>
  <c r="C42" i="2" s="1"/>
  <c r="B42" i="3"/>
  <c r="C42" i="3" s="1"/>
  <c r="J50" i="1"/>
  <c r="K50" i="1"/>
  <c r="B50" i="1"/>
  <c r="F50" i="1" s="1"/>
  <c r="B41" i="2"/>
  <c r="C41" i="2"/>
  <c r="B41" i="3"/>
  <c r="C41" i="3" s="1"/>
  <c r="J49" i="1"/>
  <c r="K49" i="1"/>
  <c r="B49" i="1"/>
  <c r="C49" i="1" s="1"/>
  <c r="B40" i="2"/>
  <c r="B40" i="3"/>
  <c r="B48" i="1"/>
  <c r="AG48" i="1" s="1"/>
  <c r="J48" i="1"/>
  <c r="K48" i="1"/>
  <c r="B39" i="2"/>
  <c r="C39" i="2"/>
  <c r="B39" i="3"/>
  <c r="B47" i="1"/>
  <c r="AG47" i="1" s="1"/>
  <c r="J47" i="1"/>
  <c r="K47" i="1"/>
  <c r="B38" i="2"/>
  <c r="C38" i="2" s="1"/>
  <c r="B38" i="3"/>
  <c r="C38" i="3" s="1"/>
  <c r="J46" i="1"/>
  <c r="K46" i="1"/>
  <c r="B46" i="1"/>
  <c r="F46" i="1" s="1"/>
  <c r="B37" i="2"/>
  <c r="C37" i="2" s="1"/>
  <c r="B37" i="3"/>
  <c r="C37" i="3" s="1"/>
  <c r="J45" i="1"/>
  <c r="K45" i="1"/>
  <c r="B45" i="1"/>
  <c r="B36" i="2"/>
  <c r="D37" i="2" s="1"/>
  <c r="B36" i="3"/>
  <c r="C36" i="3" s="1"/>
  <c r="J44" i="1"/>
  <c r="K44" i="1"/>
  <c r="B44" i="1"/>
  <c r="D45" i="1" s="1"/>
  <c r="B35" i="2"/>
  <c r="B35" i="3"/>
  <c r="C35" i="3" s="1"/>
  <c r="J43" i="1"/>
  <c r="K43" i="1"/>
  <c r="B43" i="1"/>
  <c r="B34" i="2"/>
  <c r="B34" i="3"/>
  <c r="C34" i="3" s="1"/>
  <c r="B33" i="3"/>
  <c r="C33" i="3" s="1"/>
  <c r="B42" i="1"/>
  <c r="J42" i="1"/>
  <c r="K42" i="1"/>
  <c r="B33" i="2"/>
  <c r="C33" i="2" s="1"/>
  <c r="J41" i="1"/>
  <c r="K41" i="1"/>
  <c r="B41" i="1"/>
  <c r="F42" i="1" s="1"/>
  <c r="B32" i="2"/>
  <c r="C32" i="2" s="1"/>
  <c r="B32" i="3"/>
  <c r="J40" i="1"/>
  <c r="K40" i="1"/>
  <c r="B40" i="1"/>
  <c r="B31" i="2"/>
  <c r="C31" i="2" s="1"/>
  <c r="B31" i="3"/>
  <c r="C31" i="3" s="1"/>
  <c r="J39" i="1"/>
  <c r="K39" i="1"/>
  <c r="B39" i="1"/>
  <c r="B30" i="2"/>
  <c r="F30" i="2" s="1"/>
  <c r="B30" i="3"/>
  <c r="C30" i="3" s="1"/>
  <c r="B38" i="1"/>
  <c r="AG38" i="1" s="1"/>
  <c r="J38" i="1"/>
  <c r="K38" i="1"/>
  <c r="B29" i="2"/>
  <c r="D29" i="2" s="1"/>
  <c r="B29" i="3"/>
  <c r="C29" i="3" s="1"/>
  <c r="J37" i="1"/>
  <c r="K37" i="1"/>
  <c r="B37" i="1"/>
  <c r="C37" i="1" s="1"/>
  <c r="B28" i="2"/>
  <c r="C28" i="2" s="1"/>
  <c r="B28" i="3"/>
  <c r="B36" i="1"/>
  <c r="C36" i="1" s="1"/>
  <c r="J36" i="1"/>
  <c r="K36" i="1"/>
  <c r="B27" i="2"/>
  <c r="D27" i="2" s="1"/>
  <c r="B27" i="3"/>
  <c r="J35" i="1"/>
  <c r="K35" i="1"/>
  <c r="B35" i="1"/>
  <c r="B26" i="2"/>
  <c r="C26" i="2" s="1"/>
  <c r="B26" i="3"/>
  <c r="C26" i="3" s="1"/>
  <c r="J34" i="1"/>
  <c r="K34" i="1"/>
  <c r="B34" i="1"/>
  <c r="B25" i="2"/>
  <c r="B25" i="3"/>
  <c r="C25" i="3" s="1"/>
  <c r="J33" i="1"/>
  <c r="K33" i="1"/>
  <c r="B33" i="1"/>
  <c r="B24" i="2"/>
  <c r="F24" i="2" s="1"/>
  <c r="B24" i="3"/>
  <c r="C24" i="3" s="1"/>
  <c r="J32" i="1"/>
  <c r="K32" i="1"/>
  <c r="B32" i="1"/>
  <c r="AG32" i="1" s="1"/>
  <c r="B23" i="2"/>
  <c r="D23" i="2" s="1"/>
  <c r="F23" i="2"/>
  <c r="C23" i="2"/>
  <c r="B23" i="3"/>
  <c r="C23" i="3" s="1"/>
  <c r="J31" i="1"/>
  <c r="K31" i="1"/>
  <c r="B31" i="1"/>
  <c r="C31" i="1" s="1"/>
  <c r="B22" i="2"/>
  <c r="C22" i="2"/>
  <c r="B22" i="3"/>
  <c r="J30" i="1"/>
  <c r="K30" i="1"/>
  <c r="B30" i="1"/>
  <c r="B21" i="2"/>
  <c r="B21" i="3"/>
  <c r="B29" i="1"/>
  <c r="J29" i="1"/>
  <c r="K29" i="1"/>
  <c r="B20" i="2"/>
  <c r="C20" i="2" s="1"/>
  <c r="B20" i="3"/>
  <c r="B28" i="1"/>
  <c r="C28" i="1" s="1"/>
  <c r="J28" i="1"/>
  <c r="K28" i="1"/>
  <c r="B19" i="2"/>
  <c r="B19" i="3"/>
  <c r="J27" i="1"/>
  <c r="K27" i="1"/>
  <c r="B27" i="1"/>
  <c r="AG27" i="1" s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 s="1"/>
  <c r="B18" i="3"/>
  <c r="C18" i="3" s="1"/>
  <c r="B26" i="1"/>
  <c r="J26" i="1"/>
  <c r="B17" i="2"/>
  <c r="C17" i="2" s="1"/>
  <c r="B17" i="3"/>
  <c r="B25" i="1"/>
  <c r="C25" i="1"/>
  <c r="J25" i="1"/>
  <c r="B16" i="3"/>
  <c r="C16" i="3" s="1"/>
  <c r="J24" i="1"/>
  <c r="B24" i="1"/>
  <c r="AG24" i="1" s="1"/>
  <c r="B15" i="3"/>
  <c r="C15" i="3" s="1"/>
  <c r="B23" i="1"/>
  <c r="J23" i="1"/>
  <c r="B14" i="3"/>
  <c r="C14" i="3" s="1"/>
  <c r="J22" i="1"/>
  <c r="B22" i="1"/>
  <c r="AG22" i="1" s="1"/>
  <c r="C3" i="2"/>
  <c r="C2" i="2"/>
  <c r="B13" i="3"/>
  <c r="C13" i="3" s="1"/>
  <c r="J21" i="1"/>
  <c r="B21" i="1"/>
  <c r="F12" i="2"/>
  <c r="B12" i="3"/>
  <c r="C12" i="3" s="1"/>
  <c r="J20" i="1"/>
  <c r="B20" i="1"/>
  <c r="AG20" i="1"/>
  <c r="B11" i="2"/>
  <c r="C11" i="2" s="1"/>
  <c r="B12" i="2"/>
  <c r="C12" i="2" s="1"/>
  <c r="B13" i="2"/>
  <c r="F13" i="2" s="1"/>
  <c r="C13" i="2"/>
  <c r="B14" i="2"/>
  <c r="C14" i="2" s="1"/>
  <c r="B15" i="2"/>
  <c r="C15" i="2" s="1"/>
  <c r="B16" i="2"/>
  <c r="C16" i="2" s="1"/>
  <c r="B5" i="2"/>
  <c r="B6" i="2"/>
  <c r="B7" i="2"/>
  <c r="B9" i="2"/>
  <c r="C9" i="2" s="1"/>
  <c r="B10" i="2"/>
  <c r="C10" i="2" s="1"/>
  <c r="B4" i="2"/>
  <c r="C4" i="2"/>
  <c r="W8" i="2"/>
  <c r="B8" i="2" s="1"/>
  <c r="B5" i="3"/>
  <c r="B6" i="3"/>
  <c r="C6" i="3" s="1"/>
  <c r="B7" i="3"/>
  <c r="B8" i="3"/>
  <c r="C8" i="3" s="1"/>
  <c r="B9" i="3"/>
  <c r="C9" i="3" s="1"/>
  <c r="B10" i="3"/>
  <c r="B11" i="3"/>
  <c r="C11" i="3" s="1"/>
  <c r="B4" i="3"/>
  <c r="C4" i="3" s="1"/>
  <c r="J19" i="1"/>
  <c r="B19" i="1"/>
  <c r="L20" i="1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J18" i="1"/>
  <c r="B18" i="1"/>
  <c r="J17" i="1"/>
  <c r="B17" i="1"/>
  <c r="C17" i="1" s="1"/>
  <c r="J16" i="1"/>
  <c r="B16" i="1"/>
  <c r="F16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 s="1"/>
  <c r="B5" i="1"/>
  <c r="B6" i="1"/>
  <c r="C6" i="1" s="1"/>
  <c r="B7" i="1"/>
  <c r="AG7" i="1" s="1"/>
  <c r="B8" i="1"/>
  <c r="AG8" i="1" s="1"/>
  <c r="B9" i="1"/>
  <c r="B10" i="1"/>
  <c r="AG10" i="1" s="1"/>
  <c r="B11" i="1"/>
  <c r="AG11" i="1" s="1"/>
  <c r="B12" i="1"/>
  <c r="B13" i="1"/>
  <c r="C13" i="1"/>
  <c r="B14" i="1"/>
  <c r="C14" i="1" s="1"/>
  <c r="B2" i="1"/>
  <c r="F3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G25" i="1"/>
  <c r="AG15" i="1"/>
  <c r="C34" i="2"/>
  <c r="F25" i="1"/>
  <c r="L25" i="1"/>
  <c r="D37" i="1"/>
  <c r="E37" i="1" s="1"/>
  <c r="L57" i="1"/>
  <c r="AG3" i="1"/>
  <c r="D8" i="1"/>
  <c r="E8" i="1" s="1"/>
  <c r="F20" i="1"/>
  <c r="AG13" i="1"/>
  <c r="AG57" i="1"/>
  <c r="D25" i="1"/>
  <c r="D20" i="1"/>
  <c r="L21" i="1"/>
  <c r="D48" i="1"/>
  <c r="C19" i="1"/>
  <c r="D34" i="1"/>
  <c r="E34" i="1" s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 s="1"/>
  <c r="F31" i="1"/>
  <c r="D32" i="1"/>
  <c r="D43" i="1"/>
  <c r="E43" i="1" s="1"/>
  <c r="AG52" i="1"/>
  <c r="D55" i="1"/>
  <c r="E55" i="1" s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 s="1"/>
  <c r="L22" i="1"/>
  <c r="L49" i="1"/>
  <c r="F8" i="1"/>
  <c r="F22" i="1"/>
  <c r="D13" i="1"/>
  <c r="E13" i="1" s="1"/>
  <c r="C56" i="1"/>
  <c r="D56" i="1"/>
  <c r="C32" i="3"/>
  <c r="F34" i="4" l="1"/>
  <c r="C34" i="4"/>
  <c r="L34" i="4"/>
  <c r="D34" i="4"/>
  <c r="E34" i="4" s="1"/>
  <c r="E25" i="4"/>
  <c r="L35" i="4"/>
  <c r="F35" i="4"/>
  <c r="C35" i="4"/>
  <c r="D35" i="4"/>
  <c r="E35" i="4" s="1"/>
  <c r="L32" i="4"/>
  <c r="D32" i="4"/>
  <c r="E32" i="4" s="1"/>
  <c r="F32" i="4"/>
  <c r="C32" i="4"/>
  <c r="E23" i="4"/>
  <c r="F13" i="4"/>
  <c r="F23" i="4"/>
  <c r="A23" i="4" s="1" a="1"/>
  <c r="A23" i="4" s="1"/>
  <c r="A24" i="4" s="1" a="1"/>
  <c r="A24" i="4" s="1"/>
  <c r="A25" i="4" s="1" a="1"/>
  <c r="A25" i="4" s="1"/>
  <c r="A26" i="4" s="1" a="1"/>
  <c r="A26" i="4" s="1"/>
  <c r="D27" i="4"/>
  <c r="E27" i="4" s="1"/>
  <c r="C27" i="4"/>
  <c r="F29" i="4"/>
  <c r="L33" i="4"/>
  <c r="B36" i="4"/>
  <c r="F2" i="4"/>
  <c r="AB3" i="4"/>
  <c r="AC3" i="4" s="1"/>
  <c r="F8" i="4"/>
  <c r="L13" i="4"/>
  <c r="F14" i="4"/>
  <c r="B15" i="4"/>
  <c r="D18" i="4"/>
  <c r="E18" i="4" s="1"/>
  <c r="B20" i="4"/>
  <c r="C21" i="4"/>
  <c r="L23" i="4"/>
  <c r="F31" i="4"/>
  <c r="L3" i="4"/>
  <c r="AJ3" i="4"/>
  <c r="AF3" i="4"/>
  <c r="B4" i="4"/>
  <c r="F5" i="4" s="1"/>
  <c r="D12" i="4"/>
  <c r="E12" i="4" s="1"/>
  <c r="C13" i="4"/>
  <c r="C17" i="4"/>
  <c r="C18" i="4"/>
  <c r="L22" i="4"/>
  <c r="L28" i="4"/>
  <c r="L30" i="4"/>
  <c r="L39" i="4"/>
  <c r="D2" i="4"/>
  <c r="E2" i="4" s="1"/>
  <c r="L5" i="4"/>
  <c r="L6" i="4"/>
  <c r="D6" i="4"/>
  <c r="E6" i="4" s="1"/>
  <c r="D8" i="4"/>
  <c r="E8" i="4" s="1"/>
  <c r="B9" i="4"/>
  <c r="L10" i="4" s="1"/>
  <c r="D11" i="4"/>
  <c r="E11" i="4" s="1"/>
  <c r="F21" i="4"/>
  <c r="H19" i="4"/>
  <c r="C22" i="4"/>
  <c r="F28" i="4"/>
  <c r="F30" i="4"/>
  <c r="D31" i="4"/>
  <c r="E31" i="4" s="1"/>
  <c r="D33" i="4"/>
  <c r="C31" i="4"/>
  <c r="B37" i="4"/>
  <c r="D39" i="4"/>
  <c r="C10" i="4"/>
  <c r="C16" i="4"/>
  <c r="F17" i="4"/>
  <c r="C19" i="4"/>
  <c r="D28" i="4"/>
  <c r="E28" i="4" s="1"/>
  <c r="D29" i="4"/>
  <c r="E29" i="4" s="1"/>
  <c r="D30" i="4"/>
  <c r="E30" i="4" s="1"/>
  <c r="L11" i="4"/>
  <c r="H20" i="4"/>
  <c r="D22" i="4"/>
  <c r="E22" i="4" s="1"/>
  <c r="L29" i="4"/>
  <c r="H34" i="4"/>
  <c r="AA3" i="4"/>
  <c r="H10" i="4"/>
  <c r="H37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 s="1"/>
  <c r="AG2" i="1"/>
  <c r="C27" i="1"/>
  <c r="L69" i="1"/>
  <c r="D76" i="1"/>
  <c r="E76" i="1" s="1"/>
  <c r="C81" i="1"/>
  <c r="L85" i="1"/>
  <c r="L94" i="1"/>
  <c r="D4" i="1"/>
  <c r="E4" i="1" s="1"/>
  <c r="AG4" i="1"/>
  <c r="F68" i="1"/>
  <c r="F4" i="1"/>
  <c r="D61" i="1"/>
  <c r="E61" i="1" s="1"/>
  <c r="AG86" i="1"/>
  <c r="L87" i="1"/>
  <c r="D69" i="1"/>
  <c r="E69" i="1" s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 s="1"/>
  <c r="F56" i="1"/>
  <c r="AG59" i="1"/>
  <c r="F61" i="1"/>
  <c r="D82" i="1"/>
  <c r="E82" i="1" s="1"/>
  <c r="F90" i="1"/>
  <c r="F91" i="1"/>
  <c r="AG6" i="1"/>
  <c r="E20" i="1"/>
  <c r="C24" i="1"/>
  <c r="F73" i="1"/>
  <c r="D74" i="1"/>
  <c r="E74" i="1" s="1"/>
  <c r="AG82" i="1"/>
  <c r="AG89" i="1"/>
  <c r="L12" i="1"/>
  <c r="D31" i="1"/>
  <c r="E31" i="1" s="1"/>
  <c r="C3" i="1"/>
  <c r="C69" i="1"/>
  <c r="D77" i="1"/>
  <c r="E77" i="1" s="1"/>
  <c r="L78" i="1"/>
  <c r="C79" i="1"/>
  <c r="F85" i="1"/>
  <c r="L95" i="1"/>
  <c r="F6" i="1"/>
  <c r="D7" i="1"/>
  <c r="E7" i="1" s="1"/>
  <c r="F7" i="1"/>
  <c r="L58" i="1"/>
  <c r="E62" i="1"/>
  <c r="L77" i="1"/>
  <c r="F79" i="1"/>
  <c r="AG77" i="1"/>
  <c r="D94" i="1"/>
  <c r="E94" i="1" s="1"/>
  <c r="D97" i="1"/>
  <c r="E97" i="1" s="1"/>
  <c r="D11" i="1"/>
  <c r="E11" i="1" s="1"/>
  <c r="L7" i="1"/>
  <c r="F12" i="1"/>
  <c r="F11" i="1"/>
  <c r="D59" i="1"/>
  <c r="E59" i="1" s="1"/>
  <c r="C60" i="1"/>
  <c r="F63" i="1"/>
  <c r="L79" i="1"/>
  <c r="AG69" i="1"/>
  <c r="C89" i="1"/>
  <c r="L90" i="1"/>
  <c r="E32" i="1"/>
  <c r="AG17" i="1"/>
  <c r="D63" i="1"/>
  <c r="E63" i="1" s="1"/>
  <c r="C73" i="1"/>
  <c r="C74" i="1"/>
  <c r="D75" i="1"/>
  <c r="E75" i="1" s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 s="1"/>
  <c r="C98" i="1"/>
  <c r="F98" i="1"/>
  <c r="L99" i="1"/>
  <c r="F99" i="1"/>
  <c r="AG98" i="1"/>
  <c r="E47" i="1"/>
  <c r="F17" i="1"/>
  <c r="C2" i="1"/>
  <c r="L3" i="1"/>
  <c r="D3" i="1"/>
  <c r="E3" i="1" s="1"/>
  <c r="AG18" i="1"/>
  <c r="C18" i="1"/>
  <c r="D19" i="1"/>
  <c r="E19" i="1" s="1"/>
  <c r="F18" i="1"/>
  <c r="L18" i="1"/>
  <c r="D18" i="1"/>
  <c r="E18" i="1" s="1"/>
  <c r="F19" i="1"/>
  <c r="C67" i="1"/>
  <c r="D67" i="1"/>
  <c r="E67" i="1" s="1"/>
  <c r="F67" i="1"/>
  <c r="AG67" i="1"/>
  <c r="L67" i="1"/>
  <c r="D71" i="1"/>
  <c r="E71" i="1" s="1"/>
  <c r="F96" i="1"/>
  <c r="L98" i="1"/>
  <c r="D7" i="3"/>
  <c r="C7" i="3"/>
  <c r="F43" i="1"/>
  <c r="C43" i="1"/>
  <c r="AG43" i="1"/>
  <c r="D57" i="3"/>
  <c r="C57" i="3"/>
  <c r="D9" i="1"/>
  <c r="E9" i="1" s="1"/>
  <c r="F15" i="1"/>
  <c r="L15" i="1"/>
  <c r="L14" i="1"/>
  <c r="D15" i="1"/>
  <c r="E15" i="1" s="1"/>
  <c r="AG14" i="1"/>
  <c r="D14" i="1"/>
  <c r="E14" i="1" s="1"/>
  <c r="F5" i="3"/>
  <c r="F6" i="3"/>
  <c r="C5" i="3"/>
  <c r="D6" i="3"/>
  <c r="F30" i="1"/>
  <c r="C29" i="1"/>
  <c r="D30" i="1"/>
  <c r="E30" i="1" s="1"/>
  <c r="F29" i="1"/>
  <c r="AG29" i="1"/>
  <c r="D22" i="3"/>
  <c r="C22" i="3"/>
  <c r="D41" i="1"/>
  <c r="E41" i="1" s="1"/>
  <c r="L41" i="1"/>
  <c r="L42" i="1"/>
  <c r="F41" i="1"/>
  <c r="AG41" i="1"/>
  <c r="D42" i="1"/>
  <c r="E42" i="1" s="1"/>
  <c r="C41" i="1"/>
  <c r="F51" i="1"/>
  <c r="F52" i="1"/>
  <c r="D51" i="1"/>
  <c r="E51" i="1" s="1"/>
  <c r="L51" i="1"/>
  <c r="AG51" i="1"/>
  <c r="D52" i="1"/>
  <c r="E52" i="1" s="1"/>
  <c r="C53" i="1"/>
  <c r="L53" i="1"/>
  <c r="D53" i="1"/>
  <c r="E53" i="1" s="1"/>
  <c r="D54" i="1"/>
  <c r="E54" i="1" s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 s="1"/>
  <c r="L66" i="1"/>
  <c r="F65" i="1"/>
  <c r="AG65" i="1"/>
  <c r="D66" i="1"/>
  <c r="E66" i="1" s="1"/>
  <c r="L65" i="1"/>
  <c r="C65" i="1"/>
  <c r="E90" i="1"/>
  <c r="F22" i="3"/>
  <c r="F9" i="1"/>
  <c r="L28" i="1"/>
  <c r="D20" i="3"/>
  <c r="F20" i="3"/>
  <c r="C20" i="3"/>
  <c r="F39" i="1"/>
  <c r="AG39" i="1"/>
  <c r="D39" i="1"/>
  <c r="E39" i="1" s="1"/>
  <c r="C39" i="1"/>
  <c r="L70" i="1"/>
  <c r="D70" i="1"/>
  <c r="E70" i="1" s="1"/>
  <c r="F70" i="1"/>
  <c r="AG70" i="1"/>
  <c r="C70" i="1"/>
  <c r="F76" i="1"/>
  <c r="AG76" i="1"/>
  <c r="L76" i="1"/>
  <c r="C76" i="1"/>
  <c r="L10" i="1"/>
  <c r="D16" i="1"/>
  <c r="E16" i="1" s="1"/>
  <c r="D17" i="1"/>
  <c r="E17" i="1" s="1"/>
  <c r="C16" i="1"/>
  <c r="L17" i="1"/>
  <c r="AG16" i="1"/>
  <c r="L16" i="1"/>
  <c r="C26" i="1"/>
  <c r="D27" i="1"/>
  <c r="E27" i="1" s="1"/>
  <c r="F26" i="1"/>
  <c r="AG26" i="1"/>
  <c r="F27" i="1"/>
  <c r="L27" i="1"/>
  <c r="D26" i="1"/>
  <c r="E26" i="1" s="1"/>
  <c r="AG34" i="1"/>
  <c r="L34" i="1"/>
  <c r="F34" i="1"/>
  <c r="C34" i="1"/>
  <c r="AG35" i="1"/>
  <c r="L36" i="1"/>
  <c r="D35" i="1"/>
  <c r="E35" i="1" s="1"/>
  <c r="F35" i="1"/>
  <c r="D36" i="1"/>
  <c r="E36" i="1" s="1"/>
  <c r="C35" i="1"/>
  <c r="L35" i="1"/>
  <c r="D50" i="1"/>
  <c r="E50" i="1" s="1"/>
  <c r="F49" i="1"/>
  <c r="L50" i="1"/>
  <c r="AG49" i="1"/>
  <c r="D49" i="1"/>
  <c r="E49" i="1" s="1"/>
  <c r="C59" i="3"/>
  <c r="D59" i="3"/>
  <c r="F71" i="1"/>
  <c r="L71" i="1"/>
  <c r="C71" i="1"/>
  <c r="C69" i="3"/>
  <c r="D69" i="3"/>
  <c r="D92" i="1"/>
  <c r="E92" i="1" s="1"/>
  <c r="C92" i="1"/>
  <c r="F92" i="1"/>
  <c r="L92" i="1"/>
  <c r="F93" i="1"/>
  <c r="AG92" i="1"/>
  <c r="L96" i="1"/>
  <c r="F63" i="3"/>
  <c r="AG23" i="1"/>
  <c r="D23" i="1"/>
  <c r="E23" i="1" s="1"/>
  <c r="C23" i="1"/>
  <c r="L23" i="1"/>
  <c r="F23" i="1"/>
  <c r="F24" i="1"/>
  <c r="L24" i="1"/>
  <c r="D24" i="1"/>
  <c r="E24" i="1" s="1"/>
  <c r="AG33" i="1"/>
  <c r="F33" i="1"/>
  <c r="D33" i="1"/>
  <c r="E33" i="1" s="1"/>
  <c r="C33" i="1"/>
  <c r="L33" i="1"/>
  <c r="F37" i="1"/>
  <c r="L38" i="1"/>
  <c r="L37" i="1"/>
  <c r="D38" i="1"/>
  <c r="E38" i="1" s="1"/>
  <c r="F38" i="1"/>
  <c r="F44" i="1"/>
  <c r="C44" i="1"/>
  <c r="L44" i="1"/>
  <c r="AG44" i="1"/>
  <c r="F45" i="1"/>
  <c r="D44" i="1"/>
  <c r="E44" i="1" s="1"/>
  <c r="L45" i="1"/>
  <c r="L46" i="1"/>
  <c r="F47" i="1"/>
  <c r="C46" i="1"/>
  <c r="AG46" i="1"/>
  <c r="L47" i="1"/>
  <c r="L89" i="1"/>
  <c r="L88" i="1"/>
  <c r="AG88" i="1"/>
  <c r="D89" i="1"/>
  <c r="D88" i="1"/>
  <c r="E88" i="1" s="1"/>
  <c r="C88" i="1"/>
  <c r="AG28" i="1"/>
  <c r="F28" i="1"/>
  <c r="D28" i="1"/>
  <c r="E28" i="1" s="1"/>
  <c r="C56" i="3"/>
  <c r="D56" i="3"/>
  <c r="C95" i="1"/>
  <c r="D95" i="1"/>
  <c r="E95" i="1" s="1"/>
  <c r="AG95" i="1"/>
  <c r="F95" i="1"/>
  <c r="D96" i="1"/>
  <c r="D29" i="1"/>
  <c r="E29" i="1" s="1"/>
  <c r="L43" i="1"/>
  <c r="E45" i="1"/>
  <c r="F14" i="1"/>
  <c r="C10" i="1"/>
  <c r="F10" i="1"/>
  <c r="L11" i="1"/>
  <c r="D10" i="1"/>
  <c r="E10" i="1" s="1"/>
  <c r="F5" i="1"/>
  <c r="D6" i="1"/>
  <c r="E6" i="1" s="1"/>
  <c r="AG5" i="1"/>
  <c r="D5" i="1"/>
  <c r="E5" i="1" s="1"/>
  <c r="F36" i="1"/>
  <c r="AG64" i="1"/>
  <c r="C64" i="1"/>
  <c r="D64" i="1"/>
  <c r="E64" i="1" s="1"/>
  <c r="F64" i="1"/>
  <c r="L64" i="1"/>
  <c r="D65" i="1"/>
  <c r="E65" i="1" s="1"/>
  <c r="F59" i="3"/>
  <c r="L68" i="1"/>
  <c r="F69" i="3"/>
  <c r="F89" i="1"/>
  <c r="D93" i="1"/>
  <c r="D24" i="3"/>
  <c r="D47" i="3"/>
  <c r="F59" i="1"/>
  <c r="F62" i="1"/>
  <c r="D68" i="1"/>
  <c r="E68" i="1" s="1"/>
  <c r="F69" i="1"/>
  <c r="F74" i="1"/>
  <c r="D81" i="1"/>
  <c r="E81" i="1" s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 s="1"/>
  <c r="F78" i="1"/>
  <c r="AG68" i="1"/>
  <c r="L82" i="1"/>
  <c r="A82" i="1" s="1" a="1"/>
  <c r="A82" i="1" s="1"/>
  <c r="F84" i="1"/>
  <c r="C85" i="1"/>
  <c r="D85" i="1"/>
  <c r="E85" i="1" s="1"/>
  <c r="C87" i="1"/>
  <c r="D87" i="1"/>
  <c r="E87" i="1" s="1"/>
  <c r="D91" i="1"/>
  <c r="E91" i="1" s="1"/>
  <c r="D85" i="3"/>
  <c r="F86" i="3"/>
  <c r="F90" i="3"/>
  <c r="E48" i="1"/>
  <c r="C28" i="3"/>
  <c r="F38" i="3"/>
  <c r="D39" i="3"/>
  <c r="C40" i="3"/>
  <c r="F43" i="3"/>
  <c r="C44" i="3"/>
  <c r="C57" i="1"/>
  <c r="D78" i="1"/>
  <c r="E78" i="1" s="1"/>
  <c r="F80" i="1"/>
  <c r="AG75" i="1"/>
  <c r="D74" i="3"/>
  <c r="D83" i="1"/>
  <c r="E83" i="1" s="1"/>
  <c r="D84" i="1"/>
  <c r="F86" i="1"/>
  <c r="AG97" i="1"/>
  <c r="F89" i="3"/>
  <c r="D90" i="3"/>
  <c r="E57" i="1"/>
  <c r="F14" i="3"/>
  <c r="F29" i="3"/>
  <c r="F41" i="3"/>
  <c r="F42" i="3"/>
  <c r="C58" i="1"/>
  <c r="D58" i="1"/>
  <c r="E58" i="1" s="1"/>
  <c r="L59" i="1"/>
  <c r="C63" i="1"/>
  <c r="C66" i="1"/>
  <c r="F60" i="3"/>
  <c r="F62" i="3"/>
  <c r="F72" i="1"/>
  <c r="F77" i="1"/>
  <c r="D80" i="1"/>
  <c r="E80" i="1" s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 s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C38" i="4"/>
  <c r="L38" i="4"/>
  <c r="D38" i="4"/>
  <c r="E38" i="4" s="1"/>
  <c r="A27" i="4" l="1" a="1"/>
  <c r="A27" i="4" s="1"/>
  <c r="A28" i="4" s="1" a="1"/>
  <c r="A28" i="4" s="1"/>
  <c r="A29" i="4" s="1" a="1"/>
  <c r="A29" i="4" s="1"/>
  <c r="A30" i="4" s="1" a="1"/>
  <c r="A30" i="4" s="1"/>
  <c r="A31" i="4" s="1" a="1"/>
  <c r="A31" i="4" s="1"/>
  <c r="A32" i="4" s="1" a="1"/>
  <c r="A32" i="4" s="1"/>
  <c r="E39" i="4"/>
  <c r="D37" i="4"/>
  <c r="E37" i="4" s="1"/>
  <c r="C37" i="4"/>
  <c r="L37" i="4"/>
  <c r="F37" i="4"/>
  <c r="F10" i="4"/>
  <c r="D4" i="4"/>
  <c r="E4" i="4" s="1"/>
  <c r="C4" i="4"/>
  <c r="F4" i="4"/>
  <c r="L4" i="4"/>
  <c r="L20" i="4"/>
  <c r="L21" i="4"/>
  <c r="F20" i="4"/>
  <c r="D20" i="4"/>
  <c r="E20" i="4" s="1"/>
  <c r="C20" i="4"/>
  <c r="E33" i="4"/>
  <c r="D10" i="4"/>
  <c r="E10" i="4" s="1"/>
  <c r="F9" i="4"/>
  <c r="D9" i="4"/>
  <c r="E9" i="4" s="1"/>
  <c r="C9" i="4"/>
  <c r="L9" i="4"/>
  <c r="D5" i="4"/>
  <c r="E5" i="4" s="1"/>
  <c r="C36" i="4"/>
  <c r="F36" i="4"/>
  <c r="L36" i="4"/>
  <c r="D36" i="4"/>
  <c r="E36" i="4" s="1"/>
  <c r="D21" i="4"/>
  <c r="E21" i="4" s="1"/>
  <c r="L15" i="4"/>
  <c r="L16" i="4"/>
  <c r="C15" i="4"/>
  <c r="F15" i="4"/>
  <c r="D15" i="4"/>
  <c r="E15" i="4" s="1"/>
  <c r="F16" i="4"/>
  <c r="D16" i="4"/>
  <c r="E16" i="4" s="1"/>
  <c r="A74" i="2" a="1"/>
  <c r="A74" i="2" s="1"/>
  <c r="A75" i="2" s="1" a="1"/>
  <c r="A75" i="2" s="1"/>
  <c r="A83" i="1" a="1"/>
  <c r="A83" i="1" s="1"/>
  <c r="E93" i="1"/>
  <c r="E96" i="1"/>
  <c r="E99" i="1"/>
  <c r="E86" i="1"/>
  <c r="E84" i="1"/>
  <c r="E89" i="1"/>
  <c r="A33" i="4" l="1" a="1"/>
  <c r="A33" i="4" s="1"/>
  <c r="A34" i="4" s="1" a="1"/>
  <c r="A34" i="4" s="1"/>
  <c r="A35" i="4" s="1" a="1"/>
  <c r="A35" i="4" s="1"/>
  <c r="A36" i="4" s="1" a="1"/>
  <c r="A36" i="4" s="1"/>
  <c r="A37" i="4" s="1" a="1"/>
  <c r="A37" i="4" s="1"/>
  <c r="A38" i="4" s="1" a="1"/>
  <c r="A38" i="4" s="1"/>
  <c r="A39" i="4" s="1" a="1"/>
  <c r="A39" i="4" s="1"/>
  <c r="A40" i="4" s="1" a="1"/>
  <c r="A40" i="4" s="1"/>
  <c r="A41" i="4" s="1" a="1"/>
  <c r="A41" i="4" s="1"/>
  <c r="A42" i="4" s="1" a="1"/>
  <c r="A42" i="4" s="1"/>
  <c r="A43" i="4" s="1" a="1"/>
  <c r="A43" i="4" s="1"/>
  <c r="A44" i="4" s="1" a="1"/>
  <c r="A44" i="4" s="1"/>
  <c r="A45" i="4" s="1" a="1"/>
  <c r="A45" i="4" s="1"/>
  <c r="A46" i="4" s="1" a="1"/>
  <c r="A46" i="4" s="1"/>
  <c r="A47" i="4" s="1" a="1"/>
  <c r="A47" i="4" s="1"/>
  <c r="A48" i="4" s="1" a="1"/>
  <c r="A48" i="4" s="1"/>
  <c r="A49" i="4" s="1" a="1"/>
  <c r="A49" i="4" s="1"/>
  <c r="A50" i="4" s="1" a="1"/>
  <c r="A50" i="4" s="1"/>
  <c r="A51" i="4" s="1" a="1"/>
  <c r="A51" i="4" s="1"/>
  <c r="A52" i="4" s="1" a="1"/>
  <c r="A52" i="4" s="1"/>
  <c r="A53" i="4" s="1" a="1"/>
  <c r="A53" i="4" s="1"/>
  <c r="A54" i="4" s="1" a="1"/>
  <c r="A54" i="4" s="1"/>
  <c r="A55" i="4" s="1" a="1"/>
  <c r="A55" i="4" s="1"/>
  <c r="A56" i="4" s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84" i="1" a="1"/>
  <c r="A84" i="1" s="1"/>
  <c r="A85" i="1" s="1" a="1"/>
  <c r="A85" i="1" s="1"/>
  <c r="A86" i="1" s="1" a="1"/>
  <c r="A86" i="1" s="1"/>
  <c r="A87" i="1" s="1" a="1"/>
  <c r="A87" i="1" s="1"/>
  <c r="A88" i="1" s="1" a="1"/>
  <c r="A88" i="1" s="1"/>
  <c r="A89" i="1" s="1" a="1"/>
  <c r="A89" i="1" s="1"/>
  <c r="A90" i="1" s="1" a="1"/>
  <c r="A90" i="1" s="1"/>
  <c r="A91" i="1" s="1" a="1"/>
  <c r="A91" i="1" s="1"/>
  <c r="A92" i="1" s="1" a="1"/>
  <c r="A92" i="1" s="1"/>
  <c r="A93" i="1" s="1" a="1"/>
  <c r="A93" i="1" s="1"/>
  <c r="A94" i="1" s="1" a="1"/>
  <c r="A94" i="1" s="1"/>
  <c r="A95" i="1" s="1" a="1"/>
  <c r="A95" i="1" s="1"/>
  <c r="A96" i="1" s="1" a="1"/>
  <c r="A96" i="1" s="1"/>
  <c r="A97" i="1" s="1" a="1"/>
  <c r="A97" i="1" s="1"/>
  <c r="A98" i="1" s="1" a="1"/>
  <c r="A98" i="1" s="1"/>
  <c r="A99" i="1" s="1" a="1"/>
  <c r="A99" i="1" s="1"/>
  <c r="A100" i="1" s="1" a="1"/>
  <c r="A100" i="1" s="1"/>
  <c r="A101" i="1" s="1" a="1"/>
  <c r="A101" i="1" s="1"/>
  <c r="A102" i="1" s="1" a="1"/>
  <c r="A102" i="1" s="1"/>
  <c r="A103" i="1" s="1" a="1"/>
  <c r="A103" i="1" s="1"/>
  <c r="A104" i="1" s="1" a="1"/>
  <c r="A104" i="1" s="1"/>
  <c r="A105" i="1" s="1" a="1"/>
  <c r="A105" i="1" s="1"/>
  <c r="A106" i="1" s="1" a="1"/>
  <c r="A106" i="1" s="1"/>
  <c r="A107" i="1" s="1" a="1"/>
  <c r="A107" i="1" s="1"/>
  <c r="A108" i="1" s="1" a="1"/>
  <c r="A108" i="1" s="1"/>
  <c r="A109" i="1" s="1" a="1"/>
  <c r="A109" i="1" s="1"/>
  <c r="A110" i="1" s="1" a="1"/>
  <c r="A110" i="1" s="1"/>
  <c r="A111" i="1" s="1" a="1"/>
  <c r="A111" i="1" s="1"/>
  <c r="A112" i="1" s="1" a="1"/>
  <c r="A112" i="1" s="1"/>
  <c r="A113" i="1" s="1" a="1"/>
  <c r="A113" i="1" s="1"/>
  <c r="A114" i="1" s="1" a="1"/>
  <c r="A114" i="1" s="1"/>
  <c r="A115" i="1" s="1" a="1"/>
  <c r="A115" i="1" s="1"/>
  <c r="A116" i="1" s="1" a="1"/>
  <c r="A116" i="1" s="1"/>
  <c r="A117" i="1" s="1" a="1"/>
  <c r="A117" i="1" s="1"/>
  <c r="A118" i="1" s="1" a="1"/>
  <c r="A118" i="1" s="1"/>
  <c r="A119" i="1" s="1" a="1"/>
  <c r="A119" i="1" s="1"/>
  <c r="A120" i="1" s="1" a="1"/>
  <c r="A120" i="1" s="1"/>
  <c r="A121" i="1" s="1" a="1"/>
  <c r="A121" i="1" s="1"/>
  <c r="A122" i="1" s="1" a="1"/>
  <c r="A122" i="1" s="1"/>
  <c r="A123" i="1" s="1" a="1"/>
  <c r="A123" i="1" s="1"/>
  <c r="A124" i="1" s="1" a="1"/>
  <c r="A124" i="1" s="1"/>
  <c r="A125" i="1" s="1" a="1"/>
  <c r="A125" i="1" s="1"/>
  <c r="A126" i="1" s="1" a="1"/>
  <c r="A126" i="1" s="1"/>
  <c r="A127" i="1" s="1" a="1"/>
  <c r="A127" i="1" s="1"/>
  <c r="A128" i="1" s="1" a="1"/>
  <c r="A128" i="1" s="1"/>
  <c r="A129" i="1" s="1" a="1"/>
  <c r="A129" i="1" s="1"/>
  <c r="A130" i="1" s="1" a="1"/>
  <c r="A130" i="1" s="1"/>
  <c r="A131" i="1" s="1" a="1"/>
  <c r="A131" i="1" s="1"/>
  <c r="A132" i="1" s="1" a="1"/>
  <c r="A132" i="1" s="1"/>
  <c r="A133" i="1" s="1" a="1"/>
  <c r="A133" i="1" s="1"/>
  <c r="A134" i="1" s="1" a="1"/>
  <c r="A134" i="1" s="1"/>
  <c r="A135" i="1" s="1" a="1"/>
  <c r="A135" i="1" s="1"/>
  <c r="A136" i="1" s="1" a="1"/>
  <c r="A136" i="1" s="1"/>
  <c r="A137" i="1" s="1" a="1"/>
  <c r="A137" i="1" s="1"/>
  <c r="A138" i="1" s="1" a="1"/>
  <c r="A138" i="1" s="1"/>
  <c r="A139" i="1" s="1" a="1"/>
  <c r="A139" i="1" s="1"/>
  <c r="A140" i="1" s="1" a="1"/>
  <c r="A140" i="1" s="1"/>
  <c r="A141" i="1" s="1" a="1"/>
  <c r="A141" i="1" s="1"/>
  <c r="A142" i="1" s="1" a="1"/>
  <c r="A142" i="1" s="1"/>
  <c r="A143" i="1" s="1" a="1"/>
  <c r="A143" i="1" s="1"/>
  <c r="A144" i="1" s="1" a="1"/>
  <c r="A144" i="1" s="1"/>
  <c r="A145" i="1" s="1" a="1"/>
  <c r="A145" i="1" s="1"/>
  <c r="A146" i="1" s="1" a="1"/>
  <c r="A146" i="1" s="1"/>
  <c r="A147" i="1" s="1" a="1"/>
  <c r="A147" i="1" s="1"/>
  <c r="A148" i="1" s="1" a="1"/>
  <c r="A148" i="1" s="1"/>
  <c r="A149" i="1" s="1" a="1"/>
  <c r="A149" i="1" s="1"/>
  <c r="A150" i="1" s="1" a="1"/>
  <c r="A150" i="1" s="1"/>
  <c r="A151" i="1" s="1" a="1"/>
  <c r="A151" i="1" s="1"/>
  <c r="A152" i="1" s="1" a="1"/>
  <c r="A152" i="1" s="1"/>
  <c r="A153" i="1" s="1" a="1"/>
  <c r="A153" i="1" s="1"/>
  <c r="A154" i="1" s="1" a="1"/>
  <c r="A154" i="1" s="1"/>
  <c r="A155" i="1" s="1" a="1"/>
  <c r="A155" i="1" s="1"/>
  <c r="A156" i="1" s="1" a="1"/>
  <c r="A156" i="1" s="1"/>
  <c r="A157" i="1" s="1" a="1"/>
  <c r="A157" i="1" s="1"/>
  <c r="A158" i="1" s="1" a="1"/>
  <c r="A158" i="1" s="1"/>
  <c r="A159" i="1" s="1" a="1"/>
  <c r="A159" i="1" s="1"/>
  <c r="A160" i="1" s="1" a="1"/>
  <c r="A160" i="1" s="1"/>
  <c r="A161" i="1" s="1" a="1"/>
  <c r="A161" i="1" s="1"/>
  <c r="A162" i="1" s="1" a="1"/>
  <c r="A162" i="1" s="1"/>
  <c r="A163" i="1" s="1" a="1"/>
  <c r="A163" i="1" s="1"/>
  <c r="A164" i="1" s="1" a="1"/>
  <c r="A164" i="1" s="1"/>
  <c r="A165" i="1" s="1" a="1"/>
  <c r="A165" i="1" s="1"/>
  <c r="A166" i="1" s="1" a="1"/>
  <c r="A166" i="1" s="1"/>
  <c r="A167" i="1" s="1" a="1"/>
  <c r="A167" i="1" s="1"/>
  <c r="A168" i="1" s="1" a="1"/>
  <c r="A168" i="1" s="1"/>
  <c r="A169" i="1" s="1" a="1"/>
  <c r="A169" i="1" s="1"/>
  <c r="A170" i="1" s="1" a="1"/>
  <c r="A170" i="1" s="1"/>
  <c r="A171" i="1" s="1" a="1"/>
  <c r="A171" i="1" s="1"/>
  <c r="A172" i="1" s="1" a="1"/>
  <c r="A172" i="1" s="1"/>
  <c r="A173" i="1" s="1" a="1"/>
  <c r="A173" i="1" s="1"/>
  <c r="A174" i="1" s="1" a="1"/>
  <c r="A174" i="1" s="1"/>
  <c r="A76" i="2" a="1"/>
  <c r="A76" i="2" s="1"/>
  <c r="A77" i="2" s="1" a="1"/>
  <c r="A77" i="2" s="1"/>
  <c r="A78" i="2" s="1" a="1"/>
  <c r="A78" i="2" s="1"/>
  <c r="A79" i="2" s="1" a="1"/>
  <c r="A79" i="2" s="1"/>
  <c r="A80" i="2" s="1" a="1"/>
  <c r="A80" i="2" s="1"/>
  <c r="A81" i="2" s="1" a="1"/>
  <c r="A81" i="2" s="1"/>
  <c r="A82" i="2" s="1" a="1"/>
  <c r="A82" i="2" s="1"/>
  <c r="A83" i="2" s="1" a="1"/>
  <c r="A83" i="2" s="1"/>
  <c r="A84" i="2" s="1" a="1"/>
  <c r="A84" i="2" s="1"/>
  <c r="A85" i="2" s="1" a="1"/>
  <c r="A85" i="2" s="1"/>
  <c r="A86" i="2" s="1" a="1"/>
  <c r="A86" i="2" s="1"/>
  <c r="A87" i="2" s="1" a="1"/>
  <c r="A87" i="2" s="1"/>
  <c r="A88" i="2" s="1" a="1"/>
  <c r="A88" i="2" s="1"/>
  <c r="A89" i="2" s="1" a="1"/>
  <c r="A89" i="2" s="1"/>
  <c r="A90" i="2" s="1" a="1"/>
  <c r="A90" i="2" s="1"/>
  <c r="A91" i="2" s="1" a="1"/>
  <c r="A91" i="2" s="1"/>
  <c r="A92" i="2" s="1" a="1"/>
  <c r="A92" i="2" s="1"/>
  <c r="A93" i="2" s="1" a="1"/>
  <c r="A93" i="2" s="1"/>
  <c r="A94" i="2" s="1" a="1"/>
  <c r="A94" i="2" s="1"/>
  <c r="A95" i="2" s="1" a="1"/>
  <c r="A95" i="2" s="1"/>
  <c r="A96" i="2" s="1" a="1"/>
  <c r="A96" i="2" s="1"/>
  <c r="A97" i="2" s="1" a="1"/>
  <c r="A97" i="2" s="1"/>
  <c r="A98" i="2" s="1" a="1"/>
  <c r="A98" i="2" s="1"/>
  <c r="A99" i="2" s="1" a="1"/>
  <c r="A99" i="2" s="1"/>
  <c r="A100" i="2" s="1" a="1"/>
  <c r="A100" i="2" s="1"/>
  <c r="A101" i="2" s="1" a="1"/>
  <c r="A101" i="2" s="1"/>
  <c r="A102" i="2" s="1" a="1"/>
  <c r="A102" i="2" s="1"/>
  <c r="A103" i="2" s="1" a="1"/>
  <c r="A103" i="2" s="1"/>
  <c r="A104" i="2" s="1" a="1"/>
  <c r="A104" i="2" s="1"/>
  <c r="A105" i="2" s="1" a="1"/>
  <c r="A105" i="2" s="1"/>
  <c r="A106" i="2" s="1" a="1"/>
  <c r="A106" i="2" s="1"/>
  <c r="A107" i="2" s="1" a="1"/>
  <c r="A107" i="2" s="1"/>
  <c r="A108" i="2" s="1" a="1"/>
  <c r="A108" i="2" s="1"/>
  <c r="A109" i="2" s="1" a="1"/>
  <c r="A109" i="2" s="1"/>
  <c r="A110" i="2" s="1" a="1"/>
  <c r="A110" i="2" s="1"/>
  <c r="A111" i="2" s="1" a="1"/>
  <c r="A111" i="2" s="1"/>
  <c r="A112" i="2" s="1" a="1"/>
  <c r="A112" i="2" s="1"/>
  <c r="A113" i="2" s="1" a="1"/>
  <c r="A113" i="2" s="1"/>
  <c r="A114" i="2" s="1" a="1"/>
  <c r="A114" i="2" s="1"/>
  <c r="A115" i="2" s="1" a="1"/>
  <c r="A115" i="2" s="1"/>
  <c r="A116" i="2" s="1" a="1"/>
  <c r="A116" i="2" s="1"/>
  <c r="A117" i="2" s="1" a="1"/>
  <c r="A117" i="2" s="1"/>
  <c r="A118" i="2" s="1" a="1"/>
  <c r="A118" i="2" s="1"/>
  <c r="A119" i="2" s="1" a="1"/>
  <c r="A119" i="2" s="1"/>
  <c r="A120" i="2" s="1" a="1"/>
  <c r="A120" i="2" s="1"/>
  <c r="A121" i="2" s="1" a="1"/>
  <c r="A121" i="2" s="1"/>
  <c r="A122" i="2" s="1" a="1"/>
  <c r="A122" i="2" s="1"/>
  <c r="A123" i="2" s="1" a="1"/>
  <c r="A123" i="2" s="1"/>
  <c r="A124" i="2" s="1" a="1"/>
  <c r="A124" i="2" s="1"/>
  <c r="A125" i="2" s="1" a="1"/>
  <c r="A125" i="2" s="1"/>
  <c r="A126" i="2" s="1" a="1"/>
  <c r="A126" i="2" s="1"/>
  <c r="A127" i="2" s="1" a="1"/>
  <c r="A127" i="2" s="1"/>
  <c r="A128" i="2" s="1" a="1"/>
  <c r="A128" i="2" s="1"/>
  <c r="A129" i="2" s="1" a="1"/>
  <c r="A129" i="2" s="1"/>
  <c r="A130" i="2" s="1" a="1"/>
  <c r="A130" i="2" s="1"/>
  <c r="A131" i="2" s="1" a="1"/>
  <c r="A131" i="2" s="1"/>
  <c r="A132" i="2" s="1" a="1"/>
  <c r="A132" i="2" s="1"/>
  <c r="A133" i="2" s="1" a="1"/>
  <c r="A133" i="2" s="1"/>
  <c r="A134" i="2" s="1" a="1"/>
  <c r="A134" i="2" s="1"/>
  <c r="A135" i="2" s="1" a="1"/>
  <c r="A135" i="2" s="1"/>
  <c r="A136" i="2" s="1" a="1"/>
  <c r="A136" i="2" s="1"/>
  <c r="A137" i="2" s="1" a="1"/>
  <c r="A137" i="2" s="1"/>
  <c r="A138" i="2" s="1" a="1"/>
  <c r="A138" i="2" s="1"/>
  <c r="A139" i="2" s="1" a="1"/>
  <c r="A139" i="2" s="1"/>
  <c r="A140" i="2" s="1" a="1"/>
  <c r="A140" i="2" s="1"/>
  <c r="A141" i="2" s="1" a="1"/>
  <c r="A141" i="2" s="1"/>
  <c r="A142" i="2" s="1" a="1"/>
  <c r="A142" i="2" s="1"/>
  <c r="A143" i="2" s="1" a="1"/>
  <c r="A143" i="2" s="1"/>
  <c r="A144" i="2" s="1" a="1"/>
  <c r="A144" i="2" s="1"/>
  <c r="A145" i="2" s="1" a="1"/>
  <c r="A145" i="2" s="1"/>
  <c r="A146" i="2" s="1" a="1"/>
  <c r="A146" i="2" s="1"/>
  <c r="A147" i="2" s="1" a="1"/>
  <c r="A147" i="2" s="1"/>
  <c r="A148" i="2" s="1" a="1"/>
  <c r="A148" i="2" s="1"/>
  <c r="A149" i="2" s="1" a="1"/>
  <c r="A149" i="2" s="1"/>
  <c r="A150" i="2" s="1" a="1"/>
  <c r="A150" i="2" s="1"/>
  <c r="A151" i="2" s="1" a="1"/>
  <c r="A151" i="2" s="1"/>
  <c r="A152" i="2" s="1" a="1"/>
  <c r="A152" i="2" s="1"/>
  <c r="A153" i="2" s="1" a="1"/>
  <c r="A153" i="2" s="1"/>
  <c r="A154" i="2" s="1" a="1"/>
  <c r="A154" i="2" s="1"/>
  <c r="A155" i="2" s="1" a="1"/>
  <c r="A155" i="2" s="1"/>
  <c r="A156" i="2" s="1" a="1"/>
  <c r="A156" i="2" s="1"/>
  <c r="A157" i="2" s="1" a="1"/>
  <c r="A157" i="2" s="1"/>
  <c r="A158" i="2" s="1" a="1"/>
  <c r="A158" i="2" s="1"/>
  <c r="A159" i="2" s="1" a="1"/>
  <c r="A159" i="2" s="1"/>
  <c r="A160" i="2" s="1" a="1"/>
  <c r="A160" i="2" s="1"/>
  <c r="A161" i="2" s="1" a="1"/>
  <c r="A161" i="2" s="1"/>
  <c r="A162" i="2" s="1" a="1"/>
  <c r="A162" i="2" s="1"/>
  <c r="A163" i="2" s="1" a="1"/>
  <c r="A163" i="2" s="1"/>
  <c r="A164" i="2" s="1" a="1"/>
  <c r="A164" i="2" s="1"/>
  <c r="A165" i="2" s="1" a="1"/>
  <c r="A165" i="2" s="1"/>
  <c r="A166" i="2" s="1" a="1"/>
  <c r="A166" i="2" s="1"/>
  <c r="A167" i="2" s="1" a="1"/>
  <c r="A167" i="2" s="1"/>
  <c r="A168" i="2" s="1" a="1"/>
  <c r="A168" i="2" s="1"/>
  <c r="A169" i="2" s="1" a="1"/>
  <c r="A169" i="2" s="1"/>
  <c r="A170" i="2" s="1" a="1"/>
  <c r="A170" i="2" s="1"/>
  <c r="A171" i="2" s="1" a="1"/>
  <c r="A171" i="2" s="1"/>
  <c r="A172" i="2" s="1" a="1"/>
  <c r="A172" i="2" s="1"/>
  <c r="A173" i="2" s="1" a="1"/>
  <c r="A173" i="2" s="1"/>
  <c r="A174" i="2" s="1" a="1"/>
  <c r="A174" i="2" s="1"/>
  <c r="A175" i="2" s="1" a="1"/>
  <c r="A175" i="2" s="1"/>
  <c r="A176" i="2" s="1" a="1"/>
  <c r="A176" i="2" s="1"/>
  <c r="N1" i="2" l="1"/>
  <c r="N1" i="1"/>
  <c r="L51" i="3" l="1"/>
  <c r="K51" i="3"/>
  <c r="E51" i="3" s="1"/>
  <c r="J51" i="3"/>
  <c r="J52" i="3" l="1"/>
  <c r="L52" i="3"/>
  <c r="K52" i="3"/>
  <c r="E52" i="3" s="1"/>
  <c r="L53" i="3" l="1"/>
  <c r="K53" i="3"/>
  <c r="E53" i="3" s="1"/>
  <c r="J53" i="3"/>
  <c r="K54" i="3" l="1"/>
  <c r="E54" i="3" s="1"/>
  <c r="J54" i="3"/>
  <c r="L54" i="3"/>
  <c r="K55" i="3" l="1"/>
  <c r="E55" i="3" s="1"/>
  <c r="J55" i="3"/>
  <c r="L55" i="3"/>
  <c r="L56" i="3" l="1"/>
  <c r="K56" i="3"/>
  <c r="E56" i="3" s="1"/>
  <c r="J56" i="3"/>
  <c r="J57" i="3" l="1"/>
  <c r="K57" i="3"/>
  <c r="E57" i="3" s="1"/>
  <c r="L57" i="3"/>
  <c r="L58" i="3" l="1"/>
  <c r="K58" i="3"/>
  <c r="E58" i="3" s="1"/>
  <c r="J58" i="3"/>
  <c r="L59" i="3" l="1"/>
  <c r="K59" i="3"/>
  <c r="E59" i="3" s="1"/>
  <c r="J59" i="3"/>
  <c r="K60" i="3" l="1"/>
  <c r="E60" i="3" s="1"/>
  <c r="L60" i="3"/>
  <c r="J60" i="3"/>
  <c r="L61" i="3" l="1"/>
  <c r="K61" i="3"/>
  <c r="E61" i="3" s="1"/>
  <c r="J61" i="3"/>
  <c r="K62" i="3" l="1"/>
  <c r="E62" i="3" s="1"/>
  <c r="J62" i="3"/>
  <c r="L62" i="3"/>
  <c r="K63" i="3" l="1"/>
  <c r="E63" i="3" s="1"/>
  <c r="L63" i="3"/>
  <c r="J63" i="3"/>
  <c r="L64" i="3" l="1"/>
  <c r="K64" i="3"/>
  <c r="E64" i="3" s="1"/>
  <c r="J64" i="3"/>
  <c r="J65" i="3" l="1"/>
  <c r="L65" i="3"/>
  <c r="K65" i="3"/>
  <c r="E65" i="3" s="1"/>
  <c r="J66" i="3" l="1"/>
  <c r="L66" i="3"/>
  <c r="K66" i="3"/>
  <c r="E66" i="3" s="1"/>
  <c r="L67" i="3" l="1"/>
  <c r="K67" i="3"/>
  <c r="E67" i="3" s="1"/>
  <c r="J67" i="3"/>
  <c r="J68" i="3" l="1"/>
  <c r="L68" i="3"/>
  <c r="K68" i="3"/>
  <c r="E68" i="3" s="1"/>
  <c r="L69" i="3" l="1"/>
  <c r="K69" i="3"/>
  <c r="E69" i="3" s="1"/>
  <c r="J69" i="3"/>
  <c r="K70" i="3" l="1"/>
  <c r="E70" i="3" s="1"/>
  <c r="L70" i="3"/>
  <c r="J70" i="3"/>
  <c r="J71" i="3" l="1"/>
  <c r="L71" i="3"/>
  <c r="K71" i="3"/>
  <c r="E71" i="3" s="1"/>
  <c r="L72" i="3" l="1"/>
  <c r="K72" i="3"/>
  <c r="E72" i="3" s="1"/>
  <c r="J72" i="3"/>
  <c r="J73" i="3" l="1"/>
  <c r="K73" i="3"/>
  <c r="E73" i="3" s="1"/>
  <c r="L73" i="3"/>
  <c r="J74" i="3" l="1"/>
  <c r="L74" i="3"/>
  <c r="K74" i="3"/>
  <c r="E74" i="3" s="1"/>
  <c r="A74" i="3" s="1" a="1"/>
  <c r="A74" i="3" s="1"/>
  <c r="L75" i="3" l="1"/>
  <c r="K75" i="3"/>
  <c r="E75" i="3" s="1"/>
  <c r="A75" i="3" s="1" a="1"/>
  <c r="A75" i="3" s="1"/>
  <c r="J75" i="3"/>
  <c r="K76" i="3" l="1"/>
  <c r="E76" i="3" s="1"/>
  <c r="A76" i="3" s="1" a="1"/>
  <c r="A76" i="3" s="1"/>
  <c r="L76" i="3"/>
  <c r="J76" i="3"/>
  <c r="L77" i="3" l="1"/>
  <c r="K77" i="3"/>
  <c r="E77" i="3" s="1"/>
  <c r="A77" i="3" s="1" a="1"/>
  <c r="A77" i="3" s="1"/>
  <c r="J77" i="3"/>
  <c r="K78" i="3" l="1"/>
  <c r="E78" i="3" s="1"/>
  <c r="A78" i="3" s="1" a="1"/>
  <c r="A78" i="3" s="1"/>
  <c r="J78" i="3"/>
  <c r="L78" i="3"/>
  <c r="J79" i="3" l="1"/>
  <c r="K79" i="3"/>
  <c r="E79" i="3" s="1"/>
  <c r="A79" i="3" s="1" a="1"/>
  <c r="A79" i="3" s="1"/>
  <c r="L79" i="3"/>
  <c r="L80" i="3" l="1"/>
  <c r="K80" i="3"/>
  <c r="E80" i="3" s="1"/>
  <c r="A80" i="3" s="1" a="1"/>
  <c r="A80" i="3" s="1"/>
  <c r="J80" i="3"/>
  <c r="J81" i="3" l="1"/>
  <c r="K81" i="3"/>
  <c r="E81" i="3" s="1"/>
  <c r="A81" i="3" s="1" a="1"/>
  <c r="A81" i="3" s="1"/>
  <c r="L81" i="3"/>
  <c r="L82" i="3" l="1"/>
  <c r="J82" i="3"/>
  <c r="K82" i="3"/>
  <c r="E82" i="3" s="1"/>
  <c r="A82" i="3" s="1" a="1"/>
  <c r="A82" i="3" s="1"/>
  <c r="L83" i="3" l="1"/>
  <c r="K83" i="3"/>
  <c r="E83" i="3" s="1"/>
  <c r="A83" i="3" s="1" a="1"/>
  <c r="A83" i="3" s="1"/>
  <c r="J83" i="3"/>
  <c r="J84" i="3" l="1"/>
  <c r="K84" i="3"/>
  <c r="E84" i="3" s="1"/>
  <c r="A84" i="3" s="1" a="1"/>
  <c r="A84" i="3" s="1"/>
  <c r="L84" i="3"/>
  <c r="L85" i="3" l="1"/>
  <c r="K85" i="3"/>
  <c r="E85" i="3" s="1"/>
  <c r="A85" i="3" s="1" a="1"/>
  <c r="A85" i="3" s="1"/>
  <c r="J85" i="3"/>
  <c r="K86" i="3" l="1"/>
  <c r="E86" i="3" s="1"/>
  <c r="A86" i="3" s="1" a="1"/>
  <c r="A86" i="3" s="1"/>
  <c r="J86" i="3"/>
  <c r="L86" i="3"/>
  <c r="K87" i="3" l="1"/>
  <c r="E87" i="3" s="1"/>
  <c r="A87" i="3" s="1" a="1"/>
  <c r="A87" i="3" s="1"/>
  <c r="J87" i="3"/>
  <c r="L87" i="3"/>
  <c r="L88" i="3" l="1"/>
  <c r="K88" i="3"/>
  <c r="E88" i="3" s="1"/>
  <c r="A88" i="3" s="1" a="1"/>
  <c r="A88" i="3" s="1"/>
  <c r="J88" i="3"/>
  <c r="J89" i="3" l="1"/>
  <c r="L89" i="3"/>
  <c r="K89" i="3"/>
  <c r="E89" i="3" s="1"/>
  <c r="A89" i="3" s="1" a="1"/>
  <c r="A89" i="3" s="1"/>
  <c r="L90" i="3" l="1"/>
  <c r="K90" i="3"/>
  <c r="E90" i="3" s="1"/>
  <c r="A90" i="3" s="1" a="1"/>
  <c r="A90" i="3" s="1"/>
  <c r="J90" i="3"/>
  <c r="L91" i="3" l="1"/>
  <c r="K91" i="3"/>
  <c r="E91" i="3" s="1"/>
  <c r="A91" i="3" s="1" a="1"/>
  <c r="A91" i="3" s="1"/>
  <c r="J91" i="3"/>
  <c r="L92" i="3" l="1"/>
  <c r="J92" i="3"/>
  <c r="K92" i="3"/>
  <c r="E92" i="3" s="1"/>
  <c r="A92" i="3" s="1" a="1"/>
  <c r="A92" i="3" s="1"/>
  <c r="L93" i="3" l="1"/>
  <c r="K93" i="3"/>
  <c r="E93" i="3" s="1"/>
  <c r="A93" i="3" s="1" a="1"/>
  <c r="A93" i="3" s="1"/>
  <c r="J93" i="3"/>
  <c r="K94" i="3" l="1"/>
  <c r="E94" i="3" s="1"/>
  <c r="A94" i="3" s="1" a="1"/>
  <c r="A94" i="3" s="1"/>
  <c r="J94" i="3"/>
  <c r="L94" i="3"/>
  <c r="J95" i="3" l="1"/>
  <c r="K95" i="3"/>
  <c r="E95" i="3" s="1"/>
  <c r="A95" i="3" s="1" a="1"/>
  <c r="A95" i="3" s="1"/>
  <c r="L95" i="3"/>
  <c r="L96" i="3" l="1"/>
  <c r="K96" i="3"/>
  <c r="E96" i="3" s="1"/>
  <c r="A96" i="3" s="1" a="1"/>
  <c r="A96" i="3" s="1"/>
  <c r="J96" i="3"/>
  <c r="J97" i="3" l="1"/>
  <c r="K97" i="3"/>
  <c r="E97" i="3" s="1"/>
  <c r="A97" i="3" s="1" a="1"/>
  <c r="A97" i="3" s="1"/>
  <c r="L97" i="3"/>
  <c r="L98" i="3" l="1"/>
  <c r="J98" i="3"/>
  <c r="K98" i="3"/>
  <c r="E98" i="3" s="1"/>
  <c r="A98" i="3" s="1" a="1"/>
  <c r="A98" i="3" s="1"/>
  <c r="L99" i="3" l="1"/>
  <c r="K99" i="3"/>
  <c r="E99" i="3" s="1"/>
  <c r="A99" i="3" s="1" a="1"/>
  <c r="A99" i="3" s="1"/>
  <c r="J99" i="3"/>
  <c r="K100" i="3" l="1"/>
  <c r="E100" i="3" s="1"/>
  <c r="A100" i="3" s="1" a="1"/>
  <c r="A100" i="3" s="1"/>
  <c r="J100" i="3"/>
  <c r="L100" i="3"/>
  <c r="L101" i="3" l="1"/>
  <c r="K101" i="3"/>
  <c r="E101" i="3" s="1"/>
  <c r="A101" i="3" s="1" a="1"/>
  <c r="A101" i="3" s="1"/>
  <c r="J101" i="3"/>
  <c r="K102" i="3" l="1"/>
  <c r="E102" i="3" s="1"/>
  <c r="A102" i="3" s="1" a="1"/>
  <c r="A102" i="3" s="1"/>
  <c r="J102" i="3"/>
  <c r="L102" i="3"/>
  <c r="J103" i="3" l="1"/>
  <c r="K103" i="3"/>
  <c r="E103" i="3" s="1"/>
  <c r="A103" i="3" s="1" a="1"/>
  <c r="A103" i="3" s="1"/>
  <c r="L103" i="3"/>
  <c r="L104" i="3" l="1"/>
  <c r="K104" i="3"/>
  <c r="E104" i="3" s="1"/>
  <c r="A104" i="3" s="1" a="1"/>
  <c r="A104" i="3" s="1"/>
  <c r="J104" i="3"/>
  <c r="J105" i="3" l="1"/>
  <c r="L105" i="3"/>
  <c r="K105" i="3"/>
  <c r="E105" i="3" s="1"/>
  <c r="A105" i="3" s="1" a="1"/>
  <c r="A105" i="3" s="1"/>
  <c r="J106" i="3" l="1"/>
  <c r="L106" i="3"/>
  <c r="K106" i="3"/>
  <c r="E106" i="3" s="1"/>
  <c r="A106" i="3" s="1" a="1"/>
  <c r="A106" i="3" s="1"/>
  <c r="L107" i="3" l="1"/>
  <c r="K107" i="3"/>
  <c r="E107" i="3" s="1"/>
  <c r="A107" i="3" s="1" a="1"/>
  <c r="A107" i="3" s="1"/>
  <c r="J107" i="3"/>
  <c r="J108" i="3" l="1"/>
  <c r="L108" i="3"/>
  <c r="K108" i="3"/>
  <c r="E108" i="3" s="1"/>
  <c r="A108" i="3" s="1" a="1"/>
  <c r="A108" i="3" s="1"/>
  <c r="L109" i="3" l="1"/>
  <c r="K109" i="3"/>
  <c r="E109" i="3" s="1"/>
  <c r="A109" i="3" s="1" a="1"/>
  <c r="A109" i="3" s="1"/>
  <c r="J109" i="3"/>
  <c r="K110" i="3" l="1"/>
  <c r="E110" i="3" s="1"/>
  <c r="A110" i="3" s="1" a="1"/>
  <c r="A110" i="3" s="1"/>
  <c r="L110" i="3"/>
  <c r="J110" i="3"/>
  <c r="J111" i="3" l="1"/>
  <c r="L112" i="3"/>
  <c r="K112" i="3"/>
  <c r="E112" i="3" s="1"/>
  <c r="J112" i="3"/>
  <c r="K111" i="3"/>
  <c r="E111" i="3" s="1"/>
  <c r="A111" i="3" s="1" a="1"/>
  <c r="A111" i="3" s="1"/>
  <c r="A112" i="3" s="1" a="1"/>
  <c r="A112" i="3" s="1"/>
  <c r="A113" i="3" s="1" a="1"/>
  <c r="A113" i="3" s="1"/>
  <c r="A114" i="3" s="1" a="1"/>
  <c r="A114" i="3" s="1"/>
  <c r="A115" i="3" s="1" a="1"/>
  <c r="A115" i="3" s="1"/>
  <c r="A116" i="3" s="1" a="1"/>
  <c r="A116" i="3" s="1"/>
  <c r="A117" i="3" s="1" a="1"/>
  <c r="A117" i="3" s="1"/>
  <c r="A118" i="3" s="1" a="1"/>
  <c r="A118" i="3" s="1"/>
  <c r="A119" i="3" s="1" a="1"/>
  <c r="A119" i="3" s="1"/>
  <c r="A120" i="3" s="1" a="1"/>
  <c r="A120" i="3" s="1"/>
  <c r="A121" i="3" s="1" a="1"/>
  <c r="A121" i="3" s="1"/>
  <c r="A122" i="3" s="1" a="1"/>
  <c r="A122" i="3" s="1"/>
  <c r="A123" i="3" s="1" a="1"/>
  <c r="A123" i="3" s="1"/>
  <c r="A124" i="3" s="1" a="1"/>
  <c r="A124" i="3" s="1"/>
  <c r="A125" i="3" s="1" a="1"/>
  <c r="A125" i="3" s="1"/>
  <c r="A126" i="3" s="1" a="1"/>
  <c r="A126" i="3" s="1"/>
  <c r="A127" i="3" s="1" a="1"/>
  <c r="A127" i="3" s="1"/>
  <c r="A128" i="3" s="1" a="1"/>
  <c r="A128" i="3" s="1"/>
  <c r="A129" i="3" s="1" a="1"/>
  <c r="A129" i="3" s="1"/>
  <c r="A130" i="3" s="1" a="1"/>
  <c r="A130" i="3" s="1"/>
  <c r="A131" i="3" s="1" a="1"/>
  <c r="A131" i="3" s="1"/>
  <c r="A132" i="3" s="1" a="1"/>
  <c r="A132" i="3" s="1"/>
  <c r="A133" i="3" s="1" a="1"/>
  <c r="A133" i="3" s="1"/>
  <c r="A134" i="3" s="1" a="1"/>
  <c r="A134" i="3" s="1"/>
  <c r="A135" i="3" s="1" a="1"/>
  <c r="A135" i="3" s="1"/>
  <c r="A136" i="3" s="1" a="1"/>
  <c r="A136" i="3" s="1"/>
  <c r="A137" i="3" s="1" a="1"/>
  <c r="A137" i="3" s="1"/>
  <c r="A138" i="3" s="1" a="1"/>
  <c r="A138" i="3" s="1"/>
  <c r="A139" i="3" s="1" a="1"/>
  <c r="A139" i="3" s="1"/>
  <c r="A140" i="3" s="1" a="1"/>
  <c r="A140" i="3" s="1"/>
  <c r="A141" i="3" s="1" a="1"/>
  <c r="A141" i="3" s="1"/>
  <c r="A142" i="3" s="1" a="1"/>
  <c r="A142" i="3" s="1"/>
  <c r="A143" i="3" s="1" a="1"/>
  <c r="A143" i="3" s="1"/>
  <c r="A144" i="3" s="1" a="1"/>
  <c r="A144" i="3" s="1"/>
  <c r="A145" i="3" s="1" a="1"/>
  <c r="A145" i="3" s="1"/>
  <c r="A146" i="3" s="1" a="1"/>
  <c r="A146" i="3" s="1"/>
  <c r="A147" i="3" s="1" a="1"/>
  <c r="A147" i="3" s="1"/>
  <c r="A148" i="3" s="1" a="1"/>
  <c r="A148" i="3" s="1"/>
  <c r="A149" i="3" s="1" a="1"/>
  <c r="A149" i="3" s="1"/>
  <c r="A150" i="3" s="1" a="1"/>
  <c r="A150" i="3" s="1"/>
  <c r="A151" i="3" s="1" a="1"/>
  <c r="A151" i="3" s="1"/>
  <c r="A152" i="3" s="1" a="1"/>
  <c r="A152" i="3" s="1"/>
  <c r="A153" i="3" s="1" a="1"/>
  <c r="A153" i="3" s="1"/>
  <c r="A154" i="3" s="1" a="1"/>
  <c r="A154" i="3" s="1"/>
  <c r="A155" i="3" s="1" a="1"/>
  <c r="A155" i="3" s="1"/>
  <c r="A156" i="3" s="1" a="1"/>
  <c r="A156" i="3" s="1"/>
  <c r="A157" i="3" s="1" a="1"/>
  <c r="A157" i="3" s="1"/>
  <c r="A158" i="3" s="1" a="1"/>
  <c r="A158" i="3" s="1"/>
  <c r="A159" i="3" s="1" a="1"/>
  <c r="A159" i="3" s="1"/>
  <c r="A160" i="3" s="1" a="1"/>
  <c r="A160" i="3" s="1"/>
  <c r="A161" i="3" s="1" a="1"/>
  <c r="A161" i="3" s="1"/>
  <c r="A162" i="3" s="1" a="1"/>
  <c r="A162" i="3" s="1"/>
  <c r="A163" i="3" s="1" a="1"/>
  <c r="A163" i="3" s="1"/>
  <c r="A164" i="3" s="1" a="1"/>
  <c r="A164" i="3" s="1"/>
  <c r="A165" i="3" s="1" a="1"/>
  <c r="A165" i="3" s="1"/>
  <c r="A166" i="3" s="1" a="1"/>
  <c r="A166" i="3" s="1"/>
  <c r="A167" i="3" s="1" a="1"/>
  <c r="A167" i="3" s="1"/>
  <c r="A168" i="3" s="1" a="1"/>
  <c r="A168" i="3" s="1"/>
  <c r="A169" i="3" s="1" a="1"/>
  <c r="A169" i="3" s="1"/>
  <c r="A170" i="3" s="1" a="1"/>
  <c r="A170" i="3" s="1"/>
  <c r="A171" i="3" s="1" a="1"/>
  <c r="A171" i="3" s="1"/>
  <c r="A172" i="3" s="1" a="1"/>
  <c r="A172" i="3" s="1"/>
  <c r="A173" i="3" s="1" a="1"/>
  <c r="A173" i="3" s="1"/>
  <c r="A174" i="3" s="1" a="1"/>
  <c r="A174" i="3" s="1"/>
  <c r="A175" i="3" s="1" a="1"/>
  <c r="A175" i="3" s="1"/>
  <c r="A176" i="3" s="1" a="1"/>
  <c r="A176" i="3" s="1"/>
  <c r="N1" i="3" s="1"/>
  <c r="L111" i="3"/>
  <c r="L160" i="4"/>
  <c r="J160" i="4" l="1"/>
  <c r="K160" i="4"/>
  <c r="E160" i="4" s="1"/>
  <c r="A160" i="4" s="1" a="1"/>
  <c r="A160" i="4" s="1"/>
  <c r="K161" i="4"/>
  <c r="E161" i="4" s="1"/>
  <c r="K165" i="4"/>
  <c r="E165" i="4" s="1"/>
  <c r="J164" i="4"/>
  <c r="L164" i="4"/>
  <c r="K164" i="4"/>
  <c r="E164" i="4" s="1"/>
  <c r="K162" i="4"/>
  <c r="E162" i="4" s="1"/>
  <c r="K166" i="4"/>
  <c r="E166" i="4" s="1"/>
  <c r="J163" i="4"/>
  <c r="L163" i="4"/>
  <c r="J162" i="4"/>
  <c r="L162" i="4"/>
  <c r="L166" i="4"/>
  <c r="J166" i="4"/>
  <c r="J165" i="4"/>
  <c r="L165" i="4"/>
  <c r="J161" i="4"/>
  <c r="L161" i="4"/>
  <c r="K163" i="4"/>
  <c r="E163" i="4" s="1"/>
  <c r="A161" i="4" l="1" a="1"/>
  <c r="A161" i="4" s="1"/>
  <c r="A162" i="4" s="1" a="1"/>
  <c r="A162" i="4" s="1"/>
  <c r="A163" i="4" s="1" a="1"/>
  <c r="A163" i="4" s="1"/>
  <c r="A164" i="4" s="1" a="1"/>
  <c r="A164" i="4" s="1"/>
  <c r="A165" i="4" l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N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B3CE60-EBA6-4CA3-9EBE-5EE20CE5C51B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<sst xmlns="http://schemas.openxmlformats.org/spreadsheetml/2006/main" count="68" uniqueCount="21">
  <si>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</si>
  <si>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</si>
  <si>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</si>
  <si>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</si>
  <si>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</si>
  <si>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</si>
  <si>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</si>
  <si>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</si>
  <si>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</si>
  <si>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</si>
  <si>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</si>
  <si>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</si>
  <si>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</si>
  <si>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</si>
  <si>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</si>
  <si>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</si>
  <si>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</si>
  <si>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</si>
  <si>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</si>
  <si>
    <t>tests were listed as 0</t>
  </si>
  <si>
    <t>missed this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</si>
</sst>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4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44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4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44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4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44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44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44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4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44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4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36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36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36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36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36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36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36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36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36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36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36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3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36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183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1.576315545402162E-2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2.0561336147425734E-2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  <c:pt idx="156">
                  <c:v>2.5701754385964913E-2</c:v>
                </c:pt>
                <c:pt idx="157">
                  <c:v>2.5964912280701753E-2</c:v>
                </c:pt>
                <c:pt idx="158">
                  <c:v>2.6226749952103657E-2</c:v>
                </c:pt>
                <c:pt idx="159">
                  <c:v>2.6491228070175437E-2</c:v>
                </c:pt>
                <c:pt idx="160">
                  <c:v>2.6807017543859651E-2</c:v>
                </c:pt>
                <c:pt idx="161">
                  <c:v>2.7139658579783531E-2</c:v>
                </c:pt>
                <c:pt idx="162">
                  <c:v>2.7476427268423673E-2</c:v>
                </c:pt>
                <c:pt idx="163">
                  <c:v>2.7817374828707157E-2</c:v>
                </c:pt>
                <c:pt idx="164">
                  <c:v>2.8162553115122786E-2</c:v>
                </c:pt>
                <c:pt idx="165">
                  <c:v>2.8512014625607835E-2</c:v>
                </c:pt>
                <c:pt idx="166">
                  <c:v>2.8865812509532098E-2</c:v>
                </c:pt>
                <c:pt idx="167">
                  <c:v>2.922400057578171E-2</c:v>
                </c:pt>
                <c:pt idx="168">
                  <c:v>2.9586633300942685E-2</c:v>
                </c:pt>
                <c:pt idx="169">
                  <c:v>2.9953765837586212E-2</c:v>
                </c:pt>
                <c:pt idx="170">
                  <c:v>3.0325454022656927E-2</c:v>
                </c:pt>
                <c:pt idx="171">
                  <c:v>3.0701754385964911E-2</c:v>
                </c:pt>
                <c:pt idx="172">
                  <c:v>3.1185325918358681E-2</c:v>
                </c:pt>
                <c:pt idx="173">
                  <c:v>3.1676514000087135E-2</c:v>
                </c:pt>
                <c:pt idx="174">
                  <c:v>3.2175438596491225E-2</c:v>
                </c:pt>
                <c:pt idx="175">
                  <c:v>3.2628390713895769E-2</c:v>
                </c:pt>
                <c:pt idx="176">
                  <c:v>3.3087719298245617E-2</c:v>
                </c:pt>
                <c:pt idx="177">
                  <c:v>3.3571829745108042E-2</c:v>
                </c:pt>
                <c:pt idx="178">
                  <c:v>3.4063023270820676E-2</c:v>
                </c:pt>
                <c:pt idx="179">
                  <c:v>3.4561403508771932E-2</c:v>
                </c:pt>
                <c:pt idx="180">
                  <c:v>3.5333333333333335E-2</c:v>
                </c:pt>
                <c:pt idx="181">
                  <c:v>3.6114178907025632E-2</c:v>
                </c:pt>
                <c:pt idx="182">
                  <c:v>3.6912280701754389E-2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183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5.5663795014737616E-4</c:v>
                </c:pt>
                <c:pt idx="70">
                  <c:v>5.5663795014737616E-4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2.5630114655832426E-3</c:v>
                </c:pt>
                <c:pt idx="118">
                  <c:v>2.5630114655832426E-3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  <c:pt idx="156">
                  <c:v>6.1813186813186594E-3</c:v>
                </c:pt>
                <c:pt idx="157">
                  <c:v>1.0238907849829282E-2</c:v>
                </c:pt>
                <c:pt idx="158">
                  <c:v>1.0084288695884069E-2</c:v>
                </c:pt>
                <c:pt idx="159">
                  <c:v>1.0084288695884291E-2</c:v>
                </c:pt>
                <c:pt idx="160">
                  <c:v>1.192052980132452E-2</c:v>
                </c:pt>
                <c:pt idx="161">
                  <c:v>1.2408729743233815E-2</c:v>
                </c:pt>
                <c:pt idx="162">
                  <c:v>1.2408729743232705E-2</c:v>
                </c:pt>
                <c:pt idx="163">
                  <c:v>1.2408729743233593E-2</c:v>
                </c:pt>
                <c:pt idx="164">
                  <c:v>1.2408729743232705E-2</c:v>
                </c:pt>
                <c:pt idx="165">
                  <c:v>1.2408729743234481E-2</c:v>
                </c:pt>
                <c:pt idx="166">
                  <c:v>1.2408729743232705E-2</c:v>
                </c:pt>
                <c:pt idx="167">
                  <c:v>1.2408729743232705E-2</c:v>
                </c:pt>
                <c:pt idx="168">
                  <c:v>1.2408729743233593E-2</c:v>
                </c:pt>
                <c:pt idx="169">
                  <c:v>1.2408729743232705E-2</c:v>
                </c:pt>
                <c:pt idx="170">
                  <c:v>1.2408729743233593E-2</c:v>
                </c:pt>
                <c:pt idx="171">
                  <c:v>1.2408729743232927E-2</c:v>
                </c:pt>
                <c:pt idx="172">
                  <c:v>1.5750615626539899E-2</c:v>
                </c:pt>
                <c:pt idx="173">
                  <c:v>1.5750615626540343E-2</c:v>
                </c:pt>
                <c:pt idx="174">
                  <c:v>1.5750615626540343E-2</c:v>
                </c:pt>
                <c:pt idx="175">
                  <c:v>1.4077573986945868E-2</c:v>
                </c:pt>
                <c:pt idx="176">
                  <c:v>1.4077573986945868E-2</c:v>
                </c:pt>
                <c:pt idx="177">
                  <c:v>1.4631121670815705E-2</c:v>
                </c:pt>
                <c:pt idx="178">
                  <c:v>1.463112167081726E-2</c:v>
                </c:pt>
                <c:pt idx="179">
                  <c:v>1.4631121670817038E-2</c:v>
                </c:pt>
                <c:pt idx="180">
                  <c:v>2.2335025380710638E-2</c:v>
                </c:pt>
                <c:pt idx="181">
                  <c:v>2.2099403029027354E-2</c:v>
                </c:pt>
                <c:pt idx="182">
                  <c:v>2.2099403029027131E-2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83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183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0.49986087923241485</c:v>
                </c:pt>
                <c:pt idx="70">
                  <c:v>0.50013912076758515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2.9961604032669129</c:v>
                </c:pt>
                <c:pt idx="118">
                  <c:v>3.0038395967330871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9</c:v>
                </c:pt>
                <c:pt idx="157">
                  <c:v>15</c:v>
                </c:pt>
                <c:pt idx="158">
                  <c:v>14.924747269908494</c:v>
                </c:pt>
                <c:pt idx="159">
                  <c:v>15.075252730091506</c:v>
                </c:pt>
                <c:pt idx="160">
                  <c:v>18</c:v>
                </c:pt>
                <c:pt idx="161">
                  <c:v>18.960539047661314</c:v>
                </c:pt>
                <c:pt idx="162">
                  <c:v>19.195815252488046</c:v>
                </c:pt>
                <c:pt idx="163">
                  <c:v>19.434010936158529</c:v>
                </c:pt>
                <c:pt idx="164">
                  <c:v>19.675162325690962</c:v>
                </c:pt>
                <c:pt idx="165">
                  <c:v>19.919306097647677</c:v>
                </c:pt>
                <c:pt idx="166">
                  <c:v>20.166479383683054</c:v>
                </c:pt>
                <c:pt idx="167">
                  <c:v>20.416719776227865</c:v>
                </c:pt>
                <c:pt idx="168">
                  <c:v>20.670065334175661</c:v>
                </c:pt>
                <c:pt idx="169">
                  <c:v>20.926554588681029</c:v>
                </c:pt>
                <c:pt idx="170">
                  <c:v>21.186226549030607</c:v>
                </c:pt>
                <c:pt idx="171">
                  <c:v>21.449120708555256</c:v>
                </c:pt>
                <c:pt idx="172">
                  <c:v>27.563577346444845</c:v>
                </c:pt>
                <c:pt idx="173">
                  <c:v>27.997720658521757</c:v>
                </c:pt>
                <c:pt idx="174">
                  <c:v>28.438701995033398</c:v>
                </c:pt>
                <c:pt idx="175">
                  <c:v>25.818270692058832</c:v>
                </c:pt>
                <c:pt idx="176">
                  <c:v>26.181729307941168</c:v>
                </c:pt>
                <c:pt idx="177">
                  <c:v>27.594295471158375</c:v>
                </c:pt>
                <c:pt idx="178">
                  <c:v>27.998030965620273</c:v>
                </c:pt>
                <c:pt idx="179">
                  <c:v>28.407673563221351</c:v>
                </c:pt>
                <c:pt idx="180">
                  <c:v>44</c:v>
                </c:pt>
                <c:pt idx="181">
                  <c:v>44.508197700461096</c:v>
                </c:pt>
                <c:pt idx="182">
                  <c:v>45.491802299538904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83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183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2.9577566818486086E-3</c:v>
                </c:pt>
                <c:pt idx="70">
                  <c:v>4.9518724828473779E-3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3.2924839596339704E-2</c:v>
                </c:pt>
                <c:pt idx="118">
                  <c:v>9.6276910151701506E-3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7.2136169242418724E-2</c:v>
                </c:pt>
                <c:pt idx="156">
                  <c:v>4.9508960870811476E-2</c:v>
                </c:pt>
                <c:pt idx="157">
                  <c:v>7.575757575757576E-2</c:v>
                </c:pt>
                <c:pt idx="158">
                  <c:v>9.3339114343009205E-2</c:v>
                </c:pt>
                <c:pt idx="159">
                  <c:v>9.357588558207873E-2</c:v>
                </c:pt>
                <c:pt idx="160">
                  <c:v>6.9498069498069498E-2</c:v>
                </c:pt>
                <c:pt idx="161">
                  <c:v>9.1895930736284007E-2</c:v>
                </c:pt>
                <c:pt idx="162">
                  <c:v>9.2164708750448521E-2</c:v>
                </c:pt>
                <c:pt idx="163">
                  <c:v>9.2434272888920685E-2</c:v>
                </c:pt>
                <c:pt idx="164">
                  <c:v>9.2704625450891462E-2</c:v>
                </c:pt>
                <c:pt idx="165">
                  <c:v>9.2975768742379547E-2</c:v>
                </c:pt>
                <c:pt idx="166">
                  <c:v>9.3247705076104651E-2</c:v>
                </c:pt>
                <c:pt idx="167">
                  <c:v>9.3520436771624735E-2</c:v>
                </c:pt>
                <c:pt idx="168">
                  <c:v>9.3793966155102632E-2</c:v>
                </c:pt>
                <c:pt idx="169">
                  <c:v>9.4068295559734227E-2</c:v>
                </c:pt>
                <c:pt idx="170">
                  <c:v>9.4343427325359733E-2</c:v>
                </c:pt>
                <c:pt idx="171">
                  <c:v>9.4619363798784634E-2</c:v>
                </c:pt>
                <c:pt idx="172">
                  <c:v>0.10993480553653807</c:v>
                </c:pt>
                <c:pt idx="173">
                  <c:v>0.11052123254731512</c:v>
                </c:pt>
                <c:pt idx="174">
                  <c:v>0.11111078774512047</c:v>
                </c:pt>
                <c:pt idx="175">
                  <c:v>9.0787957548173592E-2</c:v>
                </c:pt>
                <c:pt idx="176">
                  <c:v>9.1028859639212645E-2</c:v>
                </c:pt>
                <c:pt idx="177">
                  <c:v>0.12245701510816071</c:v>
                </c:pt>
                <c:pt idx="178">
                  <c:v>0.12316166400688093</c:v>
                </c:pt>
                <c:pt idx="179">
                  <c:v>0.12387036763513094</c:v>
                </c:pt>
                <c:pt idx="180">
                  <c:v>0.18723404255319148</c:v>
                </c:pt>
                <c:pt idx="181">
                  <c:v>0.16942892827260345</c:v>
                </c:pt>
                <c:pt idx="182">
                  <c:v>0.17147007585673368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83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183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180.21472635055761</c:v>
                </c:pt>
                <c:pt idx="156">
                  <c:v>181.78527364944239</c:v>
                </c:pt>
                <c:pt idx="157">
                  <c:v>198</c:v>
                </c:pt>
                <c:pt idx="158">
                  <c:v>159.89810247247442</c:v>
                </c:pt>
                <c:pt idx="159">
                  <c:v>161.10189752752558</c:v>
                </c:pt>
                <c:pt idx="160">
                  <c:v>259</c:v>
                </c:pt>
                <c:pt idx="161">
                  <c:v>206.32620939519984</c:v>
                </c:pt>
                <c:pt idx="162">
                  <c:v>208.27728436124016</c:v>
                </c:pt>
                <c:pt idx="163">
                  <c:v>210.2468092058516</c:v>
                </c:pt>
                <c:pt idx="164">
                  <c:v>212.23495839604584</c:v>
                </c:pt>
                <c:pt idx="165">
                  <c:v>214.24190804854516</c:v>
                </c:pt>
                <c:pt idx="166">
                  <c:v>216.26783594538938</c:v>
                </c:pt>
                <c:pt idx="167">
                  <c:v>218.31292154981202</c:v>
                </c:pt>
                <c:pt idx="168">
                  <c:v>220.37734602239289</c:v>
                </c:pt>
                <c:pt idx="169">
                  <c:v>222.46129223626122</c:v>
                </c:pt>
                <c:pt idx="170">
                  <c:v>224.56494479436515</c:v>
                </c:pt>
                <c:pt idx="171">
                  <c:v>226.68849004489675</c:v>
                </c:pt>
                <c:pt idx="172">
                  <c:v>250.72657573659671</c:v>
                </c:pt>
                <c:pt idx="173">
                  <c:v>253.32436142110237</c:v>
                </c:pt>
                <c:pt idx="174">
                  <c:v>255.94906284230092</c:v>
                </c:pt>
                <c:pt idx="175">
                  <c:v>284.37990444227398</c:v>
                </c:pt>
                <c:pt idx="176">
                  <c:v>287.62009555772602</c:v>
                </c:pt>
                <c:pt idx="177">
                  <c:v>225.33862553146173</c:v>
                </c:pt>
                <c:pt idx="178">
                  <c:v>227.32748206500401</c:v>
                </c:pt>
                <c:pt idx="179">
                  <c:v>229.33389240353426</c:v>
                </c:pt>
                <c:pt idx="180">
                  <c:v>235</c:v>
                </c:pt>
                <c:pt idx="181">
                  <c:v>262.69538593108155</c:v>
                </c:pt>
                <c:pt idx="182">
                  <c:v>265.30461406891845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246"/>
  <sheetViews>
    <sheetView topLeftCell="C1" zoomScaleNormal="100" workbookViewId="0">
      <pane ySplit="1" topLeftCell="A214" activePane="bottomLeft" state="frozen"/>
      <selection activeCell="H1" sqref="H1"/>
      <selection pane="bottomLeft" activeCell="G238" sqref="G23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244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246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246" si="180">W239 + G239</f>
        <v>427072</v>
      </c>
      <c r="C239" s="11">
        <f t="shared" ref="C239:C246" si="181">B239/$A$1</f>
        <v>3.3627716535433068E-2</v>
      </c>
      <c r="D239" s="2">
        <f t="shared" ref="D239:D246" si="182">B239/B238 - 1</f>
        <v>1.6700114508269026E-2</v>
      </c>
      <c r="E239" s="18">
        <f t="shared" ref="E239:E246" si="183">IFERROR(LOG(D239/K239), FALSE)</f>
        <v>0.21625300128454572</v>
      </c>
      <c r="F239">
        <f t="shared" ref="F239:F246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246" si="185">I239 - I238</f>
        <v>78458</v>
      </c>
      <c r="K239" s="2">
        <f t="shared" ref="K239:K246" si="186">I239/I238 - 1</f>
        <v>1.0150009476257216E-2</v>
      </c>
      <c r="L239" s="2">
        <f t="shared" ref="L239:L246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/>
      <c r="D246" s="2"/>
      <c r="E246" s="18"/>
      <c r="K246" s="2"/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246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247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24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38"/>
  <sheetViews>
    <sheetView workbookViewId="0">
      <pane ySplit="1" topLeftCell="A211" activePane="bottomLeft" state="frozen"/>
      <selection activeCell="C1" sqref="C1"/>
      <selection pane="bottomLeft" activeCell="G230" sqref="G230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236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38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238" si="220">W231 + G231</f>
        <v>198602</v>
      </c>
      <c r="C231" s="11">
        <f t="shared" ref="C231:C238" si="221">B231/$A$1</f>
        <v>3.8192692307692309E-2</v>
      </c>
      <c r="D231" s="2">
        <f t="shared" ref="D231:D238" si="222">B231/B230 - 1</f>
        <v>1.7715032411796283E-2</v>
      </c>
      <c r="E231" s="18">
        <f t="shared" ref="E231:E238" si="223">IFERROR(LOG(D231/K231), FALSE)</f>
        <v>0.16103830495285495</v>
      </c>
      <c r="F231">
        <f t="shared" ref="F231:F238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238" si="225">I231 - I230</f>
        <v>35335</v>
      </c>
      <c r="K231" s="2">
        <f t="shared" ref="K231:K238" si="226">I231/I230 - 1</f>
        <v>1.2226542063318524E-2</v>
      </c>
      <c r="L231" s="2">
        <f t="shared" ref="L231:L238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/>
      <c r="C238" s="11"/>
      <c r="D238" s="2"/>
      <c r="E238" s="18"/>
      <c r="K238" s="2"/>
      <c r="L238" s="2"/>
    </row>
  </sheetData>
  <conditionalFormatting sqref="D7:D238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38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38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38"/>
  <sheetViews>
    <sheetView workbookViewId="0">
      <pane ySplit="1" topLeftCell="A206" activePane="bottomLeft" state="frozen"/>
      <selection pane="bottomLeft" activeCell="L237" sqref="L237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236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38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238" si="137">W231 + G231</f>
        <v>107604</v>
      </c>
      <c r="C231" s="11">
        <f t="shared" ref="C231:C238" si="138">B231/$A$1</f>
        <v>3.9853333333333331E-2</v>
      </c>
      <c r="D231" s="2">
        <f t="shared" ref="D231:D238" si="139">B231/B230 - 1</f>
        <v>1.7897684274254644E-2</v>
      </c>
      <c r="E231" s="18">
        <f t="shared" ref="E231:E238" si="140">IFERROR(LOG(D231/K231), FALSE)</f>
        <v>0.15022522119075138</v>
      </c>
      <c r="F231">
        <f t="shared" ref="F231:F238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238" si="142">I231 - I230</f>
        <v>19536</v>
      </c>
      <c r="K231" s="2">
        <f t="shared" ref="K231:K238" si="143">I231/I230 - 1</f>
        <v>1.266402098223951E-2</v>
      </c>
      <c r="L231" s="2">
        <f t="shared" ref="L231:L238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/>
      <c r="C238" s="11"/>
      <c r="D238" s="2"/>
      <c r="E238" s="18"/>
      <c r="K238" s="2"/>
      <c r="L238" s="2"/>
    </row>
  </sheetData>
  <conditionalFormatting sqref="D7:D238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38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38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184"/>
  <sheetViews>
    <sheetView tabSelected="1" zoomScaleNormal="100" workbookViewId="0">
      <pane ySplit="1" topLeftCell="A153" activePane="bottomLeft" state="frozen"/>
      <selection pane="bottomLeft" activeCell="L184" sqref="L184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183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  <c r="W44" s="6"/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2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2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  <c r="V50" t="s">
        <v>20</v>
      </c>
    </row>
    <row r="51" spans="1:22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2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2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60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2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2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2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2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2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2" x14ac:dyDescent="0.3">
      <c r="A59" s="1" cm="1">
        <f t="array" ref="A59">IF(OR(B59:L59=""), "", A58 + 1)</f>
        <v>44017</v>
      </c>
      <c r="B59" s="6">
        <f t="shared" ref="B59:B160" si="482">U59 + G59</f>
        <v>876.99942987438715</v>
      </c>
      <c r="C59" s="13">
        <f t="shared" ref="C59:C160" si="483">B59/$A$1</f>
        <v>1.5385954910076967E-2</v>
      </c>
      <c r="D59" s="7">
        <f t="shared" ref="D59:D160" si="484">B59/B58 - 1</f>
        <v>1.140901683090334E-3</v>
      </c>
      <c r="E59" s="17">
        <f t="shared" si="436"/>
        <v>-1.0306780627505441</v>
      </c>
      <c r="F59" s="6">
        <f t="shared" ref="F59:F160" si="485">B59 - B58</f>
        <v>0.99942987438714681</v>
      </c>
      <c r="G59" s="9" t="b">
        <f>FALSE</f>
        <v>0</v>
      </c>
      <c r="H59" s="9">
        <f t="shared" ref="H59:H160" si="486">G59-G58</f>
        <v>0</v>
      </c>
      <c r="I59" s="6">
        <f>SQRT(I58 * I60)</f>
        <v>7271.9614960476792</v>
      </c>
      <c r="J59" s="6">
        <f t="shared" ref="J59:J160" si="487">I59 - I58</f>
        <v>87.961496047679248</v>
      </c>
      <c r="K59" s="7">
        <f t="shared" ref="K59:K160" si="488">I59/I58 - 1</f>
        <v>1.2244083525567717E-2</v>
      </c>
      <c r="L59" s="7">
        <f t="shared" ref="L59:L160" si="489">(B59 - B58)/(I59 - I58)</f>
        <v>1.1362129105278167E-2</v>
      </c>
      <c r="U59" s="6">
        <f>SQRT(U58 * U60)</f>
        <v>876.99942987438715</v>
      </c>
      <c r="V59" t="s">
        <v>20</v>
      </c>
    </row>
    <row r="60" spans="1:22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2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2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2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2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3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3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3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3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3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3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3" x14ac:dyDescent="0.3">
      <c r="A71" s="1" cm="1">
        <f t="array" ref="A71">IF(OR(B71:L71=""), "", A70 + 1)</f>
        <v>44029</v>
      </c>
      <c r="B71" s="6">
        <f t="shared" si="482"/>
        <v>898.49986087923241</v>
      </c>
      <c r="C71" s="13">
        <f t="shared" si="483"/>
        <v>1.576315545402162E-2</v>
      </c>
      <c r="D71" s="7">
        <f t="shared" si="484"/>
        <v>5.5663795014737616E-4</v>
      </c>
      <c r="E71" s="17">
        <f t="shared" si="436"/>
        <v>-1.5557656678870635</v>
      </c>
      <c r="F71" s="6">
        <f t="shared" si="485"/>
        <v>0.49986087923241485</v>
      </c>
      <c r="G71" s="9" t="b">
        <f>FALSE</f>
        <v>0</v>
      </c>
      <c r="H71" s="9">
        <f t="shared" si="486"/>
        <v>0</v>
      </c>
      <c r="I71">
        <v>8613</v>
      </c>
      <c r="J71" s="9">
        <f t="shared" ref="J71:J73" si="490">I71 - I70</f>
        <v>169</v>
      </c>
      <c r="K71" s="8">
        <f t="shared" ref="K71:K73" si="491">I71/I70 - 1</f>
        <v>2.0014211274277605E-2</v>
      </c>
      <c r="L71" s="7">
        <f t="shared" si="489"/>
        <v>2.9577566818486086E-3</v>
      </c>
      <c r="U71" s="6">
        <f>SQRT(U70 * U72)</f>
        <v>898.49986087923241</v>
      </c>
      <c r="V71">
        <v>896</v>
      </c>
      <c r="W71" t="s">
        <v>17</v>
      </c>
    </row>
    <row r="72" spans="1:23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7">
        <f t="shared" si="484"/>
        <v>5.5663795014737616E-4</v>
      </c>
      <c r="E72" s="17">
        <f t="shared" si="436"/>
        <v>-1.3235941144754853</v>
      </c>
      <c r="F72" s="6">
        <f t="shared" si="485"/>
        <v>0.50013912076758515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90"/>
        <v>101</v>
      </c>
      <c r="K72" s="8">
        <f t="shared" si="491"/>
        <v>1.1726460002322137E-2</v>
      </c>
      <c r="L72" s="7">
        <f t="shared" si="489"/>
        <v>4.9518724828473779E-3</v>
      </c>
      <c r="U72">
        <v>899</v>
      </c>
    </row>
    <row r="73" spans="1:23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90"/>
        <v>225</v>
      </c>
      <c r="K73" s="8">
        <f t="shared" si="491"/>
        <v>2.582051870553137E-2</v>
      </c>
      <c r="L73" s="8">
        <f t="shared" si="489"/>
        <v>4.4444444444444444E-3</v>
      </c>
      <c r="U73">
        <v>900</v>
      </c>
    </row>
    <row r="74" spans="1:23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3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  <c r="V75" t="s">
        <v>20</v>
      </c>
    </row>
    <row r="76" spans="1:23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3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3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3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3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  <c r="V103" t="s">
        <v>20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3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3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3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3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3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3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3" x14ac:dyDescent="0.3">
      <c r="A119" s="1" cm="1">
        <f t="array" ref="A119">IF(OR(B119:L119=""), "", A118 + 1)</f>
        <v>44077</v>
      </c>
      <c r="B119" s="6">
        <f t="shared" si="482"/>
        <v>1171.9961604032669</v>
      </c>
      <c r="C119" s="13">
        <f t="shared" si="483"/>
        <v>2.0561336147425734E-2</v>
      </c>
      <c r="D119" s="7">
        <f t="shared" si="484"/>
        <v>2.5630114655832426E-3</v>
      </c>
      <c r="E119" s="17">
        <f t="shared" si="436"/>
        <v>-0.36959164202833078</v>
      </c>
      <c r="F119" s="6">
        <f t="shared" si="485"/>
        <v>2.9961604032669129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7">
        <f t="shared" si="489"/>
        <v>3.2924839596339704E-2</v>
      </c>
      <c r="U119" s="6">
        <f>SQRT(U118 * U120)</f>
        <v>1171.9961604032669</v>
      </c>
      <c r="V119">
        <v>1166</v>
      </c>
      <c r="W119" t="s">
        <v>17</v>
      </c>
    </row>
    <row r="120" spans="1:23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7">
        <f t="shared" si="484"/>
        <v>2.5630114655832426E-3</v>
      </c>
      <c r="E120" s="17">
        <f t="shared" si="436"/>
        <v>-0.90210572394590216</v>
      </c>
      <c r="F120" s="6">
        <f t="shared" si="485"/>
        <v>3.0038395967330871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7">
        <f t="shared" si="489"/>
        <v>9.6276910151701506E-3</v>
      </c>
      <c r="U120">
        <v>1175</v>
      </c>
    </row>
    <row r="121" spans="1:23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3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3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3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3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3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3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3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2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2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2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2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2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2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2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2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2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2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2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2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2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7">
        <f t="shared" si="436"/>
        <v>1.4416277709395723E-2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 s="6">
        <f>SQRT(I156*I158)</f>
        <v>20859.214726350558</v>
      </c>
      <c r="J157" s="6">
        <f t="shared" si="487"/>
        <v>180.21472635055761</v>
      </c>
      <c r="K157" s="7">
        <f t="shared" si="488"/>
        <v>8.7148665965741667E-3</v>
      </c>
      <c r="L157" s="7">
        <f t="shared" si="489"/>
        <v>7.2136169242418724E-2</v>
      </c>
      <c r="U157">
        <v>1456</v>
      </c>
      <c r="V157" t="s">
        <v>19</v>
      </c>
    </row>
    <row r="158" spans="1:22" x14ac:dyDescent="0.3">
      <c r="A158" s="1" cm="1">
        <f t="array" ref="A158">IF(OR(B158:L158=""), "", A157 + 1)</f>
        <v>44116</v>
      </c>
      <c r="B158" s="9">
        <f t="shared" si="482"/>
        <v>1465</v>
      </c>
      <c r="C158" s="14">
        <f t="shared" si="483"/>
        <v>2.5701754385964913E-2</v>
      </c>
      <c r="D158" s="8">
        <f t="shared" si="484"/>
        <v>6.1813186813186594E-3</v>
      </c>
      <c r="E158" s="17">
        <f t="shared" si="436"/>
        <v>-0.14917960904163738</v>
      </c>
      <c r="F158" s="9">
        <f t="shared" si="485"/>
        <v>9</v>
      </c>
      <c r="G158" s="9" t="b">
        <f>FALSE</f>
        <v>0</v>
      </c>
      <c r="H158" s="9">
        <f t="shared" si="486"/>
        <v>0</v>
      </c>
      <c r="I158">
        <v>21041</v>
      </c>
      <c r="J158" s="6">
        <f t="shared" si="487"/>
        <v>181.78527364944239</v>
      </c>
      <c r="K158" s="7">
        <f t="shared" si="488"/>
        <v>8.7148665965741667E-3</v>
      </c>
      <c r="L158" s="7">
        <f t="shared" si="489"/>
        <v>4.9508960870811476E-2</v>
      </c>
      <c r="U158">
        <v>1465</v>
      </c>
    </row>
    <row r="159" spans="1:22" x14ac:dyDescent="0.3">
      <c r="A159" s="1" cm="1">
        <f t="array" ref="A159">IF(OR(B159:L159=""), "", A158 + 1)</f>
        <v>44117</v>
      </c>
      <c r="B159" s="9">
        <f t="shared" si="482"/>
        <v>1480</v>
      </c>
      <c r="C159" s="14">
        <f t="shared" si="483"/>
        <v>2.5964912280701753E-2</v>
      </c>
      <c r="D159" s="8">
        <f t="shared" si="484"/>
        <v>1.0238907849829282E-2</v>
      </c>
      <c r="E159" s="18">
        <f t="shared" si="436"/>
        <v>3.6654820467919888E-2</v>
      </c>
      <c r="F159" s="9">
        <f t="shared" si="485"/>
        <v>15</v>
      </c>
      <c r="G159" s="9" t="b">
        <f>FALSE</f>
        <v>0</v>
      </c>
      <c r="H159" s="9">
        <f t="shared" si="486"/>
        <v>0</v>
      </c>
      <c r="I159">
        <v>21239</v>
      </c>
      <c r="J159" s="9">
        <f t="shared" si="487"/>
        <v>198</v>
      </c>
      <c r="K159" s="8">
        <f t="shared" si="488"/>
        <v>9.4101991350221681E-3</v>
      </c>
      <c r="L159" s="8">
        <f t="shared" si="489"/>
        <v>7.575757575757576E-2</v>
      </c>
      <c r="U159">
        <v>1480</v>
      </c>
    </row>
    <row r="160" spans="1:22" x14ac:dyDescent="0.3">
      <c r="A160" s="1" cm="1">
        <f t="array" ref="A160">IF(OR(B160:L160=""), "", A159 + 1)</f>
        <v>44118</v>
      </c>
      <c r="B160" s="6">
        <f t="shared" si="482"/>
        <v>1494.9247472699085</v>
      </c>
      <c r="C160" s="13">
        <f t="shared" si="483"/>
        <v>2.6226749952103657E-2</v>
      </c>
      <c r="D160" s="7">
        <f t="shared" si="484"/>
        <v>1.0084288695884069E-2</v>
      </c>
      <c r="E160" s="17">
        <f t="shared" si="436"/>
        <v>0.12693602524814349</v>
      </c>
      <c r="F160" s="6">
        <f t="shared" si="485"/>
        <v>14.924747269908494</v>
      </c>
      <c r="G160" s="9" t="b">
        <f>FALSE</f>
        <v>0</v>
      </c>
      <c r="H160" s="9">
        <f t="shared" si="486"/>
        <v>0</v>
      </c>
      <c r="I160" s="6">
        <f>SQRT(I159*I161)</f>
        <v>21398.898102472474</v>
      </c>
      <c r="J160" s="6">
        <f t="shared" si="487"/>
        <v>159.89810247247442</v>
      </c>
      <c r="K160" s="7">
        <f t="shared" si="488"/>
        <v>7.5285136999141411E-3</v>
      </c>
      <c r="L160" s="7">
        <f t="shared" si="489"/>
        <v>9.3339114343009205E-2</v>
      </c>
      <c r="U160" s="6">
        <f>SQRT(U159*U161)</f>
        <v>1494.9247472699085</v>
      </c>
    </row>
    <row r="161" spans="1:21" x14ac:dyDescent="0.3">
      <c r="A161" s="1" cm="1">
        <f t="array" ref="A161">IF(OR(B161:L161=""), "", A160 + 1)</f>
        <v>44119</v>
      </c>
      <c r="B161" s="9">
        <f t="shared" ref="B161:B162" si="492">U161 + G161</f>
        <v>1510</v>
      </c>
      <c r="C161" s="14">
        <f t="shared" ref="C161:C162" si="493">B161/$A$1</f>
        <v>2.6491228070175437E-2</v>
      </c>
      <c r="D161" s="7">
        <f t="shared" ref="D161:D162" si="494">B161/B160 - 1</f>
        <v>1.0084288695884291E-2</v>
      </c>
      <c r="E161" s="17">
        <f t="shared" ref="E161:E162" si="495">IFERROR(LOG(D161/K161), FALSE)</f>
        <v>0.12693602524816588</v>
      </c>
      <c r="F161" s="6">
        <f t="shared" ref="F161:F162" si="496">B161 - B160</f>
        <v>15.075252730091506</v>
      </c>
      <c r="G161" s="9" t="b">
        <f>FALSE</f>
        <v>0</v>
      </c>
      <c r="H161" s="9">
        <f t="shared" ref="H161:H162" si="497">G161-G160</f>
        <v>0</v>
      </c>
      <c r="I161">
        <v>21560</v>
      </c>
      <c r="J161" s="6">
        <f t="shared" ref="J161" si="498">I161 - I160</f>
        <v>161.10189752752558</v>
      </c>
      <c r="K161" s="7">
        <f t="shared" ref="K161" si="499">I161/I160 - 1</f>
        <v>7.5285136999139191E-3</v>
      </c>
      <c r="L161" s="7">
        <f t="shared" ref="L161" si="500">(B161 - B160)/(I161 - I160)</f>
        <v>9.357588558207873E-2</v>
      </c>
      <c r="U161">
        <v>1510</v>
      </c>
    </row>
    <row r="162" spans="1:21" x14ac:dyDescent="0.3">
      <c r="A162" s="1" cm="1">
        <f t="array" ref="A162">IF(OR(B162:L162=""), "", A161 + 1)</f>
        <v>44120</v>
      </c>
      <c r="B162" s="9">
        <f t="shared" si="492"/>
        <v>1528</v>
      </c>
      <c r="C162" s="14">
        <f t="shared" si="493"/>
        <v>2.6807017543859651E-2</v>
      </c>
      <c r="D162" s="8">
        <f t="shared" si="494"/>
        <v>1.192052980132452E-2</v>
      </c>
      <c r="E162" s="18">
        <f t="shared" si="495"/>
        <v>-3.3554497564141457E-3</v>
      </c>
      <c r="F162" s="9">
        <f t="shared" si="496"/>
        <v>18</v>
      </c>
      <c r="G162" s="9" t="b">
        <f>FALSE</f>
        <v>0</v>
      </c>
      <c r="H162" s="9">
        <f t="shared" si="497"/>
        <v>0</v>
      </c>
      <c r="I162">
        <v>21819</v>
      </c>
      <c r="J162" s="9">
        <f t="shared" ref="J162" si="501">I162 - I161</f>
        <v>259</v>
      </c>
      <c r="K162" s="8">
        <f t="shared" ref="K162" si="502">I162/I161 - 1</f>
        <v>1.2012987012987031E-2</v>
      </c>
      <c r="L162" s="8">
        <f t="shared" ref="L162" si="503">(B162 - B161)/(I162 - I161)</f>
        <v>6.9498069498069498E-2</v>
      </c>
      <c r="U162">
        <v>1528</v>
      </c>
    </row>
    <row r="163" spans="1:21" x14ac:dyDescent="0.3">
      <c r="A163" s="1" cm="1">
        <f t="array" ref="A163">IF(OR(B163:L163=""), "", A162 + 1)</f>
        <v>44121</v>
      </c>
      <c r="B163" s="6">
        <f t="shared" ref="B163" si="504">U163 + G163</f>
        <v>1546.9605390476613</v>
      </c>
      <c r="C163" s="13">
        <f t="shared" ref="C163" si="505">B163/$A$1</f>
        <v>2.7139658579783531E-2</v>
      </c>
      <c r="D163" s="7">
        <f t="shared" ref="D163" si="506">B163/B162 - 1</f>
        <v>1.2408729743233815E-2</v>
      </c>
      <c r="E163" s="17">
        <f t="shared" ref="E163" si="507">IFERROR(LOG(D163/K163), FALSE)</f>
        <v>0.11800776877480125</v>
      </c>
      <c r="F163" s="6">
        <f t="shared" ref="F163" si="508">B163 - B162</f>
        <v>18.960539047661314</v>
      </c>
      <c r="G163" s="9" t="b">
        <f>FALSE</f>
        <v>0</v>
      </c>
      <c r="H163" s="9">
        <f t="shared" ref="H163" si="509">G163-G162</f>
        <v>0</v>
      </c>
      <c r="I163" s="6">
        <f>(I$162^(11 - (ROW(I163) - 162))*I$173^(ROW(I163) - 162))^(1/11)</f>
        <v>22025.3262093952</v>
      </c>
      <c r="J163" s="6">
        <f t="shared" ref="J163" si="510">I163 - I162</f>
        <v>206.32620939519984</v>
      </c>
      <c r="K163" s="7">
        <f t="shared" ref="K163" si="511">I163/I162 - 1</f>
        <v>9.4562633207389002E-3</v>
      </c>
      <c r="L163" s="7">
        <f t="shared" ref="L163" si="512">(B163 - B162)/(I163 - I162)</f>
        <v>9.1895930736284007E-2</v>
      </c>
      <c r="U163" s="6">
        <f>(U$162^(11 - (ROW(U163) - 162))*U$173^(ROW(U163) - 162))^(1/11)</f>
        <v>1546.9605390476613</v>
      </c>
    </row>
    <row r="164" spans="1:21" x14ac:dyDescent="0.3">
      <c r="A164" s="1" cm="1">
        <f t="array" ref="A164">IF(OR(B164:L164=""), "", A163 + 1)</f>
        <v>44122</v>
      </c>
      <c r="B164" s="6">
        <f t="shared" ref="B164" si="513">U164 + G164</f>
        <v>1566.1563543001494</v>
      </c>
      <c r="C164" s="13">
        <f t="shared" ref="C164" si="514">B164/$A$1</f>
        <v>2.7476427268423673E-2</v>
      </c>
      <c r="D164" s="7">
        <f t="shared" ref="D164" si="515">B164/B163 - 1</f>
        <v>1.2408729743232705E-2</v>
      </c>
      <c r="E164" s="17">
        <f t="shared" ref="E164" si="516">IFERROR(LOG(D164/K164), FALSE)</f>
        <v>0.11800776877470123</v>
      </c>
      <c r="F164" s="6">
        <f t="shared" ref="F164" si="517">B164 - B163</f>
        <v>19.195815252488046</v>
      </c>
      <c r="G164" s="9" t="b">
        <f>FALSE</f>
        <v>0</v>
      </c>
      <c r="H164" s="9">
        <f t="shared" ref="H164" si="518">G164-G163</f>
        <v>0</v>
      </c>
      <c r="I164" s="6">
        <f t="shared" ref="I164:I172" si="519">(I$162^(11 - (ROW(I164) - 162))*I$173^(ROW(I164) - 162))^(1/11)</f>
        <v>22233.60349375644</v>
      </c>
      <c r="J164" s="6">
        <f t="shared" ref="J164" si="520">I164 - I163</f>
        <v>208.27728436124016</v>
      </c>
      <c r="K164" s="7">
        <f t="shared" ref="K164" si="521">I164/I163 - 1</f>
        <v>9.4562633207402325E-3</v>
      </c>
      <c r="L164" s="7">
        <f t="shared" ref="L164" si="522">(B164 - B163)/(I164 - I163)</f>
        <v>9.2164708750448521E-2</v>
      </c>
      <c r="U164" s="6">
        <f t="shared" ref="U164:U172" si="523">(U$162^(11 - (ROW(U164) - 162))*U$173^(ROW(U164) - 162))^(1/11)</f>
        <v>1566.1563543001494</v>
      </c>
    </row>
    <row r="165" spans="1:21" x14ac:dyDescent="0.3">
      <c r="A165" s="1" cm="1">
        <f t="array" ref="A165">IF(OR(B165:L165=""), "", A164 + 1)</f>
        <v>44123</v>
      </c>
      <c r="B165" s="6">
        <f t="shared" ref="B165" si="524">U165 + G165</f>
        <v>1585.5903652363079</v>
      </c>
      <c r="C165" s="13">
        <f t="shared" ref="C165" si="525">B165/$A$1</f>
        <v>2.7817374828707157E-2</v>
      </c>
      <c r="D165" s="7">
        <f t="shared" ref="D165" si="526">B165/B164 - 1</f>
        <v>1.2408729743233593E-2</v>
      </c>
      <c r="E165" s="17">
        <f t="shared" ref="E165" si="527">IFERROR(LOG(D165/K165), FALSE)</f>
        <v>0.11800776877481389</v>
      </c>
      <c r="F165" s="6">
        <f t="shared" ref="F165" si="528">B165 - B164</f>
        <v>19.434010936158529</v>
      </c>
      <c r="G165" s="9" t="b">
        <f>FALSE</f>
        <v>0</v>
      </c>
      <c r="H165" s="9">
        <f t="shared" ref="H165" si="529">G165-G164</f>
        <v>0</v>
      </c>
      <c r="I165" s="6">
        <f t="shared" si="519"/>
        <v>22443.850302962292</v>
      </c>
      <c r="J165" s="6">
        <f t="shared" ref="J165" si="530">I165 - I164</f>
        <v>210.2468092058516</v>
      </c>
      <c r="K165" s="7">
        <f t="shared" ref="K165" si="531">I165/I164 - 1</f>
        <v>9.4562633207384561E-3</v>
      </c>
      <c r="L165" s="7">
        <f t="shared" ref="L165" si="532">(B165 - B164)/(I165 - I164)</f>
        <v>9.2434272888920685E-2</v>
      </c>
      <c r="U165" s="6">
        <f t="shared" si="523"/>
        <v>1585.5903652363079</v>
      </c>
    </row>
    <row r="166" spans="1:21" x14ac:dyDescent="0.3">
      <c r="A166" s="1" cm="1">
        <f t="array" ref="A166">IF(OR(B166:L166=""), "", A165 + 1)</f>
        <v>44124</v>
      </c>
      <c r="B166" s="6">
        <f t="shared" ref="B166" si="533">U166 + G166</f>
        <v>1605.2655275619989</v>
      </c>
      <c r="C166" s="13">
        <f t="shared" ref="C166" si="534">B166/$A$1</f>
        <v>2.8162553115122786E-2</v>
      </c>
      <c r="D166" s="7">
        <f t="shared" ref="D166" si="535">B166/B165 - 1</f>
        <v>1.2408729743232705E-2</v>
      </c>
      <c r="E166" s="17">
        <f t="shared" ref="E166" si="536">IFERROR(LOG(D166/K166), FALSE)</f>
        <v>0.11800776877478281</v>
      </c>
      <c r="F166" s="6">
        <f t="shared" ref="F166" si="537">B166 - B165</f>
        <v>19.675162325690962</v>
      </c>
      <c r="G166" s="9" t="b">
        <f>FALSE</f>
        <v>0</v>
      </c>
      <c r="H166" s="9">
        <f t="shared" ref="H166" si="538">G166-G165</f>
        <v>0</v>
      </c>
      <c r="I166" s="6">
        <f t="shared" si="519"/>
        <v>22656.085261358337</v>
      </c>
      <c r="J166" s="6">
        <f t="shared" ref="J166" si="539">I166 - I165</f>
        <v>212.23495839604584</v>
      </c>
      <c r="K166" s="7">
        <f t="shared" ref="K166" si="540">I166/I165 - 1</f>
        <v>9.4562633207384561E-3</v>
      </c>
      <c r="L166" s="7">
        <f t="shared" ref="L166" si="541">(B166 - B165)/(I166 - I165)</f>
        <v>9.2704625450891462E-2</v>
      </c>
      <c r="U166" s="6">
        <f t="shared" si="523"/>
        <v>1605.2655275619989</v>
      </c>
    </row>
    <row r="167" spans="1:21" x14ac:dyDescent="0.3">
      <c r="A167" s="1" cm="1">
        <f t="array" ref="A167">IF(OR(B167:L167=""), "", A166 + 1)</f>
        <v>44125</v>
      </c>
      <c r="B167" s="6">
        <f t="shared" ref="B167:B184" si="542">U167 + G167</f>
        <v>1625.1848336596465</v>
      </c>
      <c r="C167" s="13">
        <f t="shared" ref="C167:C184" si="543">B167/$A$1</f>
        <v>2.8512014625607835E-2</v>
      </c>
      <c r="D167" s="7">
        <f t="shared" ref="D167:D184" si="544">B167/B166 - 1</f>
        <v>1.2408729743234481E-2</v>
      </c>
      <c r="E167" s="17">
        <f t="shared" ref="E167:E184" si="545">IFERROR(LOG(D167/K167), FALSE)</f>
        <v>0.11800776877476341</v>
      </c>
      <c r="F167" s="6">
        <f t="shared" ref="F167:F184" si="546">B167 - B166</f>
        <v>19.919306097647677</v>
      </c>
      <c r="G167" s="9" t="b">
        <f>FALSE</f>
        <v>0</v>
      </c>
      <c r="H167" s="9">
        <f t="shared" ref="H167:H184" si="547">G167-G166</f>
        <v>0</v>
      </c>
      <c r="I167" s="6">
        <f t="shared" si="519"/>
        <v>22870.327169406883</v>
      </c>
      <c r="J167" s="6">
        <f t="shared" ref="J167:J184" si="548">I167 - I166</f>
        <v>214.24190804854516</v>
      </c>
      <c r="K167" s="7">
        <f t="shared" ref="K167:K184" si="549">I167/I166 - 1</f>
        <v>9.4562633207402325E-3</v>
      </c>
      <c r="L167" s="7">
        <f t="shared" ref="L167:L184" si="550">(B167 - B166)/(I167 - I166)</f>
        <v>9.2975768742379547E-2</v>
      </c>
      <c r="U167" s="6">
        <f t="shared" si="523"/>
        <v>1625.1848336596465</v>
      </c>
    </row>
    <row r="168" spans="1:21" x14ac:dyDescent="0.3">
      <c r="A168" s="1" cm="1">
        <f t="array" ref="A168">IF(OR(B168:L168=""), "", A167 + 1)</f>
        <v>44126</v>
      </c>
      <c r="B168" s="6">
        <f t="shared" si="542"/>
        <v>1645.3513130433296</v>
      </c>
      <c r="C168" s="13">
        <f t="shared" si="543"/>
        <v>2.8865812509532098E-2</v>
      </c>
      <c r="D168" s="7">
        <f t="shared" si="544"/>
        <v>1.2408729743232705E-2</v>
      </c>
      <c r="E168" s="17">
        <f t="shared" si="545"/>
        <v>0.11800776877470123</v>
      </c>
      <c r="F168" s="6">
        <f t="shared" si="546"/>
        <v>20.166479383683054</v>
      </c>
      <c r="G168" s="9" t="b">
        <f>FALSE</f>
        <v>0</v>
      </c>
      <c r="H168" s="9">
        <f t="shared" si="547"/>
        <v>0</v>
      </c>
      <c r="I168" s="6">
        <f t="shared" si="519"/>
        <v>23086.595005352272</v>
      </c>
      <c r="J168" s="6">
        <f t="shared" si="548"/>
        <v>216.26783594538938</v>
      </c>
      <c r="K168" s="7">
        <f t="shared" si="549"/>
        <v>9.4562633207402325E-3</v>
      </c>
      <c r="L168" s="7">
        <f t="shared" si="550"/>
        <v>9.3247705076104651E-2</v>
      </c>
      <c r="U168" s="6">
        <f t="shared" si="523"/>
        <v>1645.3513130433296</v>
      </c>
    </row>
    <row r="169" spans="1:21" x14ac:dyDescent="0.3">
      <c r="A169" s="1" cm="1">
        <f t="array" ref="A169">IF(OR(B169:L169=""), "", A168 + 1)</f>
        <v>44127</v>
      </c>
      <c r="B169" s="6">
        <f t="shared" si="542"/>
        <v>1665.7680328195574</v>
      </c>
      <c r="C169" s="13">
        <f t="shared" si="543"/>
        <v>2.922400057578171E-2</v>
      </c>
      <c r="D169" s="7">
        <f t="shared" si="544"/>
        <v>1.2408729743232705E-2</v>
      </c>
      <c r="E169" s="17">
        <f t="shared" si="545"/>
        <v>0.11800776877487459</v>
      </c>
      <c r="F169" s="6">
        <f t="shared" si="546"/>
        <v>20.416719776227865</v>
      </c>
      <c r="G169" s="9" t="b">
        <f>FALSE</f>
        <v>0</v>
      </c>
      <c r="H169" s="9">
        <f t="shared" si="547"/>
        <v>0</v>
      </c>
      <c r="I169" s="6">
        <f t="shared" si="519"/>
        <v>23304.907926902084</v>
      </c>
      <c r="J169" s="6">
        <f t="shared" si="548"/>
        <v>218.31292154981202</v>
      </c>
      <c r="K169" s="7">
        <f t="shared" si="549"/>
        <v>9.4562633207364577E-3</v>
      </c>
      <c r="L169" s="7">
        <f t="shared" si="550"/>
        <v>9.3520436771624735E-2</v>
      </c>
      <c r="U169" s="6">
        <f t="shared" si="523"/>
        <v>1665.7680328195574</v>
      </c>
    </row>
    <row r="170" spans="1:21" x14ac:dyDescent="0.3">
      <c r="A170" s="1" cm="1">
        <f t="array" ref="A170">IF(OR(B170:L170=""), "", A169 + 1)</f>
        <v>44128</v>
      </c>
      <c r="B170" s="6">
        <f t="shared" si="542"/>
        <v>1686.4380981537331</v>
      </c>
      <c r="C170" s="13">
        <f t="shared" si="543"/>
        <v>2.9586633300942685E-2</v>
      </c>
      <c r="D170" s="7">
        <f t="shared" si="544"/>
        <v>1.2408729743233593E-2</v>
      </c>
      <c r="E170" s="17">
        <f t="shared" si="545"/>
        <v>0.11800776877473232</v>
      </c>
      <c r="F170" s="6">
        <f t="shared" si="546"/>
        <v>20.670065334175661</v>
      </c>
      <c r="G170" s="9" t="b">
        <f>FALSE</f>
        <v>0</v>
      </c>
      <c r="H170" s="9">
        <f t="shared" si="547"/>
        <v>0</v>
      </c>
      <c r="I170" s="6">
        <f t="shared" si="519"/>
        <v>23525.285272924477</v>
      </c>
      <c r="J170" s="6">
        <f t="shared" si="548"/>
        <v>220.37734602239289</v>
      </c>
      <c r="K170" s="7">
        <f t="shared" si="549"/>
        <v>9.4562633207402325E-3</v>
      </c>
      <c r="L170" s="7">
        <f t="shared" si="550"/>
        <v>9.3793966155102632E-2</v>
      </c>
      <c r="U170" s="6">
        <f t="shared" si="523"/>
        <v>1686.4380981537331</v>
      </c>
    </row>
    <row r="171" spans="1:21" x14ac:dyDescent="0.3">
      <c r="A171" s="1" cm="1">
        <f t="array" ref="A171">IF(OR(B171:L171=""), "", A170 + 1)</f>
        <v>44129</v>
      </c>
      <c r="B171" s="6">
        <f t="shared" si="542"/>
        <v>1707.3646527424141</v>
      </c>
      <c r="C171" s="13">
        <f t="shared" si="543"/>
        <v>2.9953765837586212E-2</v>
      </c>
      <c r="D171" s="7">
        <f t="shared" si="544"/>
        <v>1.2408729743232705E-2</v>
      </c>
      <c r="E171" s="17">
        <f t="shared" si="545"/>
        <v>0.11800776877479302</v>
      </c>
      <c r="F171" s="6">
        <f t="shared" si="546"/>
        <v>20.926554588681029</v>
      </c>
      <c r="G171" s="9" t="b">
        <f>FALSE</f>
        <v>0</v>
      </c>
      <c r="H171" s="9">
        <f t="shared" si="547"/>
        <v>0</v>
      </c>
      <c r="I171" s="6">
        <f t="shared" si="519"/>
        <v>23747.746565160738</v>
      </c>
      <c r="J171" s="6">
        <f t="shared" si="548"/>
        <v>222.46129223626122</v>
      </c>
      <c r="K171" s="7">
        <f t="shared" si="549"/>
        <v>9.4562633207382341E-3</v>
      </c>
      <c r="L171" s="7">
        <f t="shared" si="550"/>
        <v>9.4068295559734227E-2</v>
      </c>
      <c r="U171" s="6">
        <f t="shared" si="523"/>
        <v>1707.3646527424141</v>
      </c>
    </row>
    <row r="172" spans="1:21" x14ac:dyDescent="0.3">
      <c r="A172" s="1" cm="1">
        <f t="array" ref="A172">IF(OR(B172:L172=""), "", A171 + 1)</f>
        <v>44130</v>
      </c>
      <c r="B172" s="6">
        <f t="shared" si="542"/>
        <v>1728.5508792914447</v>
      </c>
      <c r="C172" s="13">
        <f t="shared" si="543"/>
        <v>3.0325454022656927E-2</v>
      </c>
      <c r="D172" s="7">
        <f t="shared" si="544"/>
        <v>1.2408729743233593E-2</v>
      </c>
      <c r="E172" s="17">
        <f t="shared" si="545"/>
        <v>0.11800776877473232</v>
      </c>
      <c r="F172" s="6">
        <f t="shared" si="546"/>
        <v>21.186226549030607</v>
      </c>
      <c r="G172" s="9" t="b">
        <f>FALSE</f>
        <v>0</v>
      </c>
      <c r="H172" s="9">
        <f t="shared" si="547"/>
        <v>0</v>
      </c>
      <c r="I172" s="6">
        <f t="shared" si="519"/>
        <v>23972.311509955103</v>
      </c>
      <c r="J172" s="6">
        <f t="shared" si="548"/>
        <v>224.56494479436515</v>
      </c>
      <c r="K172" s="7">
        <f t="shared" si="549"/>
        <v>9.4562633207402325E-3</v>
      </c>
      <c r="L172" s="7">
        <f t="shared" si="550"/>
        <v>9.4343427325359733E-2</v>
      </c>
      <c r="U172" s="6">
        <f t="shared" si="523"/>
        <v>1728.5508792914447</v>
      </c>
    </row>
    <row r="173" spans="1:21" x14ac:dyDescent="0.3">
      <c r="A173" s="1" cm="1">
        <f t="array" ref="A173">IF(OR(B173:L173=""), "", A172 + 1)</f>
        <v>44131</v>
      </c>
      <c r="B173" s="9">
        <f t="shared" si="542"/>
        <v>1750</v>
      </c>
      <c r="C173" s="14">
        <f t="shared" si="543"/>
        <v>3.0701754385964911E-2</v>
      </c>
      <c r="D173" s="7">
        <f t="shared" si="544"/>
        <v>1.2408729743232927E-2</v>
      </c>
      <c r="E173" s="17">
        <f t="shared" si="545"/>
        <v>0.11800776877481095</v>
      </c>
      <c r="F173" s="6">
        <f t="shared" si="546"/>
        <v>21.449120708555256</v>
      </c>
      <c r="G173" s="9" t="b">
        <f>FALSE</f>
        <v>0</v>
      </c>
      <c r="H173" s="9">
        <f t="shared" si="547"/>
        <v>0</v>
      </c>
      <c r="I173">
        <v>24199</v>
      </c>
      <c r="J173" s="6">
        <f t="shared" si="548"/>
        <v>226.68849004489675</v>
      </c>
      <c r="K173" s="7">
        <f t="shared" si="549"/>
        <v>9.456263320738012E-3</v>
      </c>
      <c r="L173" s="7">
        <f t="shared" si="550"/>
        <v>9.4619363798784634E-2</v>
      </c>
      <c r="U173">
        <v>1750</v>
      </c>
    </row>
    <row r="174" spans="1:21" x14ac:dyDescent="0.3">
      <c r="A174" s="1" cm="1">
        <f t="array" ref="A174">IF(OR(B174:L174=""), "", A173 + 1)</f>
        <v>44132</v>
      </c>
      <c r="B174" s="6">
        <f t="shared" si="542"/>
        <v>1777.5635773464448</v>
      </c>
      <c r="C174" s="13">
        <f t="shared" si="543"/>
        <v>3.1185325918358681E-2</v>
      </c>
      <c r="D174" s="7">
        <f t="shared" si="544"/>
        <v>1.5750615626539899E-2</v>
      </c>
      <c r="E174" s="17">
        <f t="shared" si="545"/>
        <v>0.18189458339717052</v>
      </c>
      <c r="F174" s="6">
        <f t="shared" si="546"/>
        <v>27.563577346444845</v>
      </c>
      <c r="G174" s="9" t="b">
        <f>FALSE</f>
        <v>0</v>
      </c>
      <c r="H174" s="9">
        <f t="shared" si="547"/>
        <v>0</v>
      </c>
      <c r="I174" s="6">
        <f>(I$173^(3 - (ROW(I174) - 173))*I$176^(ROW(I174) - 173))^(1/3)</f>
        <v>24449.726575736597</v>
      </c>
      <c r="J174" s="6">
        <f t="shared" si="548"/>
        <v>250.72657573659671</v>
      </c>
      <c r="K174" s="7">
        <f t="shared" si="549"/>
        <v>1.0361030444919095E-2</v>
      </c>
      <c r="L174" s="7">
        <f t="shared" si="550"/>
        <v>0.10993480553653807</v>
      </c>
      <c r="U174" s="6">
        <f>(U$173^(3 - (ROW(U174) - 173))*U$176^(ROW(U174) - 173))^(1/3)</f>
        <v>1777.5635773464448</v>
      </c>
    </row>
    <row r="175" spans="1:21" x14ac:dyDescent="0.3">
      <c r="A175" s="1" cm="1">
        <f t="array" ref="A175">IF(OR(B175:L175=""), "", A174 + 1)</f>
        <v>44133</v>
      </c>
      <c r="B175" s="6">
        <f t="shared" si="542"/>
        <v>1805.5612980049666</v>
      </c>
      <c r="C175" s="13">
        <f t="shared" si="543"/>
        <v>3.1676514000087135E-2</v>
      </c>
      <c r="D175" s="7">
        <f t="shared" si="544"/>
        <v>1.5750615626540343E-2</v>
      </c>
      <c r="E175" s="17">
        <f t="shared" si="545"/>
        <v>0.18189458339727588</v>
      </c>
      <c r="F175" s="6">
        <f t="shared" si="546"/>
        <v>27.997720658521757</v>
      </c>
      <c r="G175" s="9" t="b">
        <f>FALSE</f>
        <v>0</v>
      </c>
      <c r="H175" s="9">
        <f t="shared" si="547"/>
        <v>0</v>
      </c>
      <c r="I175" s="6">
        <f>(I$173^(3 - (ROW(I175) - 173))*I$176^(ROW(I175) - 173))^(1/3)</f>
        <v>24703.050937157699</v>
      </c>
      <c r="J175" s="6">
        <f t="shared" si="548"/>
        <v>253.32436142110237</v>
      </c>
      <c r="K175" s="7">
        <f t="shared" si="549"/>
        <v>1.0361030444916874E-2</v>
      </c>
      <c r="L175" s="7">
        <f t="shared" si="550"/>
        <v>0.11052123254731512</v>
      </c>
      <c r="U175" s="6">
        <f>(U$173^(3 - (ROW(U175) - 173))*U$176^(ROW(U175) - 173))^(1/3)</f>
        <v>1805.5612980049666</v>
      </c>
    </row>
    <row r="176" spans="1:21" x14ac:dyDescent="0.3">
      <c r="A176" s="1" cm="1">
        <f t="array" ref="A176">IF(OR(B176:L176=""), "", A175 + 1)</f>
        <v>44134</v>
      </c>
      <c r="B176" s="9">
        <f t="shared" si="542"/>
        <v>1834</v>
      </c>
      <c r="C176" s="14">
        <f t="shared" si="543"/>
        <v>3.2175438596491225E-2</v>
      </c>
      <c r="D176" s="7">
        <f t="shared" si="544"/>
        <v>1.5750615626540343E-2</v>
      </c>
      <c r="E176" s="17">
        <f t="shared" si="545"/>
        <v>0.18189458339714554</v>
      </c>
      <c r="F176" s="6">
        <f t="shared" si="546"/>
        <v>28.438701995033398</v>
      </c>
      <c r="G176" s="9" t="b">
        <f>FALSE</f>
        <v>0</v>
      </c>
      <c r="H176" s="9">
        <f t="shared" si="547"/>
        <v>0</v>
      </c>
      <c r="I176">
        <v>24959</v>
      </c>
      <c r="J176" s="6">
        <f t="shared" si="548"/>
        <v>255.94906284230092</v>
      </c>
      <c r="K176" s="7">
        <f t="shared" si="549"/>
        <v>1.0361030444919983E-2</v>
      </c>
      <c r="L176" s="7">
        <f t="shared" si="550"/>
        <v>0.11111078774512047</v>
      </c>
      <c r="U176">
        <v>1834</v>
      </c>
    </row>
    <row r="177" spans="1:21" x14ac:dyDescent="0.3">
      <c r="A177" s="1" cm="1">
        <f t="array" ref="A177">IF(OR(B177:L177=""), "", A176 + 1)</f>
        <v>44135</v>
      </c>
      <c r="B177" s="6">
        <f t="shared" si="542"/>
        <v>1859.8182706920588</v>
      </c>
      <c r="C177" s="13">
        <f t="shared" si="543"/>
        <v>3.2628390713895769E-2</v>
      </c>
      <c r="D177" s="7">
        <f t="shared" si="544"/>
        <v>1.4077573986945868E-2</v>
      </c>
      <c r="E177" s="17">
        <f t="shared" si="545"/>
        <v>9.1856095617658229E-2</v>
      </c>
      <c r="F177" s="6">
        <f t="shared" si="546"/>
        <v>25.818270692058832</v>
      </c>
      <c r="G177" s="9" t="b">
        <f>FALSE</f>
        <v>0</v>
      </c>
      <c r="H177" s="9">
        <f t="shared" si="547"/>
        <v>0</v>
      </c>
      <c r="I177" s="6">
        <f>SQRT(I176*I178)</f>
        <v>25243.379904442274</v>
      </c>
      <c r="J177" s="6">
        <f t="shared" si="548"/>
        <v>284.37990444227398</v>
      </c>
      <c r="K177" s="7">
        <f t="shared" si="549"/>
        <v>1.139388214440773E-2</v>
      </c>
      <c r="L177" s="7">
        <f t="shared" si="550"/>
        <v>9.0787957548173592E-2</v>
      </c>
      <c r="U177" s="6">
        <f>SQRT(U176*U178)</f>
        <v>1859.8182706920588</v>
      </c>
    </row>
    <row r="178" spans="1:21" x14ac:dyDescent="0.3">
      <c r="A178" s="1" cm="1">
        <f t="array" ref="A178">IF(OR(B178:L178=""), "", A177 + 1)</f>
        <v>44136</v>
      </c>
      <c r="B178" s="9">
        <f t="shared" si="542"/>
        <v>1886</v>
      </c>
      <c r="C178" s="14">
        <f t="shared" si="543"/>
        <v>3.3087719298245617E-2</v>
      </c>
      <c r="D178" s="7">
        <f t="shared" si="544"/>
        <v>1.4077573986945868E-2</v>
      </c>
      <c r="E178" s="17">
        <f t="shared" si="545"/>
        <v>9.1856095617658229E-2</v>
      </c>
      <c r="F178" s="6">
        <f t="shared" si="546"/>
        <v>26.181729307941168</v>
      </c>
      <c r="G178" s="9" t="b">
        <f>FALSE</f>
        <v>0</v>
      </c>
      <c r="H178" s="9">
        <f t="shared" si="547"/>
        <v>0</v>
      </c>
      <c r="I178">
        <v>25531</v>
      </c>
      <c r="J178" s="6">
        <f t="shared" si="548"/>
        <v>287.62009555772602</v>
      </c>
      <c r="K178" s="7">
        <f t="shared" si="549"/>
        <v>1.139388214440773E-2</v>
      </c>
      <c r="L178" s="7">
        <f t="shared" si="550"/>
        <v>9.1028859639212645E-2</v>
      </c>
      <c r="U178">
        <v>1886</v>
      </c>
    </row>
    <row r="179" spans="1:21" x14ac:dyDescent="0.3">
      <c r="A179" s="1" cm="1">
        <f t="array" ref="A179">IF(OR(B179:L179=""), "", A178 + 1)</f>
        <v>44137</v>
      </c>
      <c r="B179" s="6">
        <f t="shared" si="542"/>
        <v>1913.5942954711584</v>
      </c>
      <c r="C179" s="13">
        <f t="shared" si="543"/>
        <v>3.3571829745108042E-2</v>
      </c>
      <c r="D179" s="7">
        <f t="shared" si="544"/>
        <v>1.4631121670815705E-2</v>
      </c>
      <c r="E179" s="17">
        <f t="shared" si="545"/>
        <v>0.21950980650613047</v>
      </c>
      <c r="F179" s="6">
        <f t="shared" si="546"/>
        <v>27.594295471158375</v>
      </c>
      <c r="G179" s="9" t="b">
        <f>FALSE</f>
        <v>0</v>
      </c>
      <c r="H179" s="9">
        <f t="shared" si="547"/>
        <v>0</v>
      </c>
      <c r="I179" s="6">
        <f>(I$178^(3 - (ROW(I179) - 178))*I$181^(ROW(I179) - 178))^(1/3)</f>
        <v>25756.338625531462</v>
      </c>
      <c r="J179" s="6">
        <f t="shared" si="548"/>
        <v>225.33862553146173</v>
      </c>
      <c r="K179" s="7">
        <f t="shared" si="549"/>
        <v>8.826079101150075E-3</v>
      </c>
      <c r="L179" s="7">
        <f t="shared" si="550"/>
        <v>0.12245701510816071</v>
      </c>
      <c r="U179" s="6">
        <f>(U$178^(3 - (ROW(U179) - 178))*U$181^(ROW(U179) - 178))^(1/3)</f>
        <v>1913.5942954711584</v>
      </c>
    </row>
    <row r="180" spans="1:21" x14ac:dyDescent="0.3">
      <c r="A180" s="1" cm="1">
        <f t="array" ref="A180">IF(OR(B180:L180=""), "", A179 + 1)</f>
        <v>44138</v>
      </c>
      <c r="B180" s="6">
        <f t="shared" si="542"/>
        <v>1941.5923264367786</v>
      </c>
      <c r="C180" s="13">
        <f t="shared" si="543"/>
        <v>3.4063023270820676E-2</v>
      </c>
      <c r="D180" s="7">
        <f t="shared" si="544"/>
        <v>1.463112167081726E-2</v>
      </c>
      <c r="E180" s="17">
        <f t="shared" si="545"/>
        <v>0.21950980650606736</v>
      </c>
      <c r="F180" s="6">
        <f t="shared" si="546"/>
        <v>27.998030965620273</v>
      </c>
      <c r="G180" s="9" t="b">
        <f>FALSE</f>
        <v>0</v>
      </c>
      <c r="H180" s="9">
        <f t="shared" si="547"/>
        <v>0</v>
      </c>
      <c r="I180" s="6">
        <f>(I$178^(3 - (ROW(I180) - 178))*I$181^(ROW(I180) - 178))^(1/3)</f>
        <v>25983.666107596466</v>
      </c>
      <c r="J180" s="6">
        <f t="shared" si="548"/>
        <v>227.32748206500401</v>
      </c>
      <c r="K180" s="7">
        <f t="shared" si="549"/>
        <v>8.8260791011522954E-3</v>
      </c>
      <c r="L180" s="7">
        <f t="shared" si="550"/>
        <v>0.12316166400688093</v>
      </c>
      <c r="U180" s="6">
        <f>(U$178^(3 - (ROW(U180) - 178))*U$181^(ROW(U180) - 178))^(1/3)</f>
        <v>1941.5923264367786</v>
      </c>
    </row>
    <row r="181" spans="1:21" x14ac:dyDescent="0.3">
      <c r="A181" s="1" cm="1">
        <f t="array" ref="A181">IF(OR(B181:L181=""), "", A180 + 1)</f>
        <v>44139</v>
      </c>
      <c r="B181" s="9">
        <f t="shared" si="542"/>
        <v>1970</v>
      </c>
      <c r="C181" s="14">
        <f t="shared" si="543"/>
        <v>3.4561403508771932E-2</v>
      </c>
      <c r="D181" s="7">
        <f t="shared" si="544"/>
        <v>1.4631121670817038E-2</v>
      </c>
      <c r="E181" s="17">
        <f t="shared" si="545"/>
        <v>0.21950980650613727</v>
      </c>
      <c r="F181" s="6">
        <f t="shared" si="546"/>
        <v>28.407673563221351</v>
      </c>
      <c r="G181" s="9" t="b">
        <f>FALSE</f>
        <v>0</v>
      </c>
      <c r="H181" s="9">
        <f t="shared" si="547"/>
        <v>0</v>
      </c>
      <c r="I181">
        <v>26213</v>
      </c>
      <c r="J181" s="6">
        <f t="shared" si="548"/>
        <v>229.33389240353426</v>
      </c>
      <c r="K181" s="7">
        <f t="shared" si="549"/>
        <v>8.8260791011507411E-3</v>
      </c>
      <c r="L181" s="7">
        <f t="shared" si="550"/>
        <v>0.12387036763513094</v>
      </c>
      <c r="U181">
        <v>1970</v>
      </c>
    </row>
    <row r="182" spans="1:21" x14ac:dyDescent="0.3">
      <c r="A182" s="1" cm="1">
        <f t="array" ref="A182">IF(OR(B182:L182=""), "", A181 + 1)</f>
        <v>44140</v>
      </c>
      <c r="B182" s="9">
        <f t="shared" si="542"/>
        <v>2014</v>
      </c>
      <c r="C182" s="14">
        <f t="shared" si="543"/>
        <v>3.5333333333333335E-2</v>
      </c>
      <c r="D182" s="8">
        <f t="shared" si="544"/>
        <v>2.2335025380710638E-2</v>
      </c>
      <c r="E182" s="18">
        <f t="shared" si="545"/>
        <v>0.39643531555754058</v>
      </c>
      <c r="F182" s="9">
        <f t="shared" si="546"/>
        <v>44</v>
      </c>
      <c r="G182" s="9" t="b">
        <f>FALSE</f>
        <v>0</v>
      </c>
      <c r="H182" s="9">
        <f t="shared" si="547"/>
        <v>0</v>
      </c>
      <c r="I182">
        <v>26448</v>
      </c>
      <c r="J182" s="9">
        <f t="shared" si="548"/>
        <v>235</v>
      </c>
      <c r="K182" s="8">
        <f t="shared" si="549"/>
        <v>8.9650173577995318E-3</v>
      </c>
      <c r="L182" s="8">
        <f t="shared" si="550"/>
        <v>0.18723404255319148</v>
      </c>
      <c r="U182">
        <v>2014</v>
      </c>
    </row>
    <row r="183" spans="1:21" x14ac:dyDescent="0.3">
      <c r="A183" s="1" cm="1">
        <f t="array" ref="A183">IF(OR(B183:L183=""), "", A182 + 1)</f>
        <v>44141</v>
      </c>
      <c r="B183" s="6">
        <f t="shared" si="542"/>
        <v>2058.5081977004611</v>
      </c>
      <c r="C183" s="13">
        <f t="shared" si="543"/>
        <v>3.6114178907025632E-2</v>
      </c>
      <c r="D183" s="7">
        <f t="shared" si="544"/>
        <v>2.2099403029027354E-2</v>
      </c>
      <c r="E183" s="17">
        <f t="shared" si="545"/>
        <v>0.34732093371736616</v>
      </c>
      <c r="F183" s="6">
        <f t="shared" si="546"/>
        <v>44.508197700461096</v>
      </c>
      <c r="G183" s="9" t="b">
        <f>FALSE</f>
        <v>0</v>
      </c>
      <c r="H183" s="9">
        <f t="shared" si="547"/>
        <v>0</v>
      </c>
      <c r="I183" s="6">
        <f>SQRT(I182*I184)</f>
        <v>26710.695385931082</v>
      </c>
      <c r="J183" s="6">
        <f t="shared" si="548"/>
        <v>262.69538593108155</v>
      </c>
      <c r="K183" s="7">
        <f t="shared" si="549"/>
        <v>9.9325236664806749E-3</v>
      </c>
      <c r="L183" s="7">
        <f t="shared" si="550"/>
        <v>0.16942892827260345</v>
      </c>
      <c r="U183" s="6">
        <f>SQRT(U182*U184)</f>
        <v>2058.5081977004611</v>
      </c>
    </row>
    <row r="184" spans="1:21" x14ac:dyDescent="0.3">
      <c r="A184" s="1" cm="1">
        <f t="array" ref="A184">IF(OR(B184:L184=""), "", A183 + 1)</f>
        <v>44142</v>
      </c>
      <c r="B184" s="9">
        <f t="shared" si="542"/>
        <v>2104</v>
      </c>
      <c r="C184" s="14">
        <f t="shared" si="543"/>
        <v>3.6912280701754389E-2</v>
      </c>
      <c r="D184" s="7">
        <f t="shared" si="544"/>
        <v>2.2099403029027131E-2</v>
      </c>
      <c r="E184" s="17">
        <f t="shared" si="545"/>
        <v>0.34732093371736183</v>
      </c>
      <c r="F184" s="6">
        <f t="shared" si="546"/>
        <v>45.491802299538904</v>
      </c>
      <c r="G184" s="9" t="b">
        <f>FALSE</f>
        <v>0</v>
      </c>
      <c r="H184" s="9">
        <f t="shared" si="547"/>
        <v>0</v>
      </c>
      <c r="I184">
        <v>26976</v>
      </c>
      <c r="J184" s="6">
        <f t="shared" si="548"/>
        <v>265.30461406891845</v>
      </c>
      <c r="K184" s="7">
        <f t="shared" si="549"/>
        <v>9.9325236664806749E-3</v>
      </c>
      <c r="L184" s="7">
        <f t="shared" si="550"/>
        <v>0.17147007585673368</v>
      </c>
      <c r="U184">
        <v>2104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18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A5E2372-BC14-45C8-8BD3-551B191DDA70}">
  <ds:schemaRefs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purl.org/dc/terms/"/>
    <ds:schemaRef ds:uri="92a23fe9-bb14-4215-a884-b301fb81d89f"/>
  </ds:schemaRefs>
</ds:datastoreItem>
</file>

<file path=customXml/itemProps2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a23fe9-bb14-4215-a884-b301fb81d8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2020-11-08T09:13:05Z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