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altech-my.sharepoint.com/personal/mrupprec_caltech_edu/Documents/Documents/musings, et cetera/COVID-19/"/>
    </mc:Choice>
  </mc:AlternateContent>
  <xr:revisionPtr revIDLastSave="0" documentId="114_{276EB3E5-1917-4543-B75A-D3D7E23880F3}" xr6:coauthVersionLast="45" xr6:coauthVersionMax="45" xr10:uidLastSave="{00000000-0000-0000-0000-000000000000}"/>
  <bookViews>
    <workbookView xWindow="-108" yWindow="-108" windowWidth="23256" windowHeight="12576" activeTab="3" xr2:uid="{5DE1A3C9-3189-41A5-A733-FA3ED6AF30CE}"/>
  </bookViews>
  <sheets>
    <sheet name="Illinois" sheetId="1" r:id="rId1"/>
    <sheet name="Cook County" sheetId="2" r:id="rId2"/>
    <sheet name="Chicago" sheetId="3" r:id="rId3"/>
    <sheet name="60630" sheetId="4" r:id="rId4"/>
  </sheets>
  <definedNames>
    <definedName name="chicago_date">Chicago!$A$2:OFFSET(Chicago!$A$2, 0, 0, Chicago!$N$1)</definedName>
    <definedName name="chicago_new_cases">Chicago!$F$2:OFFSET(Chicago!$F$2, 0, 0, Chicago!$N$1)</definedName>
    <definedName name="chicago_new_deaths">Chicago!$H$2:OFFSET(Chicago!$H$2, 0, 0, Chicago!$N$1)</definedName>
    <definedName name="chicago_new_tests">Chicago!$J$2:OFFSET(Chicago!$J$2, 0, 0, Chicago!$N$1)</definedName>
    <definedName name="chicago_percent_increase">Chicago!$D$2:OFFSET(Chicago!$D$2, 0, 0, Chicago!$N$1)</definedName>
    <definedName name="chicago_percent_positive">Chicago!$C$2:OFFSET(Chicago!$C$2, 0, 0, Chicago!$N$1)</definedName>
    <definedName name="chicago_positive_rate_deriv.">Chicago!$L$2:OFFSET(Chicago!$L$2, 0, 0, Chicago!$N$1)</definedName>
    <definedName name="cook_date">'Cook County'!$A$2:OFFSET('Cook County'!$A$2, 0, 0, 'Cook County'!$N$1)</definedName>
    <definedName name="cook_new_cases">'Cook County'!$F$2:OFFSET('Cook County'!$F$2, 0, 0, 'Cook County'!$N$1)</definedName>
    <definedName name="cook_new_deaths">'Cook County'!$H$2:OFFSET('Cook County'!$H$2, 0, 0, 'Cook County'!$N$1)</definedName>
    <definedName name="cook_new_tests">'Cook County'!$J$2:OFFSET('Cook County'!$J$2, 0, 0, 'Cook County'!$N$1)</definedName>
    <definedName name="cook_percent_increase">'Cook County'!$D$2:OFFSET('Cook County'!$D$2, 0, 0, 'Cook County'!$N$1)</definedName>
    <definedName name="cook_percent_positive">'Cook County'!$C$2:OFFSET('Cook County'!$C$2, 0, 0, 'Cook County'!$N$1)</definedName>
    <definedName name="cook_positive_rate_deriv.">'Cook County'!$L$2:OFFSET('Cook County'!$L$2, 0, 0, 'Cook County'!$N$1)</definedName>
    <definedName name="date">Illinois!$A$2:OFFSET(Illinois!$A$2, 0, 0, Illinois!$N$1)</definedName>
    <definedName name="new_cases">Illinois!$F$2:OFFSET(Illinois!$F$2, 0, 0, Illinois!$N$1)</definedName>
    <definedName name="new_deaths">Illinois!$H$2:OFFSET(Illinois!$H$2, 0, 0, Illinois!$N$1)</definedName>
    <definedName name="new_tests">Illinois!$J$2:OFFSET(Illinois!$J$2, 0, 0, Illinois!$N$1)</definedName>
    <definedName name="percent_increase">Illinois!$D$2:OFFSET(Illinois!$D$2, 0, 0, Illinois!$N$1)</definedName>
    <definedName name="percent_positive">Illinois!$C$2:OFFSET(Illinois!$C$2, 0, 0, Illinois!$N$1)</definedName>
    <definedName name="positive_rate_deriv.">Illinois!$L$2:OFFSET(Illinois!$L$2, 0, 0, Illinois!$N$1)</definedName>
    <definedName name="total_positives">Illinois!$B$2:OFFSET(Illinois!$B$2, 0, 0, Illinois!$N$1)</definedName>
    <definedName name="zip_badness_indicator">[0]!zip_new_cases * [0]!zip_positive_rate_deriv. * 100</definedName>
    <definedName name="zip_date">'60630'!$A$2:OFFSET('60630'!$A$2, 0, 0, '60630'!$N$1)</definedName>
    <definedName name="zip_new_cases">'60630'!$F$2:OFFSET('60630'!$F$2, 0, 0, '60630'!$N$1)</definedName>
    <definedName name="zip_new_tests">'60630'!$J$2:OFFSET('60630'!$J$2, 0, 0, '60630'!$N$1)</definedName>
    <definedName name="zip_percent_increase">'60630'!$D$2:OFFSET('60630'!$D$2, 0, 0, '60630'!$N$1)</definedName>
    <definedName name="zip_percent_positive">'60630'!$C$2:OFFSET('60630'!$C$2, 0, 0, '60630'!$N$1)</definedName>
    <definedName name="zip_positive_rate_deriv.">'60630'!$L$2:OFFSET('60630'!$L$2, 0, 0, '60630'!$N$1)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23" i="4" l="1" a="1"/>
  <c r="A223" i="4" s="1"/>
  <c r="B223" i="4"/>
  <c r="C223" i="4" s="1"/>
  <c r="G223" i="4"/>
  <c r="H223" i="4"/>
  <c r="J223" i="4"/>
  <c r="K223" i="4"/>
  <c r="L223" i="4"/>
  <c r="A276" i="3" a="1"/>
  <c r="A276" i="3" s="1"/>
  <c r="B276" i="3"/>
  <c r="C276" i="3"/>
  <c r="D276" i="3"/>
  <c r="E276" i="3" s="1"/>
  <c r="F276" i="3"/>
  <c r="H276" i="3"/>
  <c r="J276" i="3"/>
  <c r="K276" i="3"/>
  <c r="L276" i="3"/>
  <c r="A276" i="2" a="1"/>
  <c r="A276" i="2" s="1"/>
  <c r="B276" i="2"/>
  <c r="C276" i="2"/>
  <c r="D276" i="2"/>
  <c r="E276" i="2" s="1"/>
  <c r="F276" i="2"/>
  <c r="H276" i="2"/>
  <c r="J276" i="2"/>
  <c r="K276" i="2"/>
  <c r="L276" i="2"/>
  <c r="A284" i="1" a="1"/>
  <c r="A284" i="1" s="1"/>
  <c r="B284" i="1"/>
  <c r="C284" i="1" s="1"/>
  <c r="D284" i="1"/>
  <c r="E284" i="1" s="1"/>
  <c r="F284" i="1"/>
  <c r="H284" i="1"/>
  <c r="J284" i="1"/>
  <c r="K284" i="1"/>
  <c r="L284" i="1"/>
  <c r="D223" i="4" l="1"/>
  <c r="E223" i="4" s="1"/>
  <c r="F223" i="4"/>
  <c r="A222" i="4" a="1"/>
  <c r="A222" i="4" s="1"/>
  <c r="B222" i="4"/>
  <c r="D222" i="4" s="1"/>
  <c r="E222" i="4" s="1"/>
  <c r="C222" i="4"/>
  <c r="G222" i="4"/>
  <c r="H222" i="4"/>
  <c r="J222" i="4"/>
  <c r="K222" i="4"/>
  <c r="L222" i="4"/>
  <c r="A275" i="3" a="1"/>
  <c r="A275" i="3" s="1"/>
  <c r="B275" i="3"/>
  <c r="C275" i="3" s="1"/>
  <c r="H275" i="3"/>
  <c r="J275" i="3"/>
  <c r="K275" i="3"/>
  <c r="A275" i="2" a="1"/>
  <c r="A275" i="2" s="1"/>
  <c r="B275" i="2"/>
  <c r="C275" i="2" s="1"/>
  <c r="D275" i="2"/>
  <c r="E275" i="2" s="1"/>
  <c r="F275" i="2"/>
  <c r="H275" i="2"/>
  <c r="J275" i="2"/>
  <c r="K275" i="2"/>
  <c r="L275" i="2"/>
  <c r="A283" i="1" a="1"/>
  <c r="A283" i="1" s="1"/>
  <c r="B283" i="1"/>
  <c r="D283" i="1" s="1"/>
  <c r="E283" i="1" s="1"/>
  <c r="C283" i="1"/>
  <c r="H283" i="1"/>
  <c r="J283" i="1"/>
  <c r="K283" i="1"/>
  <c r="L283" i="1"/>
  <c r="F222" i="4" l="1"/>
  <c r="L275" i="3"/>
  <c r="F275" i="3"/>
  <c r="D275" i="3"/>
  <c r="E275" i="3" s="1"/>
  <c r="F283" i="1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A23" i="4" a="1"/>
  <c r="A23" i="4"/>
  <c r="A24" i="4" a="1"/>
  <c r="A24" i="4"/>
  <c r="A25" i="4" a="1"/>
  <c r="A25" i="4"/>
  <c r="A26" i="4" a="1"/>
  <c r="A26" i="4"/>
  <c r="A27" i="4" a="1"/>
  <c r="A27" i="4"/>
  <c r="A28" i="4" a="1"/>
  <c r="A28" i="4"/>
  <c r="A29" i="4" a="1"/>
  <c r="A29" i="4"/>
  <c r="A30" i="4" a="1"/>
  <c r="A30" i="4"/>
  <c r="A31" i="4" a="1"/>
  <c r="A31" i="4"/>
  <c r="A32" i="4" a="1"/>
  <c r="A32" i="4"/>
  <c r="A33" i="4" a="1"/>
  <c r="A33" i="4"/>
  <c r="A34" i="4" a="1"/>
  <c r="A34" i="4"/>
  <c r="A35" i="4" a="1"/>
  <c r="A35" i="4"/>
  <c r="A36" i="4" a="1"/>
  <c r="A36" i="4"/>
  <c r="A37" i="4" a="1"/>
  <c r="A37" i="4"/>
  <c r="A38" i="4" a="1"/>
  <c r="A38" i="4"/>
  <c r="A39" i="4" a="1"/>
  <c r="A39" i="4"/>
  <c r="A40" i="4" a="1"/>
  <c r="A40" i="4"/>
  <c r="A41" i="4" a="1"/>
  <c r="A41" i="4"/>
  <c r="A42" i="4" a="1"/>
  <c r="A42" i="4"/>
  <c r="A43" i="4" a="1"/>
  <c r="A43" i="4"/>
  <c r="A44" i="4" a="1"/>
  <c r="A44" i="4"/>
  <c r="A45" i="4" a="1"/>
  <c r="A45" i="4"/>
  <c r="A46" i="4" a="1"/>
  <c r="A46" i="4"/>
  <c r="A47" i="4" a="1"/>
  <c r="A47" i="4"/>
  <c r="A48" i="4" a="1"/>
  <c r="A48" i="4"/>
  <c r="A49" i="4" a="1"/>
  <c r="A49" i="4"/>
  <c r="A50" i="4" a="1"/>
  <c r="A50" i="4"/>
  <c r="A51" i="4" a="1"/>
  <c r="A51" i="4"/>
  <c r="A52" i="4" a="1"/>
  <c r="A52" i="4"/>
  <c r="A53" i="4" a="1"/>
  <c r="A53" i="4"/>
  <c r="A54" i="4" a="1"/>
  <c r="A54" i="4"/>
  <c r="A55" i="4" a="1"/>
  <c r="A55" i="4"/>
  <c r="A56" i="4" a="1"/>
  <c r="A56" i="4"/>
  <c r="A57" i="4" a="1"/>
  <c r="A57" i="4"/>
  <c r="A58" i="4" a="1"/>
  <c r="A58" i="4"/>
  <c r="A59" i="4" a="1"/>
  <c r="A59" i="4"/>
  <c r="A60" i="4" a="1"/>
  <c r="A60" i="4"/>
  <c r="A61" i="4" a="1"/>
  <c r="A61" i="4"/>
  <c r="A62" i="4" a="1"/>
  <c r="A62" i="4"/>
  <c r="A63" i="4" a="1"/>
  <c r="A63" i="4"/>
  <c r="A64" i="4" a="1"/>
  <c r="A64" i="4"/>
  <c r="A65" i="4" a="1"/>
  <c r="A65" i="4"/>
  <c r="A66" i="4" a="1"/>
  <c r="A66" i="4"/>
  <c r="A67" i="4" a="1"/>
  <c r="A67" i="4"/>
  <c r="A68" i="4" a="1"/>
  <c r="A68" i="4"/>
  <c r="A69" i="4" a="1"/>
  <c r="A69" i="4"/>
  <c r="A70" i="4" a="1"/>
  <c r="A70" i="4"/>
  <c r="A71" i="4" a="1"/>
  <c r="A71" i="4"/>
  <c r="A72" i="4" a="1"/>
  <c r="A72" i="4"/>
  <c r="A73" i="4" a="1"/>
  <c r="A73" i="4"/>
  <c r="A74" i="4" a="1"/>
  <c r="A74" i="4"/>
  <c r="A75" i="4" a="1"/>
  <c r="A75" i="4"/>
  <c r="A76" i="4" a="1"/>
  <c r="A76" i="4"/>
  <c r="A77" i="4" a="1"/>
  <c r="A77" i="4"/>
  <c r="A78" i="4" a="1"/>
  <c r="A78" i="4"/>
  <c r="A79" i="4" a="1"/>
  <c r="A79" i="4"/>
  <c r="A80" i="4" a="1"/>
  <c r="A80" i="4"/>
  <c r="A81" i="4" a="1"/>
  <c r="A81" i="4"/>
  <c r="A82" i="4" a="1"/>
  <c r="A82" i="4"/>
  <c r="A83" i="4" a="1"/>
  <c r="A83" i="4"/>
  <c r="A84" i="4" a="1"/>
  <c r="A84" i="4"/>
  <c r="A85" i="4" a="1"/>
  <c r="A85" i="4"/>
  <c r="A86" i="4" a="1"/>
  <c r="A86" i="4"/>
  <c r="A87" i="4" a="1"/>
  <c r="A87" i="4"/>
  <c r="A88" i="4" a="1"/>
  <c r="A88" i="4"/>
  <c r="A89" i="4" a="1"/>
  <c r="A89" i="4"/>
  <c r="A90" i="4" a="1"/>
  <c r="A90" i="4"/>
  <c r="A91" i="4" a="1"/>
  <c r="A91" i="4"/>
  <c r="A92" i="4" a="1"/>
  <c r="A92" i="4"/>
  <c r="A93" i="4" a="1"/>
  <c r="A93" i="4"/>
  <c r="A94" i="4" a="1"/>
  <c r="A94" i="4"/>
  <c r="A95" i="4" a="1"/>
  <c r="A95" i="4"/>
  <c r="A96" i="4" a="1"/>
  <c r="A96" i="4"/>
  <c r="A97" i="4" a="1"/>
  <c r="A97" i="4"/>
  <c r="A98" i="4" a="1"/>
  <c r="A98" i="4"/>
  <c r="A99" i="4" a="1"/>
  <c r="A99" i="4"/>
  <c r="A100" i="4" a="1"/>
  <c r="A100" i="4"/>
  <c r="A101" i="4" a="1"/>
  <c r="A101" i="4"/>
  <c r="A102" i="4" a="1"/>
  <c r="A102" i="4"/>
  <c r="A103" i="4" a="1"/>
  <c r="A103" i="4"/>
  <c r="A104" i="4" a="1"/>
  <c r="A104" i="4"/>
  <c r="A105" i="4" a="1"/>
  <c r="A105" i="4"/>
  <c r="A106" i="4" a="1"/>
  <c r="A106" i="4"/>
  <c r="A107" i="4" a="1"/>
  <c r="A107" i="4"/>
  <c r="A108" i="4" a="1"/>
  <c r="A108" i="4"/>
  <c r="A109" i="4" a="1"/>
  <c r="A109" i="4"/>
  <c r="A110" i="4" a="1"/>
  <c r="A110" i="4"/>
  <c r="A111" i="4" a="1"/>
  <c r="A111" i="4"/>
  <c r="A112" i="4" a="1"/>
  <c r="A112" i="4"/>
  <c r="A113" i="4" a="1"/>
  <c r="A113" i="4"/>
  <c r="A114" i="4" a="1"/>
  <c r="A114" i="4"/>
  <c r="A115" i="4" a="1"/>
  <c r="A115" i="4"/>
  <c r="A116" i="4" a="1"/>
  <c r="A116" i="4"/>
  <c r="A117" i="4" a="1"/>
  <c r="A117" i="4"/>
  <c r="A118" i="4" a="1"/>
  <c r="A118" i="4"/>
  <c r="A119" i="4" a="1"/>
  <c r="A119" i="4"/>
  <c r="A120" i="4" a="1"/>
  <c r="A120" i="4"/>
  <c r="A121" i="4" a="1"/>
  <c r="A121" i="4"/>
  <c r="A122" i="4" a="1"/>
  <c r="A122" i="4"/>
  <c r="A123" i="4" a="1"/>
  <c r="A123" i="4"/>
  <c r="A124" i="4" a="1"/>
  <c r="A124" i="4"/>
  <c r="A125" i="4" a="1"/>
  <c r="A125" i="4"/>
  <c r="A126" i="4" a="1"/>
  <c r="A126" i="4"/>
  <c r="A127" i="4" a="1"/>
  <c r="A127" i="4"/>
  <c r="A128" i="4" a="1"/>
  <c r="A128" i="4"/>
  <c r="A129" i="4" a="1"/>
  <c r="A129" i="4"/>
  <c r="A130" i="4" a="1"/>
  <c r="A130" i="4"/>
  <c r="A131" i="4" a="1"/>
  <c r="A131" i="4"/>
  <c r="A132" i="4" a="1"/>
  <c r="A132" i="4"/>
  <c r="A133" i="4" a="1"/>
  <c r="A133" i="4"/>
  <c r="A134" i="4" a="1"/>
  <c r="A134" i="4"/>
  <c r="A135" i="4" a="1"/>
  <c r="A135" i="4"/>
  <c r="A136" i="4" a="1"/>
  <c r="A136" i="4"/>
  <c r="A137" i="4" a="1"/>
  <c r="A137" i="4"/>
  <c r="A138" i="4" a="1"/>
  <c r="A138" i="4"/>
  <c r="A139" i="4" a="1"/>
  <c r="A139" i="4"/>
  <c r="A140" i="4" a="1"/>
  <c r="A140" i="4"/>
  <c r="A141" i="4" a="1"/>
  <c r="A141" i="4"/>
  <c r="A142" i="4" a="1"/>
  <c r="A142" i="4"/>
  <c r="A143" i="4" a="1"/>
  <c r="A143" i="4"/>
  <c r="A144" i="4" a="1"/>
  <c r="A144" i="4"/>
  <c r="A145" i="4" a="1"/>
  <c r="A145" i="4"/>
  <c r="A146" i="4" a="1"/>
  <c r="A146" i="4"/>
  <c r="A147" i="4" a="1"/>
  <c r="A147" i="4"/>
  <c r="A148" i="4" a="1"/>
  <c r="A148" i="4"/>
  <c r="A149" i="4" a="1"/>
  <c r="A149" i="4"/>
  <c r="A150" i="4" a="1"/>
  <c r="A150" i="4"/>
  <c r="A151" i="4" a="1"/>
  <c r="A151" i="4"/>
  <c r="A152" i="4" a="1"/>
  <c r="A152" i="4"/>
  <c r="A153" i="4" a="1"/>
  <c r="A153" i="4"/>
  <c r="A154" i="4" a="1"/>
  <c r="A154" i="4"/>
  <c r="A155" i="4" a="1"/>
  <c r="A155" i="4"/>
  <c r="A156" i="4" a="1"/>
  <c r="A156" i="4"/>
  <c r="A157" i="4" a="1"/>
  <c r="A157" i="4"/>
  <c r="A158" i="4" a="1"/>
  <c r="A158" i="4"/>
  <c r="A159" i="4" a="1"/>
  <c r="A159" i="4"/>
  <c r="A160" i="4" a="1"/>
  <c r="A160" i="4"/>
  <c r="A161" i="4" a="1"/>
  <c r="A161" i="4"/>
  <c r="A162" i="4" a="1"/>
  <c r="A162" i="4"/>
  <c r="A163" i="4" a="1"/>
  <c r="A163" i="4"/>
  <c r="A164" i="4" a="1"/>
  <c r="A164" i="4"/>
  <c r="A165" i="4" a="1"/>
  <c r="A165" i="4"/>
  <c r="A166" i="4" a="1"/>
  <c r="A166" i="4"/>
  <c r="A167" i="4" a="1"/>
  <c r="A167" i="4"/>
  <c r="A168" i="4" a="1"/>
  <c r="A168" i="4"/>
  <c r="A169" i="4" a="1"/>
  <c r="A169" i="4"/>
  <c r="A170" i="4" a="1"/>
  <c r="A170" i="4"/>
  <c r="A171" i="4" a="1"/>
  <c r="A171" i="4"/>
  <c r="A172" i="4" a="1"/>
  <c r="A172" i="4"/>
  <c r="A173" i="4" a="1"/>
  <c r="A173" i="4"/>
  <c r="A174" i="4" a="1"/>
  <c r="A174" i="4"/>
  <c r="A175" i="4" a="1"/>
  <c r="A175" i="4"/>
  <c r="A176" i="4" a="1"/>
  <c r="A176" i="4"/>
  <c r="A177" i="4" a="1"/>
  <c r="A177" i="4"/>
  <c r="A178" i="4" a="1"/>
  <c r="A178" i="4"/>
  <c r="A179" i="4" a="1"/>
  <c r="A179" i="4"/>
  <c r="A180" i="4" a="1"/>
  <c r="A180" i="4"/>
  <c r="A181" i="4" a="1"/>
  <c r="A181" i="4"/>
  <c r="A182" i="4" a="1"/>
  <c r="A182" i="4"/>
  <c r="A183" i="4" a="1"/>
  <c r="A183" i="4"/>
  <c r="A184" i="4" a="1"/>
  <c r="A184" i="4"/>
  <c r="A185" i="4" a="1"/>
  <c r="A185" i="4"/>
  <c r="A186" i="4" a="1"/>
  <c r="A186" i="4"/>
  <c r="A187" i="4" a="1"/>
  <c r="A187" i="4"/>
  <c r="A188" i="4" a="1"/>
  <c r="A188" i="4"/>
  <c r="A189" i="4" a="1"/>
  <c r="A189" i="4"/>
  <c r="A190" i="4" a="1"/>
  <c r="A190" i="4"/>
  <c r="A191" i="4" a="1"/>
  <c r="A191" i="4"/>
  <c r="A192" i="4" a="1"/>
  <c r="A192" i="4"/>
  <c r="A193" i="4" a="1"/>
  <c r="A193" i="4"/>
  <c r="A194" i="4" a="1"/>
  <c r="A194" i="4"/>
  <c r="A195" i="4" a="1"/>
  <c r="A195" i="4"/>
  <c r="A196" i="4" a="1"/>
  <c r="A196" i="4"/>
  <c r="A197" i="4" a="1"/>
  <c r="A197" i="4"/>
  <c r="A198" i="4" a="1"/>
  <c r="A198" i="4"/>
  <c r="A199" i="4" a="1"/>
  <c r="A199" i="4"/>
  <c r="A200" i="4" a="1"/>
  <c r="A200" i="4"/>
  <c r="A201" i="4" a="1"/>
  <c r="A201" i="4"/>
  <c r="A202" i="4" a="1"/>
  <c r="A202" i="4"/>
  <c r="A203" i="4" a="1"/>
  <c r="A203" i="4"/>
  <c r="A204" i="4" a="1"/>
  <c r="A204" i="4"/>
  <c r="A205" i="4" a="1"/>
  <c r="A205" i="4"/>
  <c r="A206" i="4" a="1"/>
  <c r="A206" i="4"/>
  <c r="A207" i="4" a="1"/>
  <c r="A207" i="4"/>
  <c r="A208" i="4" a="1"/>
  <c r="A208" i="4"/>
  <c r="A209" i="4" a="1"/>
  <c r="A209" i="4"/>
  <c r="A210" i="4" a="1"/>
  <c r="A210" i="4"/>
  <c r="A211" i="4" a="1"/>
  <c r="A211" i="4"/>
  <c r="A212" i="4" a="1"/>
  <c r="A212" i="4"/>
  <c r="A213" i="4" a="1"/>
  <c r="A213" i="4"/>
  <c r="A214" i="4" a="1"/>
  <c r="A214" i="4"/>
  <c r="A215" i="4" a="1"/>
  <c r="A215" i="4"/>
  <c r="A216" i="4" a="1"/>
  <c r="A216" i="4"/>
  <c r="A217" i="4" a="1"/>
  <c r="A217" i="4"/>
  <c r="A218" i="4" a="1"/>
  <c r="A218" i="4"/>
  <c r="A219" i="4" a="1"/>
  <c r="A219" i="4"/>
  <c r="A220" i="4" a="1"/>
  <c r="A220" i="4"/>
  <c r="A221" i="4" a="1"/>
  <c r="A221" i="4"/>
  <c r="B221" i="4"/>
  <c r="G221" i="4"/>
  <c r="H221" i="4"/>
  <c r="J221" i="4"/>
  <c r="K221" i="4"/>
  <c r="L221" i="4"/>
  <c r="A274" i="3" a="1"/>
  <c r="A274" i="3"/>
  <c r="B274" i="3"/>
  <c r="C274" i="3"/>
  <c r="D274" i="3"/>
  <c r="E274" i="3"/>
  <c r="F274" i="3"/>
  <c r="H274" i="3"/>
  <c r="J274" i="3"/>
  <c r="K274" i="3"/>
  <c r="L274" i="3"/>
  <c r="A274" i="2" a="1"/>
  <c r="A274" i="2"/>
  <c r="B274" i="2"/>
  <c r="C274" i="2"/>
  <c r="D274" i="2"/>
  <c r="E274" i="2"/>
  <c r="F274" i="2"/>
  <c r="H274" i="2"/>
  <c r="J274" i="2"/>
  <c r="K274" i="2"/>
  <c r="L274" i="2"/>
  <c r="A282" i="1" a="1"/>
  <c r="A282" i="1"/>
  <c r="B282" i="1"/>
  <c r="C282" i="1"/>
  <c r="D282" i="1"/>
  <c r="E282" i="1"/>
  <c r="F282" i="1"/>
  <c r="H282" i="1"/>
  <c r="J282" i="1"/>
  <c r="K282" i="1"/>
  <c r="L282" i="1"/>
  <c r="F221" i="4"/>
  <c r="D221" i="4"/>
  <c r="E221" i="4"/>
  <c r="B220" i="4"/>
  <c r="D220" i="4"/>
  <c r="E220" i="4"/>
  <c r="F220" i="4"/>
  <c r="G220" i="4"/>
  <c r="H220" i="4"/>
  <c r="J220" i="4"/>
  <c r="K220" i="4"/>
  <c r="L220" i="4"/>
  <c r="A273" i="3" a="1"/>
  <c r="A273" i="3"/>
  <c r="B273" i="3"/>
  <c r="C273" i="3"/>
  <c r="D273" i="3"/>
  <c r="E273" i="3"/>
  <c r="F273" i="3"/>
  <c r="H273" i="3"/>
  <c r="J273" i="3"/>
  <c r="K273" i="3"/>
  <c r="L273" i="3"/>
  <c r="A273" i="2" a="1"/>
  <c r="A273" i="2"/>
  <c r="B273" i="2"/>
  <c r="C273" i="2"/>
  <c r="F273" i="2"/>
  <c r="H273" i="2"/>
  <c r="J273" i="2"/>
  <c r="K273" i="2"/>
  <c r="L273" i="2"/>
  <c r="A281" i="1" a="1"/>
  <c r="A281" i="1"/>
  <c r="B281" i="1"/>
  <c r="C281" i="1"/>
  <c r="D281" i="1"/>
  <c r="E281" i="1"/>
  <c r="F281" i="1"/>
  <c r="H281" i="1"/>
  <c r="J281" i="1"/>
  <c r="K281" i="1"/>
  <c r="L281" i="1"/>
  <c r="D273" i="2"/>
  <c r="E273" i="2"/>
  <c r="B219" i="4"/>
  <c r="D219" i="4"/>
  <c r="E219" i="4"/>
  <c r="F219" i="4"/>
  <c r="G219" i="4"/>
  <c r="H219" i="4"/>
  <c r="J219" i="4"/>
  <c r="K219" i="4"/>
  <c r="L219" i="4"/>
  <c r="A272" i="3" a="1"/>
  <c r="A272" i="3"/>
  <c r="B272" i="3"/>
  <c r="C272" i="3"/>
  <c r="D272" i="3"/>
  <c r="E272" i="3"/>
  <c r="F272" i="3"/>
  <c r="H272" i="3"/>
  <c r="J272" i="3"/>
  <c r="K272" i="3"/>
  <c r="L272" i="3"/>
  <c r="A272" i="2" a="1"/>
  <c r="A272" i="2"/>
  <c r="B272" i="2"/>
  <c r="C272" i="2"/>
  <c r="D272" i="2"/>
  <c r="E272" i="2"/>
  <c r="F272" i="2"/>
  <c r="H272" i="2"/>
  <c r="J272" i="2"/>
  <c r="K272" i="2"/>
  <c r="L272" i="2"/>
  <c r="A280" i="1" a="1"/>
  <c r="A280" i="1"/>
  <c r="B280" i="1"/>
  <c r="C280" i="1"/>
  <c r="D280" i="1"/>
  <c r="E280" i="1"/>
  <c r="F280" i="1"/>
  <c r="H280" i="1"/>
  <c r="J280" i="1"/>
  <c r="K280" i="1"/>
  <c r="L280" i="1"/>
  <c r="B218" i="4"/>
  <c r="D218" i="4"/>
  <c r="E218" i="4"/>
  <c r="F218" i="4"/>
  <c r="G218" i="4"/>
  <c r="H218" i="4"/>
  <c r="J218" i="4"/>
  <c r="K218" i="4"/>
  <c r="L218" i="4"/>
  <c r="A271" i="3" a="1"/>
  <c r="A271" i="3"/>
  <c r="B271" i="3"/>
  <c r="C271" i="3"/>
  <c r="D271" i="3"/>
  <c r="E271" i="3"/>
  <c r="F271" i="3"/>
  <c r="H271" i="3"/>
  <c r="J271" i="3"/>
  <c r="K271" i="3"/>
  <c r="L271" i="3"/>
  <c r="A271" i="2" a="1"/>
  <c r="A271" i="2"/>
  <c r="B271" i="2"/>
  <c r="C271" i="2"/>
  <c r="D271" i="2"/>
  <c r="E271" i="2"/>
  <c r="F271" i="2"/>
  <c r="H271" i="2"/>
  <c r="J271" i="2"/>
  <c r="K271" i="2"/>
  <c r="L271" i="2"/>
  <c r="A279" i="1" a="1"/>
  <c r="A279" i="1"/>
  <c r="B279" i="1"/>
  <c r="C279" i="1"/>
  <c r="D279" i="1"/>
  <c r="E279" i="1"/>
  <c r="F279" i="1"/>
  <c r="H279" i="1"/>
  <c r="J279" i="1"/>
  <c r="K279" i="1"/>
  <c r="L279" i="1"/>
  <c r="B217" i="4"/>
  <c r="F217" i="4"/>
  <c r="G217" i="4"/>
  <c r="H217" i="4"/>
  <c r="J217" i="4"/>
  <c r="K217" i="4"/>
  <c r="L217" i="4"/>
  <c r="A270" i="3" a="1"/>
  <c r="A270" i="3"/>
  <c r="B270" i="3"/>
  <c r="C270" i="3"/>
  <c r="D270" i="3"/>
  <c r="E270" i="3"/>
  <c r="F270" i="3"/>
  <c r="H270" i="3"/>
  <c r="J270" i="3"/>
  <c r="K270" i="3"/>
  <c r="L270" i="3"/>
  <c r="A270" i="2" a="1"/>
  <c r="A270" i="2"/>
  <c r="B270" i="2"/>
  <c r="C270" i="2"/>
  <c r="D270" i="2"/>
  <c r="E270" i="2"/>
  <c r="F270" i="2"/>
  <c r="H270" i="2"/>
  <c r="J270" i="2"/>
  <c r="K270" i="2"/>
  <c r="L270" i="2"/>
  <c r="A278" i="1" a="1"/>
  <c r="A278" i="1"/>
  <c r="B278" i="1"/>
  <c r="C278" i="1"/>
  <c r="H278" i="1"/>
  <c r="J278" i="1"/>
  <c r="K278" i="1"/>
  <c r="D217" i="4"/>
  <c r="E217" i="4"/>
  <c r="L278" i="1"/>
  <c r="F278" i="1"/>
  <c r="D278" i="1"/>
  <c r="E278" i="1"/>
  <c r="B216" i="4"/>
  <c r="D216" i="4"/>
  <c r="E216" i="4"/>
  <c r="F216" i="4"/>
  <c r="G216" i="4"/>
  <c r="H216" i="4"/>
  <c r="J216" i="4"/>
  <c r="K216" i="4"/>
  <c r="L216" i="4"/>
  <c r="A269" i="3" a="1"/>
  <c r="A269" i="3"/>
  <c r="B269" i="3"/>
  <c r="C269" i="3"/>
  <c r="F269" i="3"/>
  <c r="H269" i="3"/>
  <c r="J269" i="3"/>
  <c r="K269" i="3"/>
  <c r="L269" i="3"/>
  <c r="A269" i="2" a="1"/>
  <c r="A269" i="2"/>
  <c r="B269" i="2"/>
  <c r="C269" i="2"/>
  <c r="H269" i="2"/>
  <c r="J269" i="2"/>
  <c r="K269" i="2"/>
  <c r="A277" i="1" a="1"/>
  <c r="A277" i="1"/>
  <c r="B277" i="1"/>
  <c r="C277" i="1"/>
  <c r="D277" i="1"/>
  <c r="E277" i="1"/>
  <c r="F277" i="1"/>
  <c r="H277" i="1"/>
  <c r="J277" i="1"/>
  <c r="K277" i="1"/>
  <c r="L277" i="1"/>
  <c r="D269" i="3"/>
  <c r="E269" i="3"/>
  <c r="F269" i="2"/>
  <c r="D269" i="2"/>
  <c r="E269" i="2"/>
  <c r="L269" i="2"/>
  <c r="B215" i="4"/>
  <c r="D215" i="4"/>
  <c r="E215" i="4"/>
  <c r="F215" i="4"/>
  <c r="G215" i="4"/>
  <c r="H215" i="4"/>
  <c r="J215" i="4"/>
  <c r="K215" i="4"/>
  <c r="L215" i="4"/>
  <c r="A268" i="3" a="1"/>
  <c r="A268" i="3"/>
  <c r="B268" i="3"/>
  <c r="C268" i="3"/>
  <c r="D268" i="3"/>
  <c r="E268" i="3"/>
  <c r="F268" i="3"/>
  <c r="H268" i="3"/>
  <c r="J268" i="3"/>
  <c r="K268" i="3"/>
  <c r="L268" i="3"/>
  <c r="A268" i="2" a="1"/>
  <c r="A268" i="2"/>
  <c r="B268" i="2"/>
  <c r="C268" i="2"/>
  <c r="D268" i="2"/>
  <c r="E268" i="2"/>
  <c r="F268" i="2"/>
  <c r="H268" i="2"/>
  <c r="J268" i="2"/>
  <c r="K268" i="2"/>
  <c r="L268" i="2"/>
  <c r="A276" i="1" a="1"/>
  <c r="A276" i="1"/>
  <c r="B276" i="1"/>
  <c r="C276" i="1"/>
  <c r="D276" i="1"/>
  <c r="E276" i="1"/>
  <c r="F276" i="1"/>
  <c r="H276" i="1"/>
  <c r="J276" i="1"/>
  <c r="K276" i="1"/>
  <c r="L276" i="1"/>
  <c r="B214" i="4"/>
  <c r="F214" i="4"/>
  <c r="G214" i="4"/>
  <c r="H214" i="4"/>
  <c r="J214" i="4"/>
  <c r="K214" i="4"/>
  <c r="L214" i="4"/>
  <c r="A267" i="3" a="1"/>
  <c r="A267" i="3"/>
  <c r="B267" i="3"/>
  <c r="C267" i="3"/>
  <c r="H267" i="3"/>
  <c r="J267" i="3"/>
  <c r="K267" i="3"/>
  <c r="A267" i="2" a="1"/>
  <c r="A267" i="2"/>
  <c r="B267" i="2"/>
  <c r="C267" i="2"/>
  <c r="D267" i="2"/>
  <c r="E267" i="2"/>
  <c r="F267" i="2"/>
  <c r="H267" i="2"/>
  <c r="J267" i="2"/>
  <c r="K267" i="2"/>
  <c r="L267" i="2"/>
  <c r="A275" i="1" a="1"/>
  <c r="A275" i="1"/>
  <c r="B275" i="1"/>
  <c r="C275" i="1"/>
  <c r="D275" i="1"/>
  <c r="E275" i="1"/>
  <c r="F275" i="1"/>
  <c r="H275" i="1"/>
  <c r="J275" i="1"/>
  <c r="K275" i="1"/>
  <c r="L275" i="1"/>
  <c r="D214" i="4"/>
  <c r="E214" i="4"/>
  <c r="L267" i="3"/>
  <c r="D267" i="3"/>
  <c r="E267" i="3"/>
  <c r="F267" i="3"/>
  <c r="B213" i="4"/>
  <c r="D213" i="4"/>
  <c r="E213" i="4"/>
  <c r="F213" i="4"/>
  <c r="G213" i="4"/>
  <c r="H213" i="4"/>
  <c r="J213" i="4"/>
  <c r="K213" i="4"/>
  <c r="L213" i="4"/>
  <c r="A266" i="3" a="1"/>
  <c r="A266" i="3"/>
  <c r="B266" i="3"/>
  <c r="C266" i="3"/>
  <c r="D266" i="3"/>
  <c r="E266" i="3"/>
  <c r="F266" i="3"/>
  <c r="H266" i="3"/>
  <c r="J266" i="3"/>
  <c r="K266" i="3"/>
  <c r="L266" i="3"/>
  <c r="A266" i="2" a="1"/>
  <c r="A266" i="2"/>
  <c r="B266" i="2"/>
  <c r="C266" i="2"/>
  <c r="D266" i="2"/>
  <c r="E266" i="2"/>
  <c r="F266" i="2"/>
  <c r="H266" i="2"/>
  <c r="J266" i="2"/>
  <c r="K266" i="2"/>
  <c r="L266" i="2"/>
  <c r="A274" i="1" a="1"/>
  <c r="A274" i="1"/>
  <c r="B274" i="1"/>
  <c r="C274" i="1"/>
  <c r="D274" i="1"/>
  <c r="E274" i="1"/>
  <c r="F274" i="1"/>
  <c r="H274" i="1"/>
  <c r="J274" i="1"/>
  <c r="K274" i="1"/>
  <c r="L274" i="1"/>
  <c r="B212" i="4"/>
  <c r="D212" i="4"/>
  <c r="E212" i="4"/>
  <c r="F212" i="4"/>
  <c r="G212" i="4"/>
  <c r="H212" i="4"/>
  <c r="J212" i="4"/>
  <c r="K212" i="4"/>
  <c r="L212" i="4"/>
  <c r="A265" i="3" a="1"/>
  <c r="A265" i="3"/>
  <c r="B265" i="3"/>
  <c r="C265" i="3"/>
  <c r="D265" i="3"/>
  <c r="E265" i="3"/>
  <c r="F265" i="3"/>
  <c r="H265" i="3"/>
  <c r="J265" i="3"/>
  <c r="K265" i="3"/>
  <c r="L265" i="3"/>
  <c r="A265" i="2" a="1"/>
  <c r="A265" i="2"/>
  <c r="B265" i="2"/>
  <c r="C265" i="2"/>
  <c r="D265" i="2"/>
  <c r="E265" i="2"/>
  <c r="F265" i="2"/>
  <c r="H265" i="2"/>
  <c r="J265" i="2"/>
  <c r="K265" i="2"/>
  <c r="L265" i="2"/>
  <c r="A273" i="1" a="1"/>
  <c r="A273" i="1"/>
  <c r="B273" i="1"/>
  <c r="C273" i="1"/>
  <c r="D273" i="1"/>
  <c r="E273" i="1"/>
  <c r="F273" i="1"/>
  <c r="H273" i="1"/>
  <c r="J273" i="1"/>
  <c r="K273" i="1"/>
  <c r="L273" i="1"/>
  <c r="B211" i="4"/>
  <c r="D211" i="4"/>
  <c r="E211" i="4"/>
  <c r="F211" i="4"/>
  <c r="G211" i="4"/>
  <c r="H211" i="4"/>
  <c r="J211" i="4"/>
  <c r="K211" i="4"/>
  <c r="L211" i="4"/>
  <c r="A264" i="3" a="1"/>
  <c r="A264" i="3"/>
  <c r="B264" i="3"/>
  <c r="C264" i="3"/>
  <c r="D264" i="3"/>
  <c r="E264" i="3"/>
  <c r="F264" i="3"/>
  <c r="H264" i="3"/>
  <c r="J264" i="3"/>
  <c r="K264" i="3"/>
  <c r="L264" i="3"/>
  <c r="A264" i="2" a="1"/>
  <c r="A264" i="2"/>
  <c r="B264" i="2"/>
  <c r="C264" i="2"/>
  <c r="D264" i="2"/>
  <c r="E264" i="2"/>
  <c r="F264" i="2"/>
  <c r="H264" i="2"/>
  <c r="J264" i="2"/>
  <c r="K264" i="2"/>
  <c r="L264" i="2"/>
  <c r="A272" i="1" a="1"/>
  <c r="A272" i="1"/>
  <c r="B272" i="1"/>
  <c r="C272" i="1"/>
  <c r="D272" i="1"/>
  <c r="E272" i="1"/>
  <c r="F272" i="1"/>
  <c r="H272" i="1"/>
  <c r="J272" i="1"/>
  <c r="K272" i="1"/>
  <c r="L272" i="1"/>
  <c r="B210" i="4"/>
  <c r="D210" i="4"/>
  <c r="E210" i="4"/>
  <c r="F210" i="4"/>
  <c r="G210" i="4"/>
  <c r="H210" i="4"/>
  <c r="J210" i="4"/>
  <c r="K210" i="4"/>
  <c r="L210" i="4"/>
  <c r="A263" i="3" a="1"/>
  <c r="A263" i="3"/>
  <c r="B263" i="3"/>
  <c r="C263" i="3"/>
  <c r="D263" i="3"/>
  <c r="E263" i="3"/>
  <c r="F263" i="3"/>
  <c r="H263" i="3"/>
  <c r="J263" i="3"/>
  <c r="K263" i="3"/>
  <c r="L263" i="3"/>
  <c r="A263" i="2" a="1"/>
  <c r="A263" i="2"/>
  <c r="B263" i="2"/>
  <c r="C263" i="2"/>
  <c r="D263" i="2"/>
  <c r="E263" i="2"/>
  <c r="F263" i="2"/>
  <c r="H263" i="2"/>
  <c r="J263" i="2"/>
  <c r="K263" i="2"/>
  <c r="L263" i="2"/>
  <c r="A271" i="1" a="1"/>
  <c r="A271" i="1"/>
  <c r="B271" i="1"/>
  <c r="C271" i="1"/>
  <c r="D271" i="1"/>
  <c r="E271" i="1"/>
  <c r="F271" i="1"/>
  <c r="H271" i="1"/>
  <c r="J271" i="1"/>
  <c r="K271" i="1"/>
  <c r="L271" i="1"/>
  <c r="B209" i="4"/>
  <c r="F209" i="4"/>
  <c r="G209" i="4"/>
  <c r="H209" i="4"/>
  <c r="J209" i="4"/>
  <c r="K209" i="4"/>
  <c r="L209" i="4"/>
  <c r="A262" i="3" a="1"/>
  <c r="A262" i="3"/>
  <c r="B262" i="3"/>
  <c r="C262" i="3"/>
  <c r="F262" i="3"/>
  <c r="H262" i="3"/>
  <c r="J262" i="3"/>
  <c r="K262" i="3"/>
  <c r="L262" i="3"/>
  <c r="A262" i="2" a="1"/>
  <c r="A262" i="2"/>
  <c r="B262" i="2"/>
  <c r="C262" i="2"/>
  <c r="D262" i="2"/>
  <c r="E262" i="2"/>
  <c r="F262" i="2"/>
  <c r="H262" i="2"/>
  <c r="J262" i="2"/>
  <c r="K262" i="2"/>
  <c r="L262" i="2"/>
  <c r="A270" i="1" a="1"/>
  <c r="A270" i="1"/>
  <c r="B270" i="1"/>
  <c r="C270" i="1"/>
  <c r="D270" i="1"/>
  <c r="E270" i="1"/>
  <c r="F270" i="1"/>
  <c r="H270" i="1"/>
  <c r="J270" i="1"/>
  <c r="K270" i="1"/>
  <c r="L270" i="1"/>
  <c r="D209" i="4"/>
  <c r="E209" i="4"/>
  <c r="D262" i="3"/>
  <c r="E262" i="3"/>
  <c r="B208" i="4"/>
  <c r="D208" i="4"/>
  <c r="E208" i="4"/>
  <c r="F208" i="4"/>
  <c r="G208" i="4"/>
  <c r="H208" i="4"/>
  <c r="J208" i="4"/>
  <c r="K208" i="4"/>
  <c r="A261" i="3" a="1"/>
  <c r="A261" i="3"/>
  <c r="B261" i="3"/>
  <c r="C261" i="3"/>
  <c r="D261" i="3"/>
  <c r="E261" i="3"/>
  <c r="F261" i="3"/>
  <c r="H261" i="3"/>
  <c r="J261" i="3"/>
  <c r="K261" i="3"/>
  <c r="L261" i="3"/>
  <c r="A261" i="2" a="1"/>
  <c r="A261" i="2"/>
  <c r="B261" i="2"/>
  <c r="C261" i="2"/>
  <c r="D261" i="2"/>
  <c r="E261" i="2"/>
  <c r="F261" i="2"/>
  <c r="H261" i="2"/>
  <c r="J261" i="2"/>
  <c r="K261" i="2"/>
  <c r="L261" i="2"/>
  <c r="A269" i="1" a="1"/>
  <c r="A269" i="1"/>
  <c r="B269" i="1"/>
  <c r="C269" i="1"/>
  <c r="D269" i="1"/>
  <c r="E269" i="1"/>
  <c r="F269" i="1"/>
  <c r="H269" i="1"/>
  <c r="J269" i="1"/>
  <c r="K269" i="1"/>
  <c r="L269" i="1"/>
  <c r="L208" i="4"/>
  <c r="B207" i="4"/>
  <c r="D207" i="4"/>
  <c r="E207" i="4"/>
  <c r="F207" i="4"/>
  <c r="G207" i="4"/>
  <c r="H207" i="4"/>
  <c r="J207" i="4"/>
  <c r="K207" i="4"/>
  <c r="L207" i="4"/>
  <c r="A260" i="3" a="1"/>
  <c r="A260" i="3"/>
  <c r="B260" i="3"/>
  <c r="F260" i="3"/>
  <c r="C260" i="3"/>
  <c r="D260" i="3"/>
  <c r="E260" i="3"/>
  <c r="H260" i="3"/>
  <c r="J260" i="3"/>
  <c r="K260" i="3"/>
  <c r="A260" i="2" a="1"/>
  <c r="A260" i="2"/>
  <c r="B260" i="2"/>
  <c r="C260" i="2"/>
  <c r="D260" i="2"/>
  <c r="E260" i="2"/>
  <c r="F260" i="2"/>
  <c r="H260" i="2"/>
  <c r="J260" i="2"/>
  <c r="K260" i="2"/>
  <c r="L260" i="2"/>
  <c r="A268" i="1" a="1"/>
  <c r="A268" i="1"/>
  <c r="B268" i="1"/>
  <c r="C268" i="1"/>
  <c r="D268" i="1"/>
  <c r="E268" i="1"/>
  <c r="F268" i="1"/>
  <c r="H268" i="1"/>
  <c r="J268" i="1"/>
  <c r="K268" i="1"/>
  <c r="L268" i="1"/>
  <c r="L260" i="3"/>
  <c r="B206" i="4"/>
  <c r="G206" i="4"/>
  <c r="H206" i="4"/>
  <c r="J206" i="4"/>
  <c r="K206" i="4"/>
  <c r="A259" i="3" a="1"/>
  <c r="A259" i="3"/>
  <c r="B259" i="3"/>
  <c r="C259" i="3"/>
  <c r="D259" i="3"/>
  <c r="E259" i="3"/>
  <c r="F259" i="3"/>
  <c r="H259" i="3"/>
  <c r="J259" i="3"/>
  <c r="K259" i="3"/>
  <c r="L259" i="3"/>
  <c r="A259" i="2" a="1"/>
  <c r="A259" i="2"/>
  <c r="B259" i="2"/>
  <c r="C259" i="2"/>
  <c r="F259" i="2"/>
  <c r="H259" i="2"/>
  <c r="J259" i="2"/>
  <c r="K259" i="2"/>
  <c r="L259" i="2"/>
  <c r="A267" i="1" a="1"/>
  <c r="A267" i="1"/>
  <c r="B267" i="1"/>
  <c r="C267" i="1"/>
  <c r="D267" i="1"/>
  <c r="E267" i="1"/>
  <c r="F267" i="1"/>
  <c r="H267" i="1"/>
  <c r="J267" i="1"/>
  <c r="K267" i="1"/>
  <c r="L267" i="1"/>
  <c r="L206" i="4"/>
  <c r="F206" i="4"/>
  <c r="D206" i="4"/>
  <c r="E206" i="4"/>
  <c r="D259" i="2"/>
  <c r="E259" i="2"/>
  <c r="B205" i="4"/>
  <c r="F205" i="4"/>
  <c r="G205" i="4"/>
  <c r="H205" i="4"/>
  <c r="J205" i="4"/>
  <c r="K205" i="4"/>
  <c r="L205" i="4"/>
  <c r="A258" i="3" a="1"/>
  <c r="A258" i="3"/>
  <c r="B258" i="3"/>
  <c r="C258" i="3"/>
  <c r="D258" i="3"/>
  <c r="E258" i="3"/>
  <c r="F258" i="3"/>
  <c r="H258" i="3"/>
  <c r="J258" i="3"/>
  <c r="K258" i="3"/>
  <c r="L258" i="3"/>
  <c r="A258" i="2" a="1"/>
  <c r="A258" i="2"/>
  <c r="B258" i="2"/>
  <c r="C258" i="2"/>
  <c r="D258" i="2"/>
  <c r="E258" i="2"/>
  <c r="F258" i="2"/>
  <c r="H258" i="2"/>
  <c r="J258" i="2"/>
  <c r="K258" i="2"/>
  <c r="L258" i="2"/>
  <c r="A266" i="1" a="1"/>
  <c r="A266" i="1"/>
  <c r="B266" i="1"/>
  <c r="C266" i="1"/>
  <c r="F266" i="1"/>
  <c r="H266" i="1"/>
  <c r="J266" i="1"/>
  <c r="K266" i="1"/>
  <c r="L266" i="1"/>
  <c r="D205" i="4"/>
  <c r="E205" i="4"/>
  <c r="D266" i="1"/>
  <c r="E266" i="1"/>
  <c r="B204" i="4"/>
  <c r="D204" i="4"/>
  <c r="E204" i="4"/>
  <c r="F204" i="4"/>
  <c r="G204" i="4"/>
  <c r="H204" i="4"/>
  <c r="J204" i="4"/>
  <c r="K204" i="4"/>
  <c r="L204" i="4"/>
  <c r="A257" i="3" a="1"/>
  <c r="A257" i="3"/>
  <c r="B257" i="3"/>
  <c r="C257" i="3"/>
  <c r="D257" i="3"/>
  <c r="E257" i="3"/>
  <c r="F257" i="3"/>
  <c r="H257" i="3"/>
  <c r="J257" i="3"/>
  <c r="K257" i="3"/>
  <c r="L257" i="3"/>
  <c r="A257" i="2" a="1"/>
  <c r="A257" i="2"/>
  <c r="B257" i="2"/>
  <c r="C257" i="2"/>
  <c r="D257" i="2"/>
  <c r="E257" i="2"/>
  <c r="F257" i="2"/>
  <c r="H257" i="2"/>
  <c r="J257" i="2"/>
  <c r="K257" i="2"/>
  <c r="L257" i="2"/>
  <c r="A265" i="1" a="1"/>
  <c r="A265" i="1"/>
  <c r="B265" i="1"/>
  <c r="C265" i="1"/>
  <c r="D265" i="1"/>
  <c r="E265" i="1"/>
  <c r="F265" i="1"/>
  <c r="H265" i="1"/>
  <c r="J265" i="1"/>
  <c r="K265" i="1"/>
  <c r="L265" i="1"/>
  <c r="B203" i="4"/>
  <c r="F203" i="4"/>
  <c r="G203" i="4"/>
  <c r="H203" i="4"/>
  <c r="J203" i="4"/>
  <c r="K203" i="4"/>
  <c r="L203" i="4"/>
  <c r="A256" i="3" a="1"/>
  <c r="A256" i="3"/>
  <c r="B256" i="3"/>
  <c r="C256" i="3"/>
  <c r="D256" i="3"/>
  <c r="E256" i="3"/>
  <c r="F256" i="3"/>
  <c r="H256" i="3"/>
  <c r="J256" i="3"/>
  <c r="K256" i="3"/>
  <c r="L256" i="3"/>
  <c r="A256" i="2" a="1"/>
  <c r="A256" i="2"/>
  <c r="B256" i="2"/>
  <c r="C256" i="2"/>
  <c r="D256" i="2"/>
  <c r="E256" i="2"/>
  <c r="F256" i="2"/>
  <c r="H256" i="2"/>
  <c r="J256" i="2"/>
  <c r="K256" i="2"/>
  <c r="L256" i="2"/>
  <c r="A264" i="1" a="1"/>
  <c r="A264" i="1"/>
  <c r="B264" i="1"/>
  <c r="C264" i="1"/>
  <c r="D264" i="1"/>
  <c r="E264" i="1"/>
  <c r="F264" i="1"/>
  <c r="H264" i="1"/>
  <c r="J264" i="1"/>
  <c r="K264" i="1"/>
  <c r="L264" i="1"/>
  <c r="D203" i="4"/>
  <c r="E203" i="4"/>
  <c r="B202" i="4"/>
  <c r="D202" i="4"/>
  <c r="E202" i="4"/>
  <c r="F202" i="4"/>
  <c r="G202" i="4"/>
  <c r="H202" i="4"/>
  <c r="J202" i="4"/>
  <c r="K202" i="4"/>
  <c r="L202" i="4"/>
  <c r="A255" i="3" a="1"/>
  <c r="A255" i="3"/>
  <c r="B255" i="3"/>
  <c r="C255" i="3"/>
  <c r="D255" i="3"/>
  <c r="E255" i="3"/>
  <c r="F255" i="3"/>
  <c r="H255" i="3"/>
  <c r="J255" i="3"/>
  <c r="K255" i="3"/>
  <c r="L255" i="3"/>
  <c r="A255" i="2" a="1"/>
  <c r="A255" i="2"/>
  <c r="B255" i="2"/>
  <c r="C255" i="2"/>
  <c r="D255" i="2"/>
  <c r="E255" i="2"/>
  <c r="F255" i="2"/>
  <c r="H255" i="2"/>
  <c r="J255" i="2"/>
  <c r="K255" i="2"/>
  <c r="L255" i="2"/>
  <c r="A263" i="1" a="1"/>
  <c r="A263" i="1"/>
  <c r="B263" i="1"/>
  <c r="C263" i="1"/>
  <c r="D263" i="1"/>
  <c r="E263" i="1"/>
  <c r="F263" i="1"/>
  <c r="H263" i="1"/>
  <c r="J263" i="1"/>
  <c r="K263" i="1"/>
  <c r="L263" i="1"/>
  <c r="B201" i="4"/>
  <c r="F201" i="4"/>
  <c r="G201" i="4"/>
  <c r="H201" i="4"/>
  <c r="J201" i="4"/>
  <c r="K201" i="4"/>
  <c r="L201" i="4"/>
  <c r="A254" i="3" a="1"/>
  <c r="A254" i="3"/>
  <c r="B254" i="3"/>
  <c r="C254" i="3"/>
  <c r="D254" i="3"/>
  <c r="E254" i="3"/>
  <c r="F254" i="3"/>
  <c r="H254" i="3"/>
  <c r="J254" i="3"/>
  <c r="K254" i="3"/>
  <c r="L254" i="3"/>
  <c r="A254" i="2" a="1"/>
  <c r="A254" i="2"/>
  <c r="B254" i="2"/>
  <c r="C254" i="2"/>
  <c r="D254" i="2"/>
  <c r="E254" i="2"/>
  <c r="F254" i="2"/>
  <c r="H254" i="2"/>
  <c r="J254" i="2"/>
  <c r="K254" i="2"/>
  <c r="L254" i="2"/>
  <c r="A262" i="1" a="1"/>
  <c r="A262" i="1"/>
  <c r="B262" i="1"/>
  <c r="C262" i="1"/>
  <c r="D262" i="1"/>
  <c r="E262" i="1"/>
  <c r="F262" i="1"/>
  <c r="H262" i="1"/>
  <c r="J262" i="1"/>
  <c r="K262" i="1"/>
  <c r="L262" i="1"/>
  <c r="D201" i="4"/>
  <c r="E201" i="4"/>
  <c r="B200" i="4"/>
  <c r="D200" i="4"/>
  <c r="E200" i="4"/>
  <c r="F200" i="4"/>
  <c r="G200" i="4"/>
  <c r="H200" i="4"/>
  <c r="J200" i="4"/>
  <c r="K200" i="4"/>
  <c r="L200" i="4"/>
  <c r="A253" i="3" a="1"/>
  <c r="A253" i="3"/>
  <c r="B253" i="3"/>
  <c r="C253" i="3"/>
  <c r="D253" i="3"/>
  <c r="E253" i="3"/>
  <c r="F253" i="3"/>
  <c r="H253" i="3"/>
  <c r="J253" i="3"/>
  <c r="K253" i="3"/>
  <c r="L253" i="3"/>
  <c r="A253" i="2" a="1"/>
  <c r="A253" i="2"/>
  <c r="B253" i="2"/>
  <c r="D253" i="2"/>
  <c r="E253" i="2"/>
  <c r="C253" i="2"/>
  <c r="F253" i="2"/>
  <c r="H253" i="2"/>
  <c r="J253" i="2"/>
  <c r="K253" i="2"/>
  <c r="L253" i="2"/>
  <c r="A261" i="1" a="1"/>
  <c r="A261" i="1"/>
  <c r="B261" i="1"/>
  <c r="C261" i="1"/>
  <c r="F261" i="1"/>
  <c r="H261" i="1"/>
  <c r="J261" i="1"/>
  <c r="K261" i="1"/>
  <c r="L261" i="1"/>
  <c r="D261" i="1"/>
  <c r="E261" i="1"/>
  <c r="B199" i="4"/>
  <c r="D199" i="4"/>
  <c r="E199" i="4"/>
  <c r="F199" i="4"/>
  <c r="G199" i="4"/>
  <c r="H199" i="4"/>
  <c r="J199" i="4"/>
  <c r="K199" i="4"/>
  <c r="L199" i="4"/>
  <c r="A252" i="3" a="1"/>
  <c r="A252" i="3"/>
  <c r="B252" i="3"/>
  <c r="C252" i="3"/>
  <c r="F252" i="3"/>
  <c r="H252" i="3"/>
  <c r="J252" i="3"/>
  <c r="K252" i="3"/>
  <c r="L252" i="3"/>
  <c r="A252" i="2" a="1"/>
  <c r="A252" i="2"/>
  <c r="B252" i="2"/>
  <c r="C252" i="2"/>
  <c r="D252" i="2"/>
  <c r="E252" i="2"/>
  <c r="F252" i="2"/>
  <c r="H252" i="2"/>
  <c r="J252" i="2"/>
  <c r="K252" i="2"/>
  <c r="L252" i="2"/>
  <c r="A260" i="1" a="1"/>
  <c r="A260" i="1"/>
  <c r="B260" i="1"/>
  <c r="C260" i="1"/>
  <c r="D260" i="1"/>
  <c r="E260" i="1"/>
  <c r="F260" i="1"/>
  <c r="H260" i="1"/>
  <c r="J260" i="1"/>
  <c r="K260" i="1"/>
  <c r="L260" i="1"/>
  <c r="D252" i="3"/>
  <c r="E252" i="3"/>
  <c r="B198" i="4"/>
  <c r="D198" i="4"/>
  <c r="E198" i="4"/>
  <c r="F198" i="4"/>
  <c r="G198" i="4"/>
  <c r="H198" i="4"/>
  <c r="J198" i="4"/>
  <c r="K198" i="4"/>
  <c r="L198" i="4"/>
  <c r="A251" i="3" a="1"/>
  <c r="A251" i="3"/>
  <c r="B251" i="3"/>
  <c r="C251" i="3"/>
  <c r="D251" i="3"/>
  <c r="E251" i="3"/>
  <c r="F251" i="3"/>
  <c r="H251" i="3"/>
  <c r="J251" i="3"/>
  <c r="K251" i="3"/>
  <c r="L251" i="3"/>
  <c r="A251" i="2" a="1"/>
  <c r="A251" i="2"/>
  <c r="B251" i="2"/>
  <c r="C251" i="2"/>
  <c r="D251" i="2"/>
  <c r="E251" i="2"/>
  <c r="F251" i="2"/>
  <c r="H251" i="2"/>
  <c r="J251" i="2"/>
  <c r="K251" i="2"/>
  <c r="L251" i="2"/>
  <c r="A259" i="1" a="1"/>
  <c r="A259" i="1"/>
  <c r="B259" i="1"/>
  <c r="C259" i="1"/>
  <c r="F259" i="1"/>
  <c r="H259" i="1"/>
  <c r="J259" i="1"/>
  <c r="K259" i="1"/>
  <c r="L259" i="1"/>
  <c r="D259" i="1"/>
  <c r="E259" i="1"/>
  <c r="B197" i="4"/>
  <c r="D197" i="4"/>
  <c r="E197" i="4"/>
  <c r="F197" i="4"/>
  <c r="G197" i="4"/>
  <c r="H197" i="4"/>
  <c r="J197" i="4"/>
  <c r="K197" i="4"/>
  <c r="L197" i="4"/>
  <c r="A250" i="3" a="1"/>
  <c r="A250" i="3"/>
  <c r="B250" i="3"/>
  <c r="C250" i="3"/>
  <c r="D250" i="3"/>
  <c r="E250" i="3"/>
  <c r="F250" i="3"/>
  <c r="H250" i="3"/>
  <c r="J250" i="3"/>
  <c r="K250" i="3"/>
  <c r="L250" i="3"/>
  <c r="A250" i="2" a="1"/>
  <c r="A250" i="2"/>
  <c r="B250" i="2"/>
  <c r="C250" i="2"/>
  <c r="D250" i="2"/>
  <c r="E250" i="2"/>
  <c r="F250" i="2"/>
  <c r="H250" i="2"/>
  <c r="J250" i="2"/>
  <c r="K250" i="2"/>
  <c r="L250" i="2"/>
  <c r="A258" i="1" a="1"/>
  <c r="A258" i="1"/>
  <c r="B258" i="1"/>
  <c r="C258" i="1"/>
  <c r="D258" i="1"/>
  <c r="E258" i="1"/>
  <c r="F258" i="1"/>
  <c r="H258" i="1"/>
  <c r="J258" i="1"/>
  <c r="K258" i="1"/>
  <c r="L258" i="1"/>
  <c r="B196" i="4"/>
  <c r="F196" i="4"/>
  <c r="G196" i="4"/>
  <c r="H196" i="4"/>
  <c r="J196" i="4"/>
  <c r="K196" i="4"/>
  <c r="L196" i="4"/>
  <c r="A249" i="3" a="1"/>
  <c r="A249" i="3"/>
  <c r="B249" i="3"/>
  <c r="C249" i="3"/>
  <c r="D249" i="3"/>
  <c r="E249" i="3"/>
  <c r="F249" i="3"/>
  <c r="H249" i="3"/>
  <c r="J249" i="3"/>
  <c r="K249" i="3"/>
  <c r="L249" i="3"/>
  <c r="A249" i="2" a="1"/>
  <c r="A249" i="2"/>
  <c r="B249" i="2"/>
  <c r="C249" i="2"/>
  <c r="D249" i="2"/>
  <c r="E249" i="2"/>
  <c r="F249" i="2"/>
  <c r="H249" i="2"/>
  <c r="J249" i="2"/>
  <c r="K249" i="2"/>
  <c r="L249" i="2"/>
  <c r="A257" i="1" a="1"/>
  <c r="A257" i="1"/>
  <c r="B257" i="1"/>
  <c r="C257" i="1"/>
  <c r="D257" i="1"/>
  <c r="E257" i="1"/>
  <c r="F257" i="1"/>
  <c r="H257" i="1"/>
  <c r="J257" i="1"/>
  <c r="K257" i="1"/>
  <c r="L257" i="1"/>
  <c r="D196" i="4"/>
  <c r="E196" i="4"/>
  <c r="B195" i="4"/>
  <c r="D195" i="4"/>
  <c r="E195" i="4"/>
  <c r="F195" i="4"/>
  <c r="G195" i="4"/>
  <c r="H195" i="4"/>
  <c r="J195" i="4"/>
  <c r="K195" i="4"/>
  <c r="L195" i="4"/>
  <c r="A248" i="3" a="1"/>
  <c r="A248" i="3"/>
  <c r="B248" i="3"/>
  <c r="C248" i="3"/>
  <c r="D248" i="3"/>
  <c r="E248" i="3"/>
  <c r="F248" i="3"/>
  <c r="H248" i="3"/>
  <c r="J248" i="3"/>
  <c r="K248" i="3"/>
  <c r="L248" i="3"/>
  <c r="A248" i="2" a="1"/>
  <c r="A248" i="2"/>
  <c r="B248" i="2"/>
  <c r="C248" i="2"/>
  <c r="D248" i="2"/>
  <c r="E248" i="2"/>
  <c r="F248" i="2"/>
  <c r="H248" i="2"/>
  <c r="J248" i="2"/>
  <c r="K248" i="2"/>
  <c r="L248" i="2"/>
  <c r="A256" i="1" a="1"/>
  <c r="A256" i="1"/>
  <c r="B256" i="1"/>
  <c r="C256" i="1"/>
  <c r="D256" i="1"/>
  <c r="E256" i="1"/>
  <c r="F256" i="1"/>
  <c r="H256" i="1"/>
  <c r="J256" i="1"/>
  <c r="K256" i="1"/>
  <c r="L256" i="1"/>
  <c r="B194" i="4"/>
  <c r="G194" i="4"/>
  <c r="H194" i="4"/>
  <c r="J194" i="4"/>
  <c r="K194" i="4"/>
  <c r="A247" i="3" a="1"/>
  <c r="A247" i="3"/>
  <c r="B247" i="3"/>
  <c r="C247" i="3"/>
  <c r="D247" i="3"/>
  <c r="E247" i="3"/>
  <c r="F247" i="3"/>
  <c r="H247" i="3"/>
  <c r="J247" i="3"/>
  <c r="K247" i="3"/>
  <c r="L247" i="3"/>
  <c r="A247" i="2" a="1"/>
  <c r="A247" i="2"/>
  <c r="B247" i="2"/>
  <c r="C247" i="2"/>
  <c r="D247" i="2"/>
  <c r="E247" i="2"/>
  <c r="F247" i="2"/>
  <c r="H247" i="2"/>
  <c r="J247" i="2"/>
  <c r="K247" i="2"/>
  <c r="L247" i="2"/>
  <c r="A255" i="1" a="1"/>
  <c r="A255" i="1"/>
  <c r="B255" i="1"/>
  <c r="C255" i="1"/>
  <c r="D255" i="1"/>
  <c r="E255" i="1"/>
  <c r="F255" i="1"/>
  <c r="H255" i="1"/>
  <c r="J255" i="1"/>
  <c r="K255" i="1"/>
  <c r="L255" i="1"/>
  <c r="L194" i="4"/>
  <c r="F194" i="4"/>
  <c r="D194" i="4"/>
  <c r="E194" i="4"/>
  <c r="B193" i="4"/>
  <c r="F193" i="4"/>
  <c r="G193" i="4"/>
  <c r="H193" i="4"/>
  <c r="J193" i="4"/>
  <c r="K193" i="4"/>
  <c r="L193" i="4"/>
  <c r="A246" i="3" a="1"/>
  <c r="A246" i="3"/>
  <c r="B246" i="3"/>
  <c r="C246" i="3"/>
  <c r="D246" i="3"/>
  <c r="E246" i="3"/>
  <c r="F246" i="3"/>
  <c r="H246" i="3"/>
  <c r="J246" i="3"/>
  <c r="K246" i="3"/>
  <c r="L246" i="3"/>
  <c r="A246" i="2" a="1"/>
  <c r="A246" i="2"/>
  <c r="B246" i="2"/>
  <c r="D246" i="2"/>
  <c r="E246" i="2"/>
  <c r="H246" i="2"/>
  <c r="J246" i="2"/>
  <c r="K246" i="2"/>
  <c r="A254" i="1" a="1"/>
  <c r="A254" i="1"/>
  <c r="B254" i="1"/>
  <c r="C254" i="1"/>
  <c r="H254" i="1"/>
  <c r="J254" i="1"/>
  <c r="K254" i="1"/>
  <c r="L254" i="1"/>
  <c r="D193" i="4"/>
  <c r="E193" i="4"/>
  <c r="C246" i="2"/>
  <c r="F246" i="2"/>
  <c r="L246" i="2"/>
  <c r="F254" i="1"/>
  <c r="D254" i="1"/>
  <c r="E254" i="1"/>
  <c r="B192" i="4"/>
  <c r="D192" i="4"/>
  <c r="E192" i="4"/>
  <c r="F192" i="4"/>
  <c r="G192" i="4"/>
  <c r="H192" i="4"/>
  <c r="J192" i="4"/>
  <c r="K192" i="4"/>
  <c r="L192" i="4"/>
  <c r="A245" i="3" a="1"/>
  <c r="A245" i="3"/>
  <c r="B245" i="3"/>
  <c r="C245" i="3"/>
  <c r="H245" i="3"/>
  <c r="J245" i="3"/>
  <c r="K245" i="3"/>
  <c r="A245" i="2" a="1"/>
  <c r="A245" i="2"/>
  <c r="B245" i="2"/>
  <c r="C245" i="2"/>
  <c r="F245" i="2"/>
  <c r="H245" i="2"/>
  <c r="J245" i="2"/>
  <c r="K245" i="2"/>
  <c r="L245" i="2"/>
  <c r="A253" i="1" a="1"/>
  <c r="A253" i="1"/>
  <c r="B253" i="1"/>
  <c r="C253" i="1"/>
  <c r="D253" i="1"/>
  <c r="E253" i="1"/>
  <c r="F253" i="1"/>
  <c r="H253" i="1"/>
  <c r="J253" i="1"/>
  <c r="K253" i="1"/>
  <c r="L253" i="1"/>
  <c r="F245" i="3"/>
  <c r="D245" i="3"/>
  <c r="E245" i="3"/>
  <c r="L245" i="3"/>
  <c r="D245" i="2"/>
  <c r="E245" i="2"/>
  <c r="B191" i="4"/>
  <c r="D191" i="4"/>
  <c r="E191" i="4"/>
  <c r="F191" i="4"/>
  <c r="G191" i="4"/>
  <c r="H191" i="4"/>
  <c r="J191" i="4"/>
  <c r="K191" i="4"/>
  <c r="L191" i="4"/>
  <c r="A244" i="3" a="1"/>
  <c r="A244" i="3"/>
  <c r="B244" i="3"/>
  <c r="C244" i="3"/>
  <c r="D244" i="3"/>
  <c r="E244" i="3"/>
  <c r="F244" i="3"/>
  <c r="H244" i="3"/>
  <c r="J244" i="3"/>
  <c r="K244" i="3"/>
  <c r="L244" i="3"/>
  <c r="A244" i="2" a="1"/>
  <c r="A244" i="2"/>
  <c r="B244" i="2"/>
  <c r="C244" i="2"/>
  <c r="D244" i="2"/>
  <c r="E244" i="2"/>
  <c r="F244" i="2"/>
  <c r="H244" i="2"/>
  <c r="J244" i="2"/>
  <c r="K244" i="2"/>
  <c r="L244" i="2"/>
  <c r="A252" i="1" a="1"/>
  <c r="A252" i="1"/>
  <c r="B252" i="1"/>
  <c r="C252" i="1"/>
  <c r="D252" i="1"/>
  <c r="E252" i="1"/>
  <c r="F252" i="1"/>
  <c r="H252" i="1"/>
  <c r="J252" i="1"/>
  <c r="K252" i="1"/>
  <c r="L252" i="1"/>
  <c r="B190" i="4"/>
  <c r="D190" i="4"/>
  <c r="E190" i="4"/>
  <c r="F190" i="4"/>
  <c r="G190" i="4"/>
  <c r="H190" i="4"/>
  <c r="J190" i="4"/>
  <c r="K190" i="4"/>
  <c r="L190" i="4"/>
  <c r="A243" i="3" a="1"/>
  <c r="A243" i="3"/>
  <c r="B243" i="3"/>
  <c r="C243" i="3"/>
  <c r="D243" i="3"/>
  <c r="E243" i="3"/>
  <c r="F243" i="3"/>
  <c r="H243" i="3"/>
  <c r="J243" i="3"/>
  <c r="K243" i="3"/>
  <c r="L243" i="3"/>
  <c r="A243" i="2" a="1"/>
  <c r="A243" i="2"/>
  <c r="B243" i="2"/>
  <c r="C243" i="2"/>
  <c r="D243" i="2"/>
  <c r="E243" i="2"/>
  <c r="F243" i="2"/>
  <c r="H243" i="2"/>
  <c r="J243" i="2"/>
  <c r="K243" i="2"/>
  <c r="L243" i="2"/>
  <c r="A251" i="1" a="1"/>
  <c r="A251" i="1"/>
  <c r="B251" i="1"/>
  <c r="C251" i="1"/>
  <c r="F251" i="1"/>
  <c r="H251" i="1"/>
  <c r="J251" i="1"/>
  <c r="K251" i="1"/>
  <c r="L251" i="1"/>
  <c r="D251" i="1"/>
  <c r="E251" i="1"/>
  <c r="B189" i="4"/>
  <c r="F189" i="4"/>
  <c r="G189" i="4"/>
  <c r="H189" i="4"/>
  <c r="J189" i="4"/>
  <c r="K189" i="4"/>
  <c r="L189" i="4"/>
  <c r="A242" i="3" a="1"/>
  <c r="A242" i="3"/>
  <c r="B242" i="3"/>
  <c r="C242" i="3"/>
  <c r="D242" i="3"/>
  <c r="E242" i="3"/>
  <c r="F242" i="3"/>
  <c r="H242" i="3"/>
  <c r="J242" i="3"/>
  <c r="K242" i="3"/>
  <c r="L242" i="3"/>
  <c r="A242" i="2" a="1"/>
  <c r="A242" i="2"/>
  <c r="B242" i="2"/>
  <c r="C242" i="2"/>
  <c r="F242" i="2"/>
  <c r="H242" i="2"/>
  <c r="J242" i="2"/>
  <c r="K242" i="2"/>
  <c r="L242" i="2"/>
  <c r="A250" i="1" a="1"/>
  <c r="A250" i="1"/>
  <c r="B250" i="1"/>
  <c r="C250" i="1"/>
  <c r="D250" i="1"/>
  <c r="E250" i="1"/>
  <c r="F250" i="1"/>
  <c r="H250" i="1"/>
  <c r="J250" i="1"/>
  <c r="K250" i="1"/>
  <c r="L250" i="1"/>
  <c r="D189" i="4"/>
  <c r="E189" i="4"/>
  <c r="D242" i="2"/>
  <c r="E242" i="2"/>
  <c r="B188" i="4"/>
  <c r="D188" i="4"/>
  <c r="E188" i="4"/>
  <c r="F188" i="4"/>
  <c r="G188" i="4"/>
  <c r="H188" i="4"/>
  <c r="J188" i="4"/>
  <c r="K188" i="4"/>
  <c r="L188" i="4"/>
  <c r="A241" i="3" a="1"/>
  <c r="A241" i="3"/>
  <c r="B241" i="3"/>
  <c r="C241" i="3"/>
  <c r="D241" i="3"/>
  <c r="E241" i="3"/>
  <c r="F241" i="3"/>
  <c r="H241" i="3"/>
  <c r="J241" i="3"/>
  <c r="K241" i="3"/>
  <c r="L241" i="3"/>
  <c r="A241" i="2" a="1"/>
  <c r="A241" i="2"/>
  <c r="B241" i="2"/>
  <c r="C241" i="2"/>
  <c r="D241" i="2"/>
  <c r="E241" i="2"/>
  <c r="F241" i="2"/>
  <c r="H241" i="2"/>
  <c r="J241" i="2"/>
  <c r="K241" i="2"/>
  <c r="L241" i="2"/>
  <c r="A249" i="1" a="1"/>
  <c r="A249" i="1"/>
  <c r="B249" i="1"/>
  <c r="D249" i="1"/>
  <c r="E249" i="1"/>
  <c r="C249" i="1"/>
  <c r="F249" i="1"/>
  <c r="H249" i="1"/>
  <c r="J249" i="1"/>
  <c r="K249" i="1"/>
  <c r="L249" i="1"/>
  <c r="B187" i="4"/>
  <c r="D187" i="4"/>
  <c r="E187" i="4"/>
  <c r="F187" i="4"/>
  <c r="G187" i="4"/>
  <c r="H187" i="4"/>
  <c r="J187" i="4"/>
  <c r="K187" i="4"/>
  <c r="L187" i="4"/>
  <c r="A240" i="3" a="1"/>
  <c r="A240" i="3"/>
  <c r="B240" i="3"/>
  <c r="C240" i="3"/>
  <c r="F240" i="3"/>
  <c r="H240" i="3"/>
  <c r="J240" i="3"/>
  <c r="K240" i="3"/>
  <c r="L240" i="3"/>
  <c r="A240" i="2" a="1"/>
  <c r="A240" i="2"/>
  <c r="B240" i="2"/>
  <c r="C240" i="2"/>
  <c r="D240" i="2"/>
  <c r="E240" i="2"/>
  <c r="F240" i="2"/>
  <c r="H240" i="2"/>
  <c r="J240" i="2"/>
  <c r="K240" i="2"/>
  <c r="L240" i="2"/>
  <c r="A248" i="1" a="1"/>
  <c r="A248" i="1"/>
  <c r="B248" i="1"/>
  <c r="C248" i="1"/>
  <c r="D248" i="1"/>
  <c r="E248" i="1"/>
  <c r="F248" i="1"/>
  <c r="H248" i="1"/>
  <c r="J248" i="1"/>
  <c r="K248" i="1"/>
  <c r="L248" i="1"/>
  <c r="D240" i="3"/>
  <c r="E240" i="3"/>
  <c r="B186" i="4"/>
  <c r="D186" i="4"/>
  <c r="E186" i="4"/>
  <c r="F186" i="4"/>
  <c r="G186" i="4"/>
  <c r="H186" i="4"/>
  <c r="J186" i="4"/>
  <c r="K186" i="4"/>
  <c r="L186" i="4"/>
  <c r="A239" i="3" a="1"/>
  <c r="A239" i="3"/>
  <c r="B239" i="3"/>
  <c r="C239" i="3"/>
  <c r="H239" i="3"/>
  <c r="J239" i="3"/>
  <c r="K239" i="3"/>
  <c r="A239" i="2" a="1"/>
  <c r="A239" i="2"/>
  <c r="B239" i="2"/>
  <c r="C239" i="2"/>
  <c r="D239" i="2"/>
  <c r="E239" i="2"/>
  <c r="F239" i="2"/>
  <c r="H239" i="2"/>
  <c r="J239" i="2"/>
  <c r="K239" i="2"/>
  <c r="L239" i="2"/>
  <c r="A247" i="1" a="1"/>
  <c r="A247" i="1"/>
  <c r="B247" i="1"/>
  <c r="D247" i="1"/>
  <c r="E247" i="1"/>
  <c r="C247" i="1"/>
  <c r="H247" i="1"/>
  <c r="J247" i="1"/>
  <c r="K247" i="1"/>
  <c r="L239" i="3"/>
  <c r="F239" i="3"/>
  <c r="D239" i="3"/>
  <c r="E239" i="3"/>
  <c r="L247" i="1"/>
  <c r="F247" i="1"/>
  <c r="B185" i="4"/>
  <c r="D185" i="4"/>
  <c r="E185" i="4"/>
  <c r="F185" i="4"/>
  <c r="G185" i="4"/>
  <c r="H185" i="4"/>
  <c r="J185" i="4"/>
  <c r="K185" i="4"/>
  <c r="L185" i="4"/>
  <c r="A238" i="3" a="1"/>
  <c r="A238" i="3"/>
  <c r="B238" i="3"/>
  <c r="C238" i="3"/>
  <c r="D238" i="3"/>
  <c r="E238" i="3"/>
  <c r="F238" i="3"/>
  <c r="H238" i="3"/>
  <c r="J238" i="3"/>
  <c r="K238" i="3"/>
  <c r="L238" i="3"/>
  <c r="A238" i="2" a="1"/>
  <c r="A238" i="2"/>
  <c r="B238" i="2"/>
  <c r="C238" i="2"/>
  <c r="F238" i="2"/>
  <c r="H238" i="2"/>
  <c r="J238" i="2"/>
  <c r="K238" i="2"/>
  <c r="L238" i="2"/>
  <c r="A246" i="1" a="1"/>
  <c r="A246" i="1"/>
  <c r="B246" i="1"/>
  <c r="C246" i="1"/>
  <c r="F246" i="1"/>
  <c r="H246" i="1"/>
  <c r="J246" i="1"/>
  <c r="K246" i="1"/>
  <c r="L246" i="1"/>
  <c r="D238" i="2"/>
  <c r="E238" i="2"/>
  <c r="D246" i="1"/>
  <c r="E246" i="1"/>
  <c r="U183" i="4"/>
  <c r="I183" i="4"/>
  <c r="J183" i="4"/>
  <c r="U180" i="4"/>
  <c r="B180" i="4"/>
  <c r="U179" i="4"/>
  <c r="B179" i="4"/>
  <c r="I180" i="4"/>
  <c r="J181" i="4"/>
  <c r="I179" i="4"/>
  <c r="U177" i="4"/>
  <c r="B177" i="4"/>
  <c r="I177" i="4"/>
  <c r="K178" i="4"/>
  <c r="B178" i="4"/>
  <c r="U175" i="4"/>
  <c r="U174" i="4"/>
  <c r="I175" i="4"/>
  <c r="J176" i="4"/>
  <c r="I174" i="4"/>
  <c r="U164" i="4"/>
  <c r="U165" i="4"/>
  <c r="U166" i="4"/>
  <c r="U167" i="4"/>
  <c r="U168" i="4"/>
  <c r="B168" i="4"/>
  <c r="U169" i="4"/>
  <c r="U170" i="4"/>
  <c r="U171" i="4"/>
  <c r="B171" i="4"/>
  <c r="U172" i="4"/>
  <c r="U163" i="4"/>
  <c r="I164" i="4"/>
  <c r="I165" i="4"/>
  <c r="I166" i="4"/>
  <c r="I167" i="4"/>
  <c r="I168" i="4"/>
  <c r="J168" i="4"/>
  <c r="I169" i="4"/>
  <c r="I170" i="4"/>
  <c r="I171" i="4"/>
  <c r="J171" i="4"/>
  <c r="I172" i="4"/>
  <c r="I163" i="4"/>
  <c r="K173" i="4"/>
  <c r="U160" i="4"/>
  <c r="I160" i="4"/>
  <c r="G167" i="4"/>
  <c r="H167" i="4"/>
  <c r="G168" i="4"/>
  <c r="G169" i="4"/>
  <c r="H169" i="4"/>
  <c r="G170" i="4"/>
  <c r="B170" i="4"/>
  <c r="H170" i="4"/>
  <c r="G171" i="4"/>
  <c r="H171" i="4"/>
  <c r="B172" i="4"/>
  <c r="G172" i="4"/>
  <c r="H172" i="4"/>
  <c r="G173" i="4"/>
  <c r="H173" i="4"/>
  <c r="G174" i="4"/>
  <c r="B174" i="4"/>
  <c r="H174" i="4"/>
  <c r="G175" i="4"/>
  <c r="H175" i="4"/>
  <c r="B176" i="4"/>
  <c r="G176" i="4"/>
  <c r="G177" i="4"/>
  <c r="H177" i="4"/>
  <c r="G178" i="4"/>
  <c r="H178" i="4"/>
  <c r="G179" i="4"/>
  <c r="H179" i="4"/>
  <c r="G180" i="4"/>
  <c r="H180" i="4"/>
  <c r="G181" i="4"/>
  <c r="B181" i="4"/>
  <c r="H181" i="4"/>
  <c r="G182" i="4"/>
  <c r="B182" i="4"/>
  <c r="H182" i="4"/>
  <c r="G183" i="4"/>
  <c r="H183" i="4"/>
  <c r="B184" i="4"/>
  <c r="G184" i="4"/>
  <c r="J167" i="4"/>
  <c r="K167" i="4"/>
  <c r="K177" i="4"/>
  <c r="J178" i="4"/>
  <c r="J182" i="4"/>
  <c r="K182" i="4"/>
  <c r="K184" i="4"/>
  <c r="J184" i="4"/>
  <c r="K183" i="4"/>
  <c r="K181" i="4"/>
  <c r="K180" i="4"/>
  <c r="K179" i="4"/>
  <c r="J180" i="4"/>
  <c r="J179" i="4"/>
  <c r="D177" i="4"/>
  <c r="E177" i="4"/>
  <c r="J177" i="4"/>
  <c r="D178" i="4"/>
  <c r="E178" i="4"/>
  <c r="L178" i="4"/>
  <c r="D179" i="4"/>
  <c r="K176" i="4"/>
  <c r="J175" i="4"/>
  <c r="K175" i="4"/>
  <c r="F177" i="4"/>
  <c r="K171" i="4"/>
  <c r="J169" i="4"/>
  <c r="K170" i="4"/>
  <c r="J170" i="4"/>
  <c r="K169" i="4"/>
  <c r="K172" i="4"/>
  <c r="K168" i="4"/>
  <c r="J172" i="4"/>
  <c r="J173" i="4"/>
  <c r="J174" i="4"/>
  <c r="K174" i="4"/>
  <c r="B173" i="4"/>
  <c r="L173" i="4"/>
  <c r="D171" i="4"/>
  <c r="L174" i="4"/>
  <c r="L182" i="4"/>
  <c r="D182" i="4"/>
  <c r="E182" i="4"/>
  <c r="F182" i="4"/>
  <c r="D181" i="4"/>
  <c r="L181" i="4"/>
  <c r="F181" i="4"/>
  <c r="B169" i="4"/>
  <c r="L172" i="4"/>
  <c r="F180" i="4"/>
  <c r="F172" i="4"/>
  <c r="L177" i="4"/>
  <c r="B183" i="4"/>
  <c r="D184" i="4"/>
  <c r="F179" i="4"/>
  <c r="B175" i="4"/>
  <c r="F171" i="4"/>
  <c r="B167" i="4"/>
  <c r="D168" i="4"/>
  <c r="L180" i="4"/>
  <c r="H184" i="4"/>
  <c r="F178" i="4"/>
  <c r="H176" i="4"/>
  <c r="D172" i="4"/>
  <c r="H168" i="4"/>
  <c r="D180" i="4"/>
  <c r="E180" i="4"/>
  <c r="L179" i="4"/>
  <c r="L171" i="4"/>
  <c r="G162" i="4"/>
  <c r="B162" i="4"/>
  <c r="E181" i="4"/>
  <c r="E179" i="4"/>
  <c r="E171" i="4"/>
  <c r="E172" i="4"/>
  <c r="F173" i="4"/>
  <c r="F174" i="4"/>
  <c r="D173" i="4"/>
  <c r="E173" i="4"/>
  <c r="D174" i="4"/>
  <c r="E174" i="4"/>
  <c r="E184" i="4"/>
  <c r="E168" i="4"/>
  <c r="L176" i="4"/>
  <c r="L175" i="4"/>
  <c r="D175" i="4"/>
  <c r="E175" i="4"/>
  <c r="F176" i="4"/>
  <c r="F175" i="4"/>
  <c r="F169" i="4"/>
  <c r="L169" i="4"/>
  <c r="D169" i="4"/>
  <c r="E169" i="4"/>
  <c r="F170" i="4"/>
  <c r="L170" i="4"/>
  <c r="L183" i="4"/>
  <c r="F184" i="4"/>
  <c r="L184" i="4"/>
  <c r="F183" i="4"/>
  <c r="D183" i="4"/>
  <c r="E183" i="4"/>
  <c r="D170" i="4"/>
  <c r="F168" i="4"/>
  <c r="L168" i="4"/>
  <c r="D176" i="4"/>
  <c r="E176" i="4"/>
  <c r="G160" i="4"/>
  <c r="B160" i="4"/>
  <c r="A237" i="3" a="1"/>
  <c r="A237" i="3"/>
  <c r="B237" i="3"/>
  <c r="C237" i="3"/>
  <c r="D237" i="3"/>
  <c r="E237" i="3"/>
  <c r="F237" i="3"/>
  <c r="H237" i="3"/>
  <c r="J237" i="3"/>
  <c r="K237" i="3"/>
  <c r="L237" i="3"/>
  <c r="A237" i="2" a="1"/>
  <c r="A237" i="2"/>
  <c r="B237" i="2"/>
  <c r="C237" i="2"/>
  <c r="H237" i="2"/>
  <c r="J237" i="2"/>
  <c r="K237" i="2"/>
  <c r="L237" i="2"/>
  <c r="A245" i="1" a="1"/>
  <c r="A245" i="1"/>
  <c r="B245" i="1"/>
  <c r="C245" i="1"/>
  <c r="D245" i="1"/>
  <c r="E245" i="1"/>
  <c r="F245" i="1"/>
  <c r="H245" i="1"/>
  <c r="J245" i="1"/>
  <c r="K245" i="1"/>
  <c r="L245" i="1"/>
  <c r="E170" i="4"/>
  <c r="F237" i="2"/>
  <c r="D237" i="2"/>
  <c r="E237" i="2"/>
  <c r="A236" i="3" a="1"/>
  <c r="A236" i="3"/>
  <c r="B236" i="3"/>
  <c r="C236" i="3"/>
  <c r="D236" i="3"/>
  <c r="E236" i="3"/>
  <c r="F236" i="3"/>
  <c r="H236" i="3"/>
  <c r="J236" i="3"/>
  <c r="K236" i="3"/>
  <c r="L236" i="3"/>
  <c r="A236" i="2" a="1"/>
  <c r="A236" i="2"/>
  <c r="B236" i="2"/>
  <c r="C236" i="2"/>
  <c r="D236" i="2"/>
  <c r="E236" i="2"/>
  <c r="F236" i="2"/>
  <c r="H236" i="2"/>
  <c r="J236" i="2"/>
  <c r="K236" i="2"/>
  <c r="L236" i="2"/>
  <c r="A244" i="1" a="1"/>
  <c r="A244" i="1"/>
  <c r="B244" i="1"/>
  <c r="C244" i="1"/>
  <c r="D244" i="1"/>
  <c r="E244" i="1"/>
  <c r="H244" i="1"/>
  <c r="J244" i="1"/>
  <c r="K244" i="1"/>
  <c r="L244" i="1"/>
  <c r="F244" i="1"/>
  <c r="A235" i="3" a="1"/>
  <c r="A235" i="3"/>
  <c r="B235" i="3"/>
  <c r="C235" i="3"/>
  <c r="D235" i="3"/>
  <c r="E235" i="3"/>
  <c r="F235" i="3"/>
  <c r="H235" i="3"/>
  <c r="J235" i="3"/>
  <c r="K235" i="3"/>
  <c r="L235" i="3"/>
  <c r="A235" i="2" a="1"/>
  <c r="A235" i="2"/>
  <c r="B235" i="2"/>
  <c r="C235" i="2"/>
  <c r="D235" i="2"/>
  <c r="E235" i="2"/>
  <c r="F235" i="2"/>
  <c r="H235" i="2"/>
  <c r="J235" i="2"/>
  <c r="K235" i="2"/>
  <c r="L235" i="2"/>
  <c r="A243" i="1" a="1"/>
  <c r="A243" i="1"/>
  <c r="B243" i="1"/>
  <c r="C243" i="1"/>
  <c r="D243" i="1"/>
  <c r="E243" i="1"/>
  <c r="F243" i="1"/>
  <c r="H243" i="1"/>
  <c r="J243" i="1"/>
  <c r="K243" i="1"/>
  <c r="L243" i="1"/>
  <c r="A234" i="3" a="1"/>
  <c r="A234" i="3"/>
  <c r="B234" i="3"/>
  <c r="C234" i="3"/>
  <c r="H234" i="3"/>
  <c r="J234" i="3"/>
  <c r="K234" i="3"/>
  <c r="L234" i="3"/>
  <c r="A234" i="2" a="1"/>
  <c r="A234" i="2"/>
  <c r="B234" i="2"/>
  <c r="C234" i="2"/>
  <c r="D234" i="2"/>
  <c r="E234" i="2"/>
  <c r="F234" i="2"/>
  <c r="H234" i="2"/>
  <c r="J234" i="2"/>
  <c r="K234" i="2"/>
  <c r="L234" i="2"/>
  <c r="A242" i="1" a="1"/>
  <c r="A242" i="1"/>
  <c r="B242" i="1"/>
  <c r="C242" i="1"/>
  <c r="D242" i="1"/>
  <c r="E242" i="1"/>
  <c r="F242" i="1"/>
  <c r="H242" i="1"/>
  <c r="J242" i="1"/>
  <c r="K242" i="1"/>
  <c r="L242" i="1"/>
  <c r="F234" i="3"/>
  <c r="D234" i="3"/>
  <c r="E234" i="3"/>
  <c r="A233" i="3" a="1"/>
  <c r="A233" i="3"/>
  <c r="B233" i="3"/>
  <c r="C233" i="3"/>
  <c r="F233" i="3"/>
  <c r="H233" i="3"/>
  <c r="J233" i="3"/>
  <c r="K233" i="3"/>
  <c r="L233" i="3"/>
  <c r="A233" i="2" a="1"/>
  <c r="A233" i="2"/>
  <c r="B233" i="2"/>
  <c r="C233" i="2"/>
  <c r="D233" i="2"/>
  <c r="E233" i="2"/>
  <c r="F233" i="2"/>
  <c r="H233" i="2"/>
  <c r="J233" i="2"/>
  <c r="K233" i="2"/>
  <c r="L233" i="2"/>
  <c r="A241" i="1" a="1"/>
  <c r="A241" i="1"/>
  <c r="B241" i="1"/>
  <c r="C241" i="1"/>
  <c r="D241" i="1"/>
  <c r="E241" i="1"/>
  <c r="F241" i="1"/>
  <c r="H241" i="1"/>
  <c r="J241" i="1"/>
  <c r="K241" i="1"/>
  <c r="L241" i="1"/>
  <c r="D233" i="3"/>
  <c r="E233" i="3"/>
  <c r="A232" i="3" a="1"/>
  <c r="A232" i="3"/>
  <c r="B232" i="3"/>
  <c r="C232" i="3"/>
  <c r="D232" i="3"/>
  <c r="E232" i="3"/>
  <c r="F232" i="3"/>
  <c r="H232" i="3"/>
  <c r="J232" i="3"/>
  <c r="K232" i="3"/>
  <c r="L232" i="3"/>
  <c r="A232" i="2" a="1"/>
  <c r="A232" i="2"/>
  <c r="B232" i="2"/>
  <c r="C232" i="2"/>
  <c r="D232" i="2"/>
  <c r="E232" i="2"/>
  <c r="F232" i="2"/>
  <c r="H232" i="2"/>
  <c r="J232" i="2"/>
  <c r="K232" i="2"/>
  <c r="L232" i="2"/>
  <c r="A240" i="1" a="1"/>
  <c r="A240" i="1"/>
  <c r="B240" i="1"/>
  <c r="C240" i="1"/>
  <c r="D240" i="1"/>
  <c r="E240" i="1"/>
  <c r="F240" i="1"/>
  <c r="H240" i="1"/>
  <c r="J240" i="1"/>
  <c r="K240" i="1"/>
  <c r="L240" i="1"/>
  <c r="J231" i="3"/>
  <c r="K231" i="3"/>
  <c r="H231" i="3"/>
  <c r="B231" i="3"/>
  <c r="J231" i="2"/>
  <c r="K231" i="2"/>
  <c r="E231" i="2"/>
  <c r="L231" i="2"/>
  <c r="H231" i="2"/>
  <c r="B231" i="2"/>
  <c r="C231" i="2"/>
  <c r="D231" i="2"/>
  <c r="F231" i="2"/>
  <c r="B239" i="1"/>
  <c r="L239" i="1"/>
  <c r="C239" i="1"/>
  <c r="D239" i="1"/>
  <c r="E239" i="1"/>
  <c r="H239" i="1"/>
  <c r="J239" i="1"/>
  <c r="K239" i="1"/>
  <c r="D231" i="3"/>
  <c r="E231" i="3"/>
  <c r="C231" i="3"/>
  <c r="A231" i="2" a="1"/>
  <c r="A231" i="2"/>
  <c r="F239" i="1"/>
  <c r="A239" i="1" a="1"/>
  <c r="A239" i="1"/>
  <c r="B230" i="3"/>
  <c r="F230" i="3"/>
  <c r="H230" i="3"/>
  <c r="J230" i="3"/>
  <c r="K230" i="3"/>
  <c r="B230" i="2"/>
  <c r="L230" i="2"/>
  <c r="C230" i="2"/>
  <c r="D230" i="2"/>
  <c r="H230" i="2"/>
  <c r="J230" i="2"/>
  <c r="K230" i="2"/>
  <c r="B238" i="1"/>
  <c r="D238" i="1"/>
  <c r="E238" i="1"/>
  <c r="H238" i="1"/>
  <c r="J238" i="1"/>
  <c r="K238" i="1"/>
  <c r="C230" i="3"/>
  <c r="L231" i="3"/>
  <c r="F231" i="3"/>
  <c r="L230" i="3"/>
  <c r="D230" i="3"/>
  <c r="E230" i="3"/>
  <c r="A230" i="3" a="1"/>
  <c r="A230" i="3"/>
  <c r="A231" i="3" a="1"/>
  <c r="A231" i="3"/>
  <c r="E230" i="2"/>
  <c r="F230" i="2"/>
  <c r="L238" i="1"/>
  <c r="F238" i="1"/>
  <c r="C238" i="1"/>
  <c r="A238" i="1" a="1"/>
  <c r="A238" i="1"/>
  <c r="A229" i="3" a="1"/>
  <c r="A229" i="3"/>
  <c r="B229" i="3"/>
  <c r="C229" i="3"/>
  <c r="D229" i="3"/>
  <c r="E229" i="3"/>
  <c r="F229" i="3"/>
  <c r="H229" i="3"/>
  <c r="J229" i="3"/>
  <c r="K229" i="3"/>
  <c r="L229" i="3"/>
  <c r="A229" i="2" a="1"/>
  <c r="A229" i="2"/>
  <c r="B229" i="2"/>
  <c r="C229" i="2"/>
  <c r="H229" i="2"/>
  <c r="J229" i="2"/>
  <c r="K229" i="2"/>
  <c r="A237" i="1" a="1"/>
  <c r="A237" i="1"/>
  <c r="B237" i="1"/>
  <c r="C237" i="1"/>
  <c r="D237" i="1"/>
  <c r="E237" i="1"/>
  <c r="F237" i="1"/>
  <c r="H237" i="1"/>
  <c r="J237" i="1"/>
  <c r="K237" i="1"/>
  <c r="L237" i="1"/>
  <c r="A230" i="2" a="1"/>
  <c r="A230" i="2"/>
  <c r="L229" i="2"/>
  <c r="F229" i="2"/>
  <c r="D229" i="2"/>
  <c r="E229" i="2"/>
  <c r="A228" i="3" a="1"/>
  <c r="A228" i="3"/>
  <c r="B228" i="3"/>
  <c r="C228" i="3"/>
  <c r="D228" i="3"/>
  <c r="E228" i="3"/>
  <c r="F228" i="3"/>
  <c r="H228" i="3"/>
  <c r="J228" i="3"/>
  <c r="K228" i="3"/>
  <c r="L228" i="3"/>
  <c r="A228" i="2" a="1"/>
  <c r="A228" i="2"/>
  <c r="B228" i="2"/>
  <c r="C228" i="2"/>
  <c r="F228" i="2"/>
  <c r="H228" i="2"/>
  <c r="J228" i="2"/>
  <c r="K228" i="2"/>
  <c r="L228" i="2"/>
  <c r="A236" i="1" a="1"/>
  <c r="A236" i="1"/>
  <c r="B236" i="1"/>
  <c r="D236" i="1"/>
  <c r="E236" i="1"/>
  <c r="C236" i="1"/>
  <c r="F236" i="1"/>
  <c r="H236" i="1"/>
  <c r="J236" i="1"/>
  <c r="K236" i="1"/>
  <c r="L236" i="1"/>
  <c r="D228" i="2"/>
  <c r="E228" i="2"/>
  <c r="A227" i="3" a="1"/>
  <c r="A227" i="3"/>
  <c r="B227" i="3"/>
  <c r="C227" i="3"/>
  <c r="F227" i="3"/>
  <c r="H227" i="3"/>
  <c r="J227" i="3"/>
  <c r="K227" i="3"/>
  <c r="L227" i="3"/>
  <c r="A227" i="2" a="1"/>
  <c r="A227" i="2"/>
  <c r="B227" i="2"/>
  <c r="C227" i="2"/>
  <c r="D227" i="2"/>
  <c r="E227" i="2"/>
  <c r="F227" i="2"/>
  <c r="H227" i="2"/>
  <c r="J227" i="2"/>
  <c r="K227" i="2"/>
  <c r="L227" i="2"/>
  <c r="A235" i="1" a="1"/>
  <c r="A235" i="1"/>
  <c r="B235" i="1"/>
  <c r="C235" i="1"/>
  <c r="F235" i="1"/>
  <c r="H235" i="1"/>
  <c r="J235" i="1"/>
  <c r="K235" i="1"/>
  <c r="L235" i="1"/>
  <c r="D227" i="3"/>
  <c r="E227" i="3"/>
  <c r="D235" i="1"/>
  <c r="E235" i="1"/>
  <c r="A226" i="3" a="1"/>
  <c r="A226" i="3"/>
  <c r="B226" i="3"/>
  <c r="C226" i="3"/>
  <c r="F226" i="3"/>
  <c r="H226" i="3"/>
  <c r="J226" i="3"/>
  <c r="K226" i="3"/>
  <c r="L226" i="3"/>
  <c r="A226" i="2" a="1"/>
  <c r="A226" i="2"/>
  <c r="B226" i="2"/>
  <c r="C226" i="2"/>
  <c r="H226" i="2"/>
  <c r="J226" i="2"/>
  <c r="K226" i="2"/>
  <c r="L226" i="2"/>
  <c r="A234" i="1" a="1"/>
  <c r="A234" i="1"/>
  <c r="B234" i="1"/>
  <c r="C234" i="1"/>
  <c r="D234" i="1"/>
  <c r="E234" i="1"/>
  <c r="F234" i="1"/>
  <c r="H234" i="1"/>
  <c r="J234" i="1"/>
  <c r="K234" i="1"/>
  <c r="L234" i="1"/>
  <c r="D226" i="3"/>
  <c r="E226" i="3"/>
  <c r="F226" i="2"/>
  <c r="D226" i="2"/>
  <c r="E226" i="2"/>
  <c r="A225" i="3" a="1"/>
  <c r="A225" i="3"/>
  <c r="B225" i="3"/>
  <c r="C225" i="3"/>
  <c r="D225" i="3"/>
  <c r="E225" i="3"/>
  <c r="F225" i="3"/>
  <c r="H225" i="3"/>
  <c r="J225" i="3"/>
  <c r="K225" i="3"/>
  <c r="L225" i="3"/>
  <c r="A225" i="2" a="1"/>
  <c r="A225" i="2"/>
  <c r="B225" i="2"/>
  <c r="C225" i="2"/>
  <c r="D225" i="2"/>
  <c r="E225" i="2"/>
  <c r="F225" i="2"/>
  <c r="H225" i="2"/>
  <c r="J225" i="2"/>
  <c r="K225" i="2"/>
  <c r="L225" i="2"/>
  <c r="A233" i="1" a="1"/>
  <c r="A233" i="1"/>
  <c r="B233" i="1"/>
  <c r="C233" i="1"/>
  <c r="D233" i="1"/>
  <c r="E233" i="1"/>
  <c r="F233" i="1"/>
  <c r="H233" i="1"/>
  <c r="J233" i="1"/>
  <c r="K233" i="1"/>
  <c r="L233" i="1"/>
  <c r="A224" i="3" a="1"/>
  <c r="A224" i="3"/>
  <c r="B224" i="3"/>
  <c r="C224" i="3"/>
  <c r="D224" i="3"/>
  <c r="E224" i="3"/>
  <c r="F224" i="3"/>
  <c r="H224" i="3"/>
  <c r="J224" i="3"/>
  <c r="K224" i="3"/>
  <c r="L224" i="3"/>
  <c r="A224" i="2" a="1"/>
  <c r="A224" i="2"/>
  <c r="B224" i="2"/>
  <c r="C224" i="2"/>
  <c r="D224" i="2"/>
  <c r="E224" i="2"/>
  <c r="F224" i="2"/>
  <c r="H224" i="2"/>
  <c r="J224" i="2"/>
  <c r="K224" i="2"/>
  <c r="L224" i="2"/>
  <c r="A232" i="1" a="1"/>
  <c r="A232" i="1"/>
  <c r="B232" i="1"/>
  <c r="C232" i="1"/>
  <c r="F232" i="1"/>
  <c r="H232" i="1"/>
  <c r="J232" i="1"/>
  <c r="K232" i="1"/>
  <c r="L232" i="1"/>
  <c r="D232" i="1"/>
  <c r="E232" i="1"/>
  <c r="A223" i="3" a="1"/>
  <c r="A223" i="3"/>
  <c r="B223" i="3"/>
  <c r="C223" i="3"/>
  <c r="D223" i="3"/>
  <c r="E223" i="3"/>
  <c r="F223" i="3"/>
  <c r="H223" i="3"/>
  <c r="J223" i="3"/>
  <c r="K223" i="3"/>
  <c r="L223" i="3"/>
  <c r="A223" i="2" a="1"/>
  <c r="A223" i="2"/>
  <c r="B223" i="2"/>
  <c r="L223" i="2"/>
  <c r="C223" i="2"/>
  <c r="D223" i="2"/>
  <c r="E223" i="2"/>
  <c r="F223" i="2"/>
  <c r="H223" i="2"/>
  <c r="J223" i="2"/>
  <c r="K223" i="2"/>
  <c r="A231" i="1" a="1"/>
  <c r="A231" i="1"/>
  <c r="B231" i="1"/>
  <c r="C231" i="1"/>
  <c r="H231" i="1"/>
  <c r="J231" i="1"/>
  <c r="K231" i="1"/>
  <c r="L231" i="1"/>
  <c r="F231" i="1"/>
  <c r="D231" i="1"/>
  <c r="E231" i="1"/>
  <c r="A222" i="3" a="1"/>
  <c r="A222" i="3"/>
  <c r="B222" i="3"/>
  <c r="C222" i="3"/>
  <c r="D222" i="3"/>
  <c r="E222" i="3"/>
  <c r="F222" i="3"/>
  <c r="H222" i="3"/>
  <c r="J222" i="3"/>
  <c r="K222" i="3"/>
  <c r="L222" i="3"/>
  <c r="A222" i="2" a="1"/>
  <c r="A222" i="2"/>
  <c r="B222" i="2"/>
  <c r="C222" i="2"/>
  <c r="D222" i="2"/>
  <c r="E222" i="2"/>
  <c r="F222" i="2"/>
  <c r="H222" i="2"/>
  <c r="J222" i="2"/>
  <c r="K222" i="2"/>
  <c r="L222" i="2"/>
  <c r="A230" i="1" a="1"/>
  <c r="A230" i="1"/>
  <c r="B230" i="1"/>
  <c r="C230" i="1"/>
  <c r="D230" i="1"/>
  <c r="E230" i="1"/>
  <c r="F230" i="1"/>
  <c r="H230" i="1"/>
  <c r="J230" i="1"/>
  <c r="K230" i="1"/>
  <c r="L230" i="1"/>
  <c r="A221" i="3" a="1"/>
  <c r="A221" i="3"/>
  <c r="B221" i="3"/>
  <c r="C221" i="3"/>
  <c r="D221" i="3"/>
  <c r="E221" i="3"/>
  <c r="F221" i="3"/>
  <c r="H221" i="3"/>
  <c r="J221" i="3"/>
  <c r="K221" i="3"/>
  <c r="L221" i="3"/>
  <c r="A221" i="2" a="1"/>
  <c r="A221" i="2"/>
  <c r="B221" i="2"/>
  <c r="C221" i="2"/>
  <c r="D221" i="2"/>
  <c r="E221" i="2"/>
  <c r="F221" i="2"/>
  <c r="H221" i="2"/>
  <c r="J221" i="2"/>
  <c r="K221" i="2"/>
  <c r="L221" i="2"/>
  <c r="A229" i="1" a="1"/>
  <c r="A229" i="1"/>
  <c r="B229" i="1"/>
  <c r="C229" i="1"/>
  <c r="D229" i="1"/>
  <c r="E229" i="1"/>
  <c r="F229" i="1"/>
  <c r="H229" i="1"/>
  <c r="J229" i="1"/>
  <c r="K229" i="1"/>
  <c r="L229" i="1"/>
  <c r="A220" i="3" a="1"/>
  <c r="A220" i="3"/>
  <c r="B220" i="3"/>
  <c r="C220" i="3"/>
  <c r="D220" i="3"/>
  <c r="E220" i="3"/>
  <c r="F220" i="3"/>
  <c r="H220" i="3"/>
  <c r="J220" i="3"/>
  <c r="K220" i="3"/>
  <c r="L220" i="3"/>
  <c r="A220" i="2" a="1"/>
  <c r="A220" i="2"/>
  <c r="B220" i="2"/>
  <c r="C220" i="2"/>
  <c r="D220" i="2"/>
  <c r="E220" i="2"/>
  <c r="F220" i="2"/>
  <c r="H220" i="2"/>
  <c r="J220" i="2"/>
  <c r="K220" i="2"/>
  <c r="L220" i="2"/>
  <c r="A228" i="1" a="1"/>
  <c r="A228" i="1"/>
  <c r="B228" i="1"/>
  <c r="C228" i="1"/>
  <c r="F228" i="1"/>
  <c r="H228" i="1"/>
  <c r="J228" i="1"/>
  <c r="K228" i="1"/>
  <c r="L228" i="1"/>
  <c r="D228" i="1"/>
  <c r="E228" i="1"/>
  <c r="G166" i="4"/>
  <c r="B166" i="4"/>
  <c r="L167" i="4"/>
  <c r="F167" i="4"/>
  <c r="D167" i="4"/>
  <c r="E167" i="4"/>
  <c r="A219" i="3" a="1"/>
  <c r="A219" i="3"/>
  <c r="B219" i="3"/>
  <c r="D219" i="3"/>
  <c r="E219" i="3"/>
  <c r="H219" i="3"/>
  <c r="J219" i="3"/>
  <c r="K219" i="3"/>
  <c r="A219" i="2" a="1"/>
  <c r="A219" i="2"/>
  <c r="B219" i="2"/>
  <c r="C219" i="2"/>
  <c r="D219" i="2"/>
  <c r="E219" i="2"/>
  <c r="F219" i="2"/>
  <c r="H219" i="2"/>
  <c r="J219" i="2"/>
  <c r="K219" i="2"/>
  <c r="L219" i="2"/>
  <c r="A227" i="1" a="1"/>
  <c r="A227" i="1"/>
  <c r="B227" i="1"/>
  <c r="C227" i="1"/>
  <c r="D227" i="1"/>
  <c r="E227" i="1"/>
  <c r="F227" i="1"/>
  <c r="H227" i="1"/>
  <c r="J227" i="1"/>
  <c r="K227" i="1"/>
  <c r="L227" i="1"/>
  <c r="C219" i="3"/>
  <c r="F219" i="3"/>
  <c r="L219" i="3"/>
  <c r="G165" i="4"/>
  <c r="H166" i="4"/>
  <c r="B165" i="4"/>
  <c r="A218" i="3" a="1"/>
  <c r="A218" i="3"/>
  <c r="B218" i="3"/>
  <c r="C218" i="3"/>
  <c r="D218" i="3"/>
  <c r="E218" i="3"/>
  <c r="F218" i="3"/>
  <c r="H218" i="3"/>
  <c r="J218" i="3"/>
  <c r="K218" i="3"/>
  <c r="L218" i="3"/>
  <c r="A218" i="2" a="1"/>
  <c r="A218" i="2"/>
  <c r="B218" i="2"/>
  <c r="C218" i="2"/>
  <c r="D218" i="2"/>
  <c r="E218" i="2"/>
  <c r="F218" i="2"/>
  <c r="H218" i="2"/>
  <c r="J218" i="2"/>
  <c r="K218" i="2"/>
  <c r="L218" i="2"/>
  <c r="A226" i="1" a="1"/>
  <c r="A226" i="1"/>
  <c r="B226" i="1"/>
  <c r="C226" i="1"/>
  <c r="D226" i="1"/>
  <c r="E226" i="1"/>
  <c r="F226" i="1"/>
  <c r="H226" i="1"/>
  <c r="J226" i="1"/>
  <c r="K226" i="1"/>
  <c r="L226" i="1"/>
  <c r="F166" i="4"/>
  <c r="D166" i="4"/>
  <c r="G164" i="4"/>
  <c r="B164" i="4"/>
  <c r="F165" i="4"/>
  <c r="H165" i="4"/>
  <c r="D165" i="4"/>
  <c r="A217" i="3" a="1"/>
  <c r="A217" i="3"/>
  <c r="B217" i="3"/>
  <c r="C217" i="3"/>
  <c r="D217" i="3"/>
  <c r="E217" i="3"/>
  <c r="F217" i="3"/>
  <c r="H217" i="3"/>
  <c r="J217" i="3"/>
  <c r="K217" i="3"/>
  <c r="L217" i="3"/>
  <c r="A217" i="2" a="1"/>
  <c r="A217" i="2"/>
  <c r="B217" i="2"/>
  <c r="C217" i="2"/>
  <c r="D217" i="2"/>
  <c r="E217" i="2"/>
  <c r="F217" i="2"/>
  <c r="H217" i="2"/>
  <c r="J217" i="2"/>
  <c r="K217" i="2"/>
  <c r="L217" i="2"/>
  <c r="A225" i="1" a="1"/>
  <c r="A225" i="1"/>
  <c r="B225" i="1"/>
  <c r="C225" i="1"/>
  <c r="D225" i="1"/>
  <c r="E225" i="1"/>
  <c r="F225" i="1"/>
  <c r="H225" i="1"/>
  <c r="J225" i="1"/>
  <c r="K225" i="1"/>
  <c r="L225" i="1"/>
  <c r="G163" i="4"/>
  <c r="H163" i="4"/>
  <c r="H164" i="4"/>
  <c r="B163" i="4"/>
  <c r="A216" i="3" a="1"/>
  <c r="A216" i="3"/>
  <c r="B216" i="3"/>
  <c r="C216" i="3"/>
  <c r="D216" i="3"/>
  <c r="E216" i="3"/>
  <c r="F216" i="3"/>
  <c r="H216" i="3"/>
  <c r="J216" i="3"/>
  <c r="K216" i="3"/>
  <c r="L216" i="3"/>
  <c r="A216" i="2" a="1"/>
  <c r="A216" i="2"/>
  <c r="B216" i="2"/>
  <c r="C216" i="2"/>
  <c r="D216" i="2"/>
  <c r="E216" i="2"/>
  <c r="F216" i="2"/>
  <c r="H216" i="2"/>
  <c r="J216" i="2"/>
  <c r="K216" i="2"/>
  <c r="L216" i="2"/>
  <c r="A224" i="1" a="1"/>
  <c r="A224" i="1"/>
  <c r="B224" i="1"/>
  <c r="D224" i="1"/>
  <c r="E224" i="1"/>
  <c r="H224" i="1"/>
  <c r="J224" i="1"/>
  <c r="K224" i="1"/>
  <c r="F164" i="4"/>
  <c r="D164" i="4"/>
  <c r="L224" i="1"/>
  <c r="F224" i="1"/>
  <c r="C224" i="1"/>
  <c r="A215" i="3" a="1"/>
  <c r="A215" i="3"/>
  <c r="B215" i="3"/>
  <c r="C215" i="3"/>
  <c r="D215" i="3"/>
  <c r="E215" i="3"/>
  <c r="F215" i="3"/>
  <c r="H215" i="3"/>
  <c r="J215" i="3"/>
  <c r="K215" i="3"/>
  <c r="L215" i="3"/>
  <c r="A215" i="2" a="1"/>
  <c r="A215" i="2"/>
  <c r="B215" i="2"/>
  <c r="C215" i="2"/>
  <c r="D215" i="2"/>
  <c r="E215" i="2"/>
  <c r="F215" i="2"/>
  <c r="H215" i="2"/>
  <c r="J215" i="2"/>
  <c r="K215" i="2"/>
  <c r="L215" i="2"/>
  <c r="A223" i="1" a="1"/>
  <c r="A223" i="1"/>
  <c r="B223" i="1"/>
  <c r="C223" i="1"/>
  <c r="D223" i="1"/>
  <c r="E223" i="1"/>
  <c r="F223" i="1"/>
  <c r="H223" i="1"/>
  <c r="J223" i="1"/>
  <c r="K223" i="1"/>
  <c r="L223" i="1"/>
  <c r="F163" i="4"/>
  <c r="D163" i="4"/>
  <c r="G161" i="4"/>
  <c r="H162" i="4"/>
  <c r="H161" i="4"/>
  <c r="B161" i="4"/>
  <c r="A214" i="3" a="1"/>
  <c r="A214" i="3"/>
  <c r="B214" i="3"/>
  <c r="C214" i="3"/>
  <c r="D214" i="3"/>
  <c r="E214" i="3"/>
  <c r="F214" i="3"/>
  <c r="H214" i="3"/>
  <c r="J214" i="3"/>
  <c r="K214" i="3"/>
  <c r="L214" i="3"/>
  <c r="A214" i="2" a="1"/>
  <c r="A214" i="2"/>
  <c r="B214" i="2"/>
  <c r="C214" i="2"/>
  <c r="D214" i="2"/>
  <c r="E214" i="2"/>
  <c r="F214" i="2"/>
  <c r="H214" i="2"/>
  <c r="J214" i="2"/>
  <c r="K214" i="2"/>
  <c r="L214" i="2"/>
  <c r="A222" i="1" a="1"/>
  <c r="A222" i="1"/>
  <c r="B222" i="1"/>
  <c r="C222" i="1"/>
  <c r="F222" i="1"/>
  <c r="H222" i="1"/>
  <c r="J222" i="1"/>
  <c r="K222" i="1"/>
  <c r="L222" i="1"/>
  <c r="D162" i="4"/>
  <c r="F162" i="4"/>
  <c r="D161" i="4"/>
  <c r="F161" i="4"/>
  <c r="D222" i="1"/>
  <c r="E222" i="1"/>
  <c r="K73" i="4"/>
  <c r="J73" i="4"/>
  <c r="K72" i="4"/>
  <c r="J72" i="4"/>
  <c r="K71" i="4"/>
  <c r="J71" i="4"/>
  <c r="U119" i="4"/>
  <c r="U71" i="4"/>
  <c r="E210" i="2"/>
  <c r="E211" i="2"/>
  <c r="J210" i="2"/>
  <c r="K210" i="2"/>
  <c r="L210" i="2"/>
  <c r="J211" i="2"/>
  <c r="K211" i="2"/>
  <c r="L211" i="2"/>
  <c r="J210" i="3"/>
  <c r="K210" i="3"/>
  <c r="L210" i="3"/>
  <c r="J211" i="3"/>
  <c r="K211" i="3"/>
  <c r="L211" i="3"/>
  <c r="E212" i="3"/>
  <c r="B213" i="3"/>
  <c r="C213" i="3"/>
  <c r="D213" i="3"/>
  <c r="E213" i="3"/>
  <c r="F213" i="3"/>
  <c r="H213" i="3"/>
  <c r="J213" i="3"/>
  <c r="K213" i="3"/>
  <c r="L213" i="3"/>
  <c r="B213" i="2"/>
  <c r="C213" i="2"/>
  <c r="D213" i="2"/>
  <c r="E213" i="2"/>
  <c r="F213" i="2"/>
  <c r="H213" i="2"/>
  <c r="J213" i="2"/>
  <c r="K213" i="2"/>
  <c r="L213" i="2"/>
  <c r="A221" i="1" a="1"/>
  <c r="A221" i="1"/>
  <c r="B221" i="1"/>
  <c r="C221" i="1"/>
  <c r="D221" i="1"/>
  <c r="E221" i="1"/>
  <c r="F221" i="1"/>
  <c r="H221" i="1"/>
  <c r="J221" i="1"/>
  <c r="K221" i="1"/>
  <c r="L221" i="1"/>
  <c r="B159" i="4"/>
  <c r="G159" i="4"/>
  <c r="J159" i="4"/>
  <c r="K159" i="4"/>
  <c r="B212" i="3"/>
  <c r="C212" i="3"/>
  <c r="D212" i="3"/>
  <c r="F212" i="3"/>
  <c r="H212" i="3"/>
  <c r="J212" i="3"/>
  <c r="K212" i="3"/>
  <c r="L212" i="3"/>
  <c r="B212" i="2"/>
  <c r="C212" i="2"/>
  <c r="D212" i="2"/>
  <c r="E212" i="2"/>
  <c r="F212" i="2"/>
  <c r="H212" i="2"/>
  <c r="J212" i="2"/>
  <c r="K212" i="2"/>
  <c r="L212" i="2"/>
  <c r="A220" i="1" a="1"/>
  <c r="A220" i="1"/>
  <c r="B220" i="1"/>
  <c r="L220" i="1"/>
  <c r="C220" i="1"/>
  <c r="D220" i="1"/>
  <c r="E220" i="1"/>
  <c r="F220" i="1"/>
  <c r="H220" i="1"/>
  <c r="J220" i="1"/>
  <c r="K220" i="1"/>
  <c r="H160" i="4"/>
  <c r="D160" i="4"/>
  <c r="F160" i="4"/>
  <c r="I157" i="4"/>
  <c r="J157" i="4"/>
  <c r="B158" i="4"/>
  <c r="G158" i="4"/>
  <c r="H159" i="4"/>
  <c r="J158" i="4"/>
  <c r="K158" i="4"/>
  <c r="B211" i="3"/>
  <c r="C211" i="3"/>
  <c r="D211" i="3"/>
  <c r="F211" i="3"/>
  <c r="H211" i="3"/>
  <c r="E211" i="3"/>
  <c r="B211" i="2"/>
  <c r="C211" i="2"/>
  <c r="D211" i="2"/>
  <c r="F211" i="2"/>
  <c r="H211" i="2"/>
  <c r="A219" i="1" a="1"/>
  <c r="A219" i="1"/>
  <c r="B219" i="1"/>
  <c r="C219" i="1"/>
  <c r="D219" i="1"/>
  <c r="E219" i="1"/>
  <c r="F219" i="1"/>
  <c r="H219" i="1"/>
  <c r="J219" i="1"/>
  <c r="K219" i="1"/>
  <c r="L219" i="1"/>
  <c r="F159" i="4"/>
  <c r="L159" i="4"/>
  <c r="D159" i="4"/>
  <c r="E159" i="4"/>
  <c r="B157" i="4"/>
  <c r="G157" i="4"/>
  <c r="K157" i="4"/>
  <c r="B210" i="3"/>
  <c r="C210" i="3"/>
  <c r="D210" i="3"/>
  <c r="F210" i="3"/>
  <c r="H210" i="3"/>
  <c r="E210" i="3"/>
  <c r="B210" i="2"/>
  <c r="C210" i="2"/>
  <c r="D210" i="2"/>
  <c r="F210" i="2"/>
  <c r="H210" i="2"/>
  <c r="A218" i="1" a="1"/>
  <c r="A218" i="1"/>
  <c r="B218" i="1"/>
  <c r="C218" i="1"/>
  <c r="D218" i="1"/>
  <c r="E218" i="1"/>
  <c r="F218" i="1"/>
  <c r="H218" i="1"/>
  <c r="J218" i="1"/>
  <c r="K218" i="1"/>
  <c r="L218" i="1"/>
  <c r="F158" i="4"/>
  <c r="D158" i="4"/>
  <c r="E158" i="4"/>
  <c r="L158" i="4"/>
  <c r="H158" i="4"/>
  <c r="A210" i="2" a="1"/>
  <c r="A210" i="2"/>
  <c r="A211" i="2" a="1"/>
  <c r="A211" i="2"/>
  <c r="A212" i="2" a="1"/>
  <c r="A212" i="2"/>
  <c r="A213" i="2" a="1"/>
  <c r="A213" i="2"/>
  <c r="A210" i="3" a="1"/>
  <c r="A210" i="3"/>
  <c r="A211" i="3" a="1"/>
  <c r="A211" i="3"/>
  <c r="A212" i="3" a="1"/>
  <c r="A212" i="3"/>
  <c r="A213" i="3" a="1"/>
  <c r="A213" i="3"/>
  <c r="B156" i="4"/>
  <c r="D157" i="4"/>
  <c r="E157" i="4"/>
  <c r="G156" i="4"/>
  <c r="J156" i="4"/>
  <c r="K156" i="4"/>
  <c r="A209" i="3" a="1"/>
  <c r="A209" i="3"/>
  <c r="B209" i="3"/>
  <c r="C209" i="3"/>
  <c r="D209" i="3"/>
  <c r="E209" i="3"/>
  <c r="F209" i="3"/>
  <c r="H209" i="3"/>
  <c r="J209" i="3"/>
  <c r="K209" i="3"/>
  <c r="L209" i="3"/>
  <c r="A209" i="2" a="1"/>
  <c r="A209" i="2"/>
  <c r="B209" i="2"/>
  <c r="C209" i="2"/>
  <c r="D209" i="2"/>
  <c r="E209" i="2"/>
  <c r="F209" i="2"/>
  <c r="H209" i="2"/>
  <c r="J209" i="2"/>
  <c r="K209" i="2"/>
  <c r="L209" i="2"/>
  <c r="A217" i="1" a="1"/>
  <c r="A217" i="1"/>
  <c r="B217" i="1"/>
  <c r="C217" i="1"/>
  <c r="D217" i="1"/>
  <c r="E217" i="1"/>
  <c r="F217" i="1"/>
  <c r="H217" i="1"/>
  <c r="J217" i="1"/>
  <c r="K217" i="1"/>
  <c r="L217" i="1"/>
  <c r="H156" i="4"/>
  <c r="F157" i="4"/>
  <c r="L157" i="4"/>
  <c r="H157" i="4"/>
  <c r="B155" i="4"/>
  <c r="F156" i="4"/>
  <c r="G155" i="4"/>
  <c r="J155" i="4"/>
  <c r="K155" i="4"/>
  <c r="A208" i="3" a="1"/>
  <c r="A208" i="3"/>
  <c r="B208" i="3"/>
  <c r="C208" i="3"/>
  <c r="F208" i="3"/>
  <c r="H208" i="3"/>
  <c r="J208" i="3"/>
  <c r="K208" i="3"/>
  <c r="L208" i="3"/>
  <c r="A208" i="2" a="1"/>
  <c r="A208" i="2"/>
  <c r="B208" i="2"/>
  <c r="C208" i="2"/>
  <c r="D208" i="2"/>
  <c r="E208" i="2"/>
  <c r="F208" i="2"/>
  <c r="H208" i="2"/>
  <c r="J208" i="2"/>
  <c r="K208" i="2"/>
  <c r="L208" i="2"/>
  <c r="A216" i="1" a="1"/>
  <c r="A216" i="1"/>
  <c r="B216" i="1"/>
  <c r="C216" i="1"/>
  <c r="H216" i="1"/>
  <c r="J216" i="1"/>
  <c r="K216" i="1"/>
  <c r="L156" i="4"/>
  <c r="D156" i="4"/>
  <c r="E156" i="4"/>
  <c r="D208" i="3"/>
  <c r="E208" i="3"/>
  <c r="L216" i="1"/>
  <c r="F216" i="1"/>
  <c r="D216" i="1"/>
  <c r="E216" i="1"/>
  <c r="B154" i="4"/>
  <c r="G154" i="4"/>
  <c r="H155" i="4"/>
  <c r="J154" i="4"/>
  <c r="K154" i="4"/>
  <c r="A207" i="3" a="1"/>
  <c r="A207" i="3"/>
  <c r="B207" i="3"/>
  <c r="C207" i="3"/>
  <c r="D207" i="3"/>
  <c r="E207" i="3"/>
  <c r="F207" i="3"/>
  <c r="H207" i="3"/>
  <c r="J207" i="3"/>
  <c r="K207" i="3"/>
  <c r="L207" i="3"/>
  <c r="A207" i="2" a="1"/>
  <c r="A207" i="2"/>
  <c r="B207" i="2"/>
  <c r="C207" i="2"/>
  <c r="D207" i="2"/>
  <c r="E207" i="2"/>
  <c r="F207" i="2"/>
  <c r="H207" i="2"/>
  <c r="J207" i="2"/>
  <c r="K207" i="2"/>
  <c r="L207" i="2"/>
  <c r="A215" i="1" a="1"/>
  <c r="A215" i="1"/>
  <c r="B215" i="1"/>
  <c r="C215" i="1"/>
  <c r="D215" i="1"/>
  <c r="E215" i="1"/>
  <c r="F215" i="1"/>
  <c r="H215" i="1"/>
  <c r="J215" i="1"/>
  <c r="K215" i="1"/>
  <c r="L215" i="1"/>
  <c r="F155" i="4"/>
  <c r="L155" i="4"/>
  <c r="D155" i="4"/>
  <c r="E155" i="4"/>
  <c r="G153" i="4"/>
  <c r="H154" i="4"/>
  <c r="J153" i="4"/>
  <c r="K153" i="4"/>
  <c r="A206" i="3" a="1"/>
  <c r="A206" i="3"/>
  <c r="B206" i="3"/>
  <c r="C206" i="3"/>
  <c r="D206" i="3"/>
  <c r="E206" i="3"/>
  <c r="F206" i="3"/>
  <c r="H206" i="3"/>
  <c r="J206" i="3"/>
  <c r="K206" i="3"/>
  <c r="L206" i="3"/>
  <c r="A206" i="2" a="1"/>
  <c r="A206" i="2"/>
  <c r="B206" i="2"/>
  <c r="C206" i="2"/>
  <c r="D206" i="2"/>
  <c r="E206" i="2"/>
  <c r="F206" i="2"/>
  <c r="H206" i="2"/>
  <c r="J206" i="2"/>
  <c r="K206" i="2"/>
  <c r="L206" i="2"/>
  <c r="A214" i="1" a="1"/>
  <c r="A214" i="1"/>
  <c r="B214" i="1"/>
  <c r="C214" i="1"/>
  <c r="D214" i="1"/>
  <c r="E214" i="1"/>
  <c r="F214" i="1"/>
  <c r="H214" i="1"/>
  <c r="J214" i="1"/>
  <c r="K214" i="1"/>
  <c r="L214" i="1"/>
  <c r="B153" i="4"/>
  <c r="G152" i="4"/>
  <c r="H153" i="4"/>
  <c r="J152" i="4"/>
  <c r="K152" i="4"/>
  <c r="A205" i="3" a="1"/>
  <c r="A205" i="3"/>
  <c r="B205" i="3"/>
  <c r="C205" i="3"/>
  <c r="D205" i="3"/>
  <c r="E205" i="3"/>
  <c r="F205" i="3"/>
  <c r="H205" i="3"/>
  <c r="J205" i="3"/>
  <c r="K205" i="3"/>
  <c r="L205" i="3"/>
  <c r="A205" i="2" a="1"/>
  <c r="A205" i="2"/>
  <c r="B205" i="2"/>
  <c r="C205" i="2"/>
  <c r="H205" i="2"/>
  <c r="J205" i="2"/>
  <c r="K205" i="2"/>
  <c r="L205" i="2"/>
  <c r="A213" i="1" a="1"/>
  <c r="A213" i="1"/>
  <c r="B213" i="1"/>
  <c r="C213" i="1"/>
  <c r="D213" i="1"/>
  <c r="E213" i="1"/>
  <c r="F213" i="1"/>
  <c r="H213" i="1"/>
  <c r="J213" i="1"/>
  <c r="K213" i="1"/>
  <c r="L213" i="1"/>
  <c r="B152" i="4"/>
  <c r="F154" i="4"/>
  <c r="D154" i="4"/>
  <c r="E154" i="4"/>
  <c r="L153" i="4"/>
  <c r="D153" i="4"/>
  <c r="E153" i="4"/>
  <c r="L154" i="4"/>
  <c r="F205" i="2"/>
  <c r="D205" i="2"/>
  <c r="E205" i="2"/>
  <c r="B151" i="4"/>
  <c r="G151" i="4"/>
  <c r="H152" i="4"/>
  <c r="J151" i="4"/>
  <c r="K151" i="4"/>
  <c r="A204" i="3" a="1"/>
  <c r="A204" i="3"/>
  <c r="B204" i="3"/>
  <c r="D204" i="3"/>
  <c r="E204" i="3"/>
  <c r="F204" i="3"/>
  <c r="H204" i="3"/>
  <c r="J204" i="3"/>
  <c r="K204" i="3"/>
  <c r="A204" i="2" a="1"/>
  <c r="A204" i="2"/>
  <c r="B204" i="2"/>
  <c r="C204" i="2"/>
  <c r="H204" i="2"/>
  <c r="J204" i="2"/>
  <c r="K204" i="2"/>
  <c r="L204" i="2"/>
  <c r="A212" i="1" a="1"/>
  <c r="A212" i="1"/>
  <c r="B212" i="1"/>
  <c r="C212" i="1"/>
  <c r="H212" i="1"/>
  <c r="J212" i="1"/>
  <c r="K212" i="1"/>
  <c r="F152" i="4"/>
  <c r="D152" i="4"/>
  <c r="E152" i="4"/>
  <c r="L152" i="4"/>
  <c r="F153" i="4"/>
  <c r="L204" i="3"/>
  <c r="C204" i="3"/>
  <c r="F204" i="2"/>
  <c r="D204" i="2"/>
  <c r="E204" i="2"/>
  <c r="L212" i="1"/>
  <c r="D212" i="1"/>
  <c r="E212" i="1"/>
  <c r="F212" i="1"/>
  <c r="G150" i="4"/>
  <c r="B150" i="4"/>
  <c r="J150" i="4"/>
  <c r="K150" i="4"/>
  <c r="A203" i="3" a="1"/>
  <c r="A203" i="3"/>
  <c r="B203" i="3"/>
  <c r="C203" i="3"/>
  <c r="D203" i="3"/>
  <c r="E203" i="3"/>
  <c r="F203" i="3"/>
  <c r="H203" i="3"/>
  <c r="J203" i="3"/>
  <c r="K203" i="3"/>
  <c r="L203" i="3"/>
  <c r="A203" i="2" a="1"/>
  <c r="A203" i="2"/>
  <c r="B203" i="2"/>
  <c r="F203" i="2"/>
  <c r="C203" i="2"/>
  <c r="D203" i="2"/>
  <c r="E203" i="2"/>
  <c r="H203" i="2"/>
  <c r="J203" i="2"/>
  <c r="K203" i="2"/>
  <c r="L203" i="2"/>
  <c r="A211" i="1" a="1"/>
  <c r="A211" i="1"/>
  <c r="B211" i="1"/>
  <c r="C211" i="1"/>
  <c r="D211" i="1"/>
  <c r="E211" i="1"/>
  <c r="F211" i="1"/>
  <c r="H211" i="1"/>
  <c r="J211" i="1"/>
  <c r="K211" i="1"/>
  <c r="L211" i="1"/>
  <c r="F151" i="4"/>
  <c r="D151" i="4"/>
  <c r="E151" i="4"/>
  <c r="L151" i="4"/>
  <c r="H151" i="4"/>
  <c r="G149" i="4"/>
  <c r="H150" i="4"/>
  <c r="J149" i="4"/>
  <c r="K149" i="4"/>
  <c r="A202" i="3" a="1"/>
  <c r="A202" i="3"/>
  <c r="B202" i="3"/>
  <c r="C202" i="3"/>
  <c r="D202" i="3"/>
  <c r="E202" i="3"/>
  <c r="F202" i="3"/>
  <c r="H202" i="3"/>
  <c r="J202" i="3"/>
  <c r="K202" i="3"/>
  <c r="L202" i="3"/>
  <c r="A202" i="2" a="1"/>
  <c r="A202" i="2"/>
  <c r="B202" i="2"/>
  <c r="C202" i="2"/>
  <c r="F202" i="2"/>
  <c r="H202" i="2"/>
  <c r="J202" i="2"/>
  <c r="K202" i="2"/>
  <c r="L202" i="2"/>
  <c r="A210" i="1" a="1"/>
  <c r="A210" i="1"/>
  <c r="B210" i="1"/>
  <c r="C210" i="1"/>
  <c r="D210" i="1"/>
  <c r="E210" i="1"/>
  <c r="F210" i="1"/>
  <c r="H210" i="1"/>
  <c r="J210" i="1"/>
  <c r="K210" i="1"/>
  <c r="L210" i="1"/>
  <c r="B149" i="4"/>
  <c r="H149" i="4"/>
  <c r="D202" i="2"/>
  <c r="E202" i="2"/>
  <c r="B148" i="4"/>
  <c r="G148" i="4"/>
  <c r="J148" i="4"/>
  <c r="K148" i="4"/>
  <c r="A201" i="3" a="1"/>
  <c r="A201" i="3"/>
  <c r="B201" i="3"/>
  <c r="D201" i="3"/>
  <c r="E201" i="3"/>
  <c r="C201" i="3"/>
  <c r="F201" i="3"/>
  <c r="H201" i="3"/>
  <c r="J201" i="3"/>
  <c r="K201" i="3"/>
  <c r="L201" i="3"/>
  <c r="A201" i="2" a="1"/>
  <c r="A201" i="2"/>
  <c r="B201" i="2"/>
  <c r="C201" i="2"/>
  <c r="D201" i="2"/>
  <c r="E201" i="2"/>
  <c r="F201" i="2"/>
  <c r="H201" i="2"/>
  <c r="J201" i="2"/>
  <c r="K201" i="2"/>
  <c r="L201" i="2"/>
  <c r="A209" i="1" a="1"/>
  <c r="A209" i="1"/>
  <c r="B209" i="1"/>
  <c r="C209" i="1"/>
  <c r="D209" i="1"/>
  <c r="E209" i="1"/>
  <c r="F209" i="1"/>
  <c r="H209" i="1"/>
  <c r="J209" i="1"/>
  <c r="K209" i="1"/>
  <c r="L209" i="1"/>
  <c r="D150" i="4"/>
  <c r="E150" i="4"/>
  <c r="F149" i="4"/>
  <c r="L150" i="4"/>
  <c r="L149" i="4"/>
  <c r="F150" i="4"/>
  <c r="D149" i="4"/>
  <c r="E149" i="4"/>
  <c r="B147" i="4"/>
  <c r="G147" i="4"/>
  <c r="J147" i="4"/>
  <c r="K147" i="4"/>
  <c r="A200" i="3" a="1"/>
  <c r="A200" i="3"/>
  <c r="B200" i="3"/>
  <c r="C200" i="3"/>
  <c r="F200" i="3"/>
  <c r="H200" i="3"/>
  <c r="J200" i="3"/>
  <c r="K200" i="3"/>
  <c r="L200" i="3"/>
  <c r="A200" i="2" a="1"/>
  <c r="A200" i="2"/>
  <c r="B200" i="2"/>
  <c r="C200" i="2"/>
  <c r="D200" i="2"/>
  <c r="E200" i="2"/>
  <c r="F200" i="2"/>
  <c r="H200" i="2"/>
  <c r="J200" i="2"/>
  <c r="K200" i="2"/>
  <c r="L200" i="2"/>
  <c r="A208" i="1" a="1"/>
  <c r="A208" i="1"/>
  <c r="B208" i="1"/>
  <c r="C208" i="1"/>
  <c r="D208" i="1"/>
  <c r="E208" i="1"/>
  <c r="F208" i="1"/>
  <c r="H208" i="1"/>
  <c r="J208" i="1"/>
  <c r="K208" i="1"/>
  <c r="L208" i="1"/>
  <c r="L148" i="4"/>
  <c r="D148" i="4"/>
  <c r="E148" i="4"/>
  <c r="F148" i="4"/>
  <c r="H148" i="4"/>
  <c r="D200" i="3"/>
  <c r="E200" i="3"/>
  <c r="G146" i="4"/>
  <c r="H147" i="4"/>
  <c r="J146" i="4"/>
  <c r="K146" i="4"/>
  <c r="A199" i="3" a="1"/>
  <c r="A199" i="3"/>
  <c r="B199" i="3"/>
  <c r="L199" i="3"/>
  <c r="C199" i="3"/>
  <c r="D199" i="3"/>
  <c r="E199" i="3"/>
  <c r="F199" i="3"/>
  <c r="H199" i="3"/>
  <c r="J199" i="3"/>
  <c r="K199" i="3"/>
  <c r="A199" i="2" a="1"/>
  <c r="A199" i="2"/>
  <c r="B199" i="2"/>
  <c r="C199" i="2"/>
  <c r="F199" i="2"/>
  <c r="H199" i="2"/>
  <c r="J199" i="2"/>
  <c r="K199" i="2"/>
  <c r="L199" i="2"/>
  <c r="A207" i="1" a="1"/>
  <c r="A207" i="1"/>
  <c r="B207" i="1"/>
  <c r="C207" i="1"/>
  <c r="D207" i="1"/>
  <c r="E207" i="1"/>
  <c r="F207" i="1"/>
  <c r="H207" i="1"/>
  <c r="J207" i="1"/>
  <c r="K207" i="1"/>
  <c r="L207" i="1"/>
  <c r="B146" i="4"/>
  <c r="D199" i="2"/>
  <c r="E199" i="2"/>
  <c r="G145" i="4"/>
  <c r="H146" i="4"/>
  <c r="J145" i="4"/>
  <c r="K145" i="4"/>
  <c r="A198" i="3" a="1"/>
  <c r="A198" i="3"/>
  <c r="B198" i="3"/>
  <c r="C198" i="3"/>
  <c r="D198" i="3"/>
  <c r="E198" i="3"/>
  <c r="F198" i="3"/>
  <c r="H198" i="3"/>
  <c r="J198" i="3"/>
  <c r="K198" i="3"/>
  <c r="L198" i="3"/>
  <c r="A198" i="2" a="1"/>
  <c r="A198" i="2"/>
  <c r="B198" i="2"/>
  <c r="C198" i="2"/>
  <c r="D198" i="2"/>
  <c r="E198" i="2"/>
  <c r="F198" i="2"/>
  <c r="H198" i="2"/>
  <c r="J198" i="2"/>
  <c r="K198" i="2"/>
  <c r="L198" i="2"/>
  <c r="A206" i="1" a="1"/>
  <c r="A206" i="1"/>
  <c r="B206" i="1"/>
  <c r="C206" i="1"/>
  <c r="H206" i="1"/>
  <c r="J206" i="1"/>
  <c r="K206" i="1"/>
  <c r="F147" i="4"/>
  <c r="D147" i="4"/>
  <c r="E147" i="4"/>
  <c r="L147" i="4"/>
  <c r="B145" i="4"/>
  <c r="L206" i="1"/>
  <c r="F206" i="1"/>
  <c r="D206" i="1"/>
  <c r="E206" i="1"/>
  <c r="G144" i="4"/>
  <c r="H145" i="4"/>
  <c r="J144" i="4"/>
  <c r="K144" i="4"/>
  <c r="A197" i="3" a="1"/>
  <c r="A197" i="3"/>
  <c r="B197" i="3"/>
  <c r="C197" i="3"/>
  <c r="H197" i="3"/>
  <c r="J197" i="3"/>
  <c r="K197" i="3"/>
  <c r="L197" i="3"/>
  <c r="A197" i="2" a="1"/>
  <c r="A197" i="2"/>
  <c r="B197" i="2"/>
  <c r="C197" i="2"/>
  <c r="H197" i="2"/>
  <c r="J197" i="2"/>
  <c r="K197" i="2"/>
  <c r="A205" i="1" a="1"/>
  <c r="A205" i="1"/>
  <c r="B205" i="1"/>
  <c r="C205" i="1"/>
  <c r="F205" i="1"/>
  <c r="H205" i="1"/>
  <c r="J205" i="1"/>
  <c r="K205" i="1"/>
  <c r="L205" i="1"/>
  <c r="D145" i="4"/>
  <c r="E145" i="4"/>
  <c r="F145" i="4"/>
  <c r="F146" i="4"/>
  <c r="D146" i="4"/>
  <c r="E146" i="4"/>
  <c r="L145" i="4"/>
  <c r="L146" i="4"/>
  <c r="B144" i="4"/>
  <c r="F197" i="3"/>
  <c r="D197" i="3"/>
  <c r="E197" i="3"/>
  <c r="D197" i="2"/>
  <c r="E197" i="2"/>
  <c r="L197" i="2"/>
  <c r="F197" i="2"/>
  <c r="D205" i="1"/>
  <c r="E205" i="1"/>
  <c r="G143" i="4"/>
  <c r="H144" i="4"/>
  <c r="J143" i="4"/>
  <c r="K143" i="4"/>
  <c r="A196" i="3" a="1"/>
  <c r="A196" i="3"/>
  <c r="B196" i="3"/>
  <c r="C196" i="3"/>
  <c r="D196" i="3"/>
  <c r="E196" i="3"/>
  <c r="F196" i="3"/>
  <c r="H196" i="3"/>
  <c r="J196" i="3"/>
  <c r="K196" i="3"/>
  <c r="L196" i="3"/>
  <c r="A196" i="2" a="1"/>
  <c r="A196" i="2"/>
  <c r="B196" i="2"/>
  <c r="C196" i="2"/>
  <c r="D196" i="2"/>
  <c r="E196" i="2"/>
  <c r="F196" i="2"/>
  <c r="H196" i="2"/>
  <c r="J196" i="2"/>
  <c r="K196" i="2"/>
  <c r="L196" i="2"/>
  <c r="A204" i="1" a="1"/>
  <c r="A204" i="1"/>
  <c r="B204" i="1"/>
  <c r="C204" i="1"/>
  <c r="D204" i="1"/>
  <c r="E204" i="1"/>
  <c r="F204" i="1"/>
  <c r="H204" i="1"/>
  <c r="J204" i="1"/>
  <c r="K204" i="1"/>
  <c r="L204" i="1"/>
  <c r="B143" i="4"/>
  <c r="F144" i="4"/>
  <c r="L144" i="4"/>
  <c r="G142" i="4"/>
  <c r="H143" i="4"/>
  <c r="J142" i="4"/>
  <c r="K142" i="4"/>
  <c r="A195" i="3" a="1"/>
  <c r="A195" i="3"/>
  <c r="B195" i="3"/>
  <c r="C195" i="3"/>
  <c r="D195" i="3"/>
  <c r="E195" i="3"/>
  <c r="F195" i="3"/>
  <c r="H195" i="3"/>
  <c r="J195" i="3"/>
  <c r="K195" i="3"/>
  <c r="L195" i="3"/>
  <c r="A195" i="2" a="1"/>
  <c r="A195" i="2"/>
  <c r="B195" i="2"/>
  <c r="C195" i="2"/>
  <c r="D195" i="2"/>
  <c r="E195" i="2"/>
  <c r="F195" i="2"/>
  <c r="H195" i="2"/>
  <c r="J195" i="2"/>
  <c r="K195" i="2"/>
  <c r="L195" i="2"/>
  <c r="A203" i="1" a="1"/>
  <c r="A203" i="1"/>
  <c r="B203" i="1"/>
  <c r="C203" i="1"/>
  <c r="D203" i="1"/>
  <c r="E203" i="1"/>
  <c r="F203" i="1"/>
  <c r="H203" i="1"/>
  <c r="J203" i="1"/>
  <c r="K203" i="1"/>
  <c r="D144" i="4"/>
  <c r="E144" i="4"/>
  <c r="B142" i="4"/>
  <c r="L143" i="4"/>
  <c r="L203" i="1"/>
  <c r="G141" i="4"/>
  <c r="H142" i="4"/>
  <c r="J141" i="4"/>
  <c r="K141" i="4"/>
  <c r="A194" i="3" a="1"/>
  <c r="A194" i="3"/>
  <c r="B194" i="3"/>
  <c r="C194" i="3"/>
  <c r="D194" i="3"/>
  <c r="E194" i="3"/>
  <c r="F194" i="3"/>
  <c r="H194" i="3"/>
  <c r="J194" i="3"/>
  <c r="K194" i="3"/>
  <c r="L194" i="3"/>
  <c r="A194" i="2" a="1"/>
  <c r="A194" i="2"/>
  <c r="B194" i="2"/>
  <c r="C194" i="2"/>
  <c r="D194" i="2"/>
  <c r="E194" i="2"/>
  <c r="F194" i="2"/>
  <c r="H194" i="2"/>
  <c r="J194" i="2"/>
  <c r="K194" i="2"/>
  <c r="L194" i="2"/>
  <c r="A202" i="1" a="1"/>
  <c r="A202" i="1"/>
  <c r="B202" i="1"/>
  <c r="C202" i="1"/>
  <c r="D202" i="1"/>
  <c r="E202" i="1"/>
  <c r="F202" i="1"/>
  <c r="H202" i="1"/>
  <c r="J202" i="1"/>
  <c r="K202" i="1"/>
  <c r="L202" i="1"/>
  <c r="B141" i="4"/>
  <c r="L142" i="4"/>
  <c r="F143" i="4"/>
  <c r="D143" i="4"/>
  <c r="E143" i="4"/>
  <c r="G140" i="4"/>
  <c r="H141" i="4"/>
  <c r="J140" i="4"/>
  <c r="K140" i="4"/>
  <c r="A193" i="3" a="1"/>
  <c r="A193" i="3"/>
  <c r="B193" i="3"/>
  <c r="D193" i="3"/>
  <c r="E193" i="3"/>
  <c r="H193" i="3"/>
  <c r="J193" i="3"/>
  <c r="K193" i="3"/>
  <c r="A193" i="2" a="1"/>
  <c r="A193" i="2"/>
  <c r="B193" i="2"/>
  <c r="C193" i="2"/>
  <c r="D193" i="2"/>
  <c r="E193" i="2"/>
  <c r="F193" i="2"/>
  <c r="H193" i="2"/>
  <c r="J193" i="2"/>
  <c r="K193" i="2"/>
  <c r="L193" i="2"/>
  <c r="A201" i="1" a="1"/>
  <c r="A201" i="1"/>
  <c r="B201" i="1"/>
  <c r="C201" i="1"/>
  <c r="D201" i="1"/>
  <c r="E201" i="1"/>
  <c r="H201" i="1"/>
  <c r="J201" i="1"/>
  <c r="K201" i="1"/>
  <c r="L201" i="1"/>
  <c r="B140" i="4"/>
  <c r="F142" i="4"/>
  <c r="D142" i="4"/>
  <c r="E142" i="4"/>
  <c r="L193" i="3"/>
  <c r="F193" i="3"/>
  <c r="C193" i="3"/>
  <c r="F201" i="1"/>
  <c r="G139" i="4"/>
  <c r="J139" i="4"/>
  <c r="K139" i="4"/>
  <c r="A192" i="3" a="1"/>
  <c r="A192" i="3"/>
  <c r="B192" i="3"/>
  <c r="C192" i="3"/>
  <c r="D192" i="3"/>
  <c r="E192" i="3"/>
  <c r="F192" i="3"/>
  <c r="H192" i="3"/>
  <c r="J192" i="3"/>
  <c r="K192" i="3"/>
  <c r="L192" i="3"/>
  <c r="A192" i="2" a="1"/>
  <c r="A192" i="2"/>
  <c r="B192" i="2"/>
  <c r="C192" i="2"/>
  <c r="D192" i="2"/>
  <c r="E192" i="2"/>
  <c r="F192" i="2"/>
  <c r="H192" i="2"/>
  <c r="J192" i="2"/>
  <c r="K192" i="2"/>
  <c r="L192" i="2"/>
  <c r="A200" i="1" a="1"/>
  <c r="A200" i="1"/>
  <c r="B200" i="1"/>
  <c r="C200" i="1"/>
  <c r="D200" i="1"/>
  <c r="E200" i="1"/>
  <c r="F200" i="1"/>
  <c r="H200" i="1"/>
  <c r="J200" i="1"/>
  <c r="K200" i="1"/>
  <c r="L200" i="1"/>
  <c r="F140" i="4"/>
  <c r="L140" i="4"/>
  <c r="H140" i="4"/>
  <c r="B139" i="4"/>
  <c r="F141" i="4"/>
  <c r="D141" i="4"/>
  <c r="E141" i="4"/>
  <c r="D140" i="4"/>
  <c r="E140" i="4"/>
  <c r="L141" i="4"/>
  <c r="G138" i="4"/>
  <c r="J138" i="4"/>
  <c r="K138" i="4"/>
  <c r="A191" i="3" a="1"/>
  <c r="A191" i="3"/>
  <c r="B191" i="3"/>
  <c r="L191" i="3"/>
  <c r="C191" i="3"/>
  <c r="D191" i="3"/>
  <c r="E191" i="3"/>
  <c r="F191" i="3"/>
  <c r="H191" i="3"/>
  <c r="J191" i="3"/>
  <c r="K191" i="3"/>
  <c r="A191" i="2" a="1"/>
  <c r="A191" i="2"/>
  <c r="B191" i="2"/>
  <c r="C191" i="2"/>
  <c r="F191" i="2"/>
  <c r="H191" i="2"/>
  <c r="J191" i="2"/>
  <c r="K191" i="2"/>
  <c r="L191" i="2"/>
  <c r="A199" i="1" a="1"/>
  <c r="A199" i="1"/>
  <c r="B199" i="1"/>
  <c r="C199" i="1"/>
  <c r="F199" i="1"/>
  <c r="H199" i="1"/>
  <c r="J199" i="1"/>
  <c r="K199" i="1"/>
  <c r="L199" i="1"/>
  <c r="B138" i="4"/>
  <c r="D139" i="4"/>
  <c r="E139" i="4"/>
  <c r="H139" i="4"/>
  <c r="D191" i="2"/>
  <c r="E191" i="2"/>
  <c r="D199" i="1"/>
  <c r="E199" i="1"/>
  <c r="B137" i="4"/>
  <c r="G137" i="4"/>
  <c r="H138" i="4"/>
  <c r="J137" i="4"/>
  <c r="K137" i="4"/>
  <c r="A190" i="3" a="1"/>
  <c r="A190" i="3"/>
  <c r="B190" i="3"/>
  <c r="C190" i="3"/>
  <c r="D190" i="3"/>
  <c r="E190" i="3"/>
  <c r="F190" i="3"/>
  <c r="H190" i="3"/>
  <c r="J190" i="3"/>
  <c r="K190" i="3"/>
  <c r="L190" i="3"/>
  <c r="A190" i="2" a="1"/>
  <c r="A190" i="2"/>
  <c r="B190" i="2"/>
  <c r="C190" i="2"/>
  <c r="H190" i="2"/>
  <c r="J190" i="2"/>
  <c r="K190" i="2"/>
  <c r="A198" i="1" a="1"/>
  <c r="A198" i="1"/>
  <c r="B198" i="1"/>
  <c r="C198" i="1"/>
  <c r="F198" i="1"/>
  <c r="H198" i="1"/>
  <c r="J198" i="1"/>
  <c r="K198" i="1"/>
  <c r="L198" i="1"/>
  <c r="F138" i="4"/>
  <c r="L139" i="4"/>
  <c r="L138" i="4"/>
  <c r="D138" i="4"/>
  <c r="E138" i="4"/>
  <c r="F139" i="4"/>
  <c r="L190" i="2"/>
  <c r="D190" i="2"/>
  <c r="E190" i="2"/>
  <c r="F190" i="2"/>
  <c r="D198" i="1"/>
  <c r="E198" i="1"/>
  <c r="G136" i="4"/>
  <c r="B136" i="4"/>
  <c r="J136" i="4"/>
  <c r="K136" i="4"/>
  <c r="A189" i="3" a="1"/>
  <c r="A189" i="3"/>
  <c r="B189" i="3"/>
  <c r="C189" i="3"/>
  <c r="H189" i="3"/>
  <c r="J189" i="3"/>
  <c r="K189" i="3"/>
  <c r="A189" i="2" a="1"/>
  <c r="A189" i="2"/>
  <c r="B189" i="2"/>
  <c r="C189" i="2"/>
  <c r="H189" i="2"/>
  <c r="J189" i="2"/>
  <c r="K189" i="2"/>
  <c r="A197" i="1" a="1"/>
  <c r="A197" i="1"/>
  <c r="B197" i="1"/>
  <c r="C197" i="1"/>
  <c r="F197" i="1"/>
  <c r="H197" i="1"/>
  <c r="J197" i="1"/>
  <c r="K197" i="1"/>
  <c r="L197" i="1"/>
  <c r="L137" i="4"/>
  <c r="D137" i="4"/>
  <c r="E137" i="4"/>
  <c r="F137" i="4"/>
  <c r="H137" i="4"/>
  <c r="L189" i="3"/>
  <c r="F189" i="3"/>
  <c r="D189" i="3"/>
  <c r="E189" i="3"/>
  <c r="L189" i="2"/>
  <c r="F189" i="2"/>
  <c r="D189" i="2"/>
  <c r="E189" i="2"/>
  <c r="D197" i="1"/>
  <c r="E197" i="1"/>
  <c r="G135" i="4"/>
  <c r="J135" i="4"/>
  <c r="K135" i="4"/>
  <c r="A188" i="3" a="1"/>
  <c r="A188" i="3"/>
  <c r="B188" i="3"/>
  <c r="C188" i="3"/>
  <c r="D188" i="3"/>
  <c r="E188" i="3"/>
  <c r="F188" i="3"/>
  <c r="H188" i="3"/>
  <c r="J188" i="3"/>
  <c r="K188" i="3"/>
  <c r="L188" i="3"/>
  <c r="A188" i="2" a="1"/>
  <c r="A188" i="2"/>
  <c r="B188" i="2"/>
  <c r="C188" i="2"/>
  <c r="D188" i="2"/>
  <c r="E188" i="2"/>
  <c r="F188" i="2"/>
  <c r="H188" i="2"/>
  <c r="J188" i="2"/>
  <c r="K188" i="2"/>
  <c r="L188" i="2"/>
  <c r="A196" i="1" a="1"/>
  <c r="A196" i="1"/>
  <c r="B196" i="1"/>
  <c r="C196" i="1"/>
  <c r="H196" i="1"/>
  <c r="J196" i="1"/>
  <c r="K196" i="1"/>
  <c r="H135" i="4"/>
  <c r="B135" i="4"/>
  <c r="H136" i="4"/>
  <c r="F196" i="1"/>
  <c r="D196" i="1"/>
  <c r="E196" i="1"/>
  <c r="L196" i="1"/>
  <c r="G134" i="4"/>
  <c r="J134" i="4"/>
  <c r="K134" i="4"/>
  <c r="A187" i="3" a="1"/>
  <c r="A187" i="3"/>
  <c r="B187" i="3"/>
  <c r="C187" i="3"/>
  <c r="H187" i="3"/>
  <c r="J187" i="3"/>
  <c r="K187" i="3"/>
  <c r="L187" i="3"/>
  <c r="A187" i="2" a="1"/>
  <c r="A187" i="2"/>
  <c r="B187" i="2"/>
  <c r="D187" i="2"/>
  <c r="E187" i="2"/>
  <c r="C187" i="2"/>
  <c r="F187" i="2"/>
  <c r="H187" i="2"/>
  <c r="J187" i="2"/>
  <c r="K187" i="2"/>
  <c r="L187" i="2"/>
  <c r="A195" i="1" a="1"/>
  <c r="A195" i="1"/>
  <c r="B195" i="1"/>
  <c r="C195" i="1"/>
  <c r="H195" i="1"/>
  <c r="J195" i="1"/>
  <c r="K195" i="1"/>
  <c r="F135" i="4"/>
  <c r="F136" i="4"/>
  <c r="L136" i="4"/>
  <c r="D136" i="4"/>
  <c r="E136" i="4"/>
  <c r="B134" i="4"/>
  <c r="F187" i="3"/>
  <c r="D187" i="3"/>
  <c r="E187" i="3"/>
  <c r="D195" i="1"/>
  <c r="E195" i="1"/>
  <c r="L195" i="1"/>
  <c r="F195" i="1"/>
  <c r="G133" i="4"/>
  <c r="H134" i="4"/>
  <c r="J133" i="4"/>
  <c r="K133" i="4"/>
  <c r="A186" i="3" a="1"/>
  <c r="A186" i="3"/>
  <c r="B186" i="3"/>
  <c r="C186" i="3"/>
  <c r="H186" i="3"/>
  <c r="J186" i="3"/>
  <c r="K186" i="3"/>
  <c r="A186" i="2" a="1"/>
  <c r="A186" i="2"/>
  <c r="B186" i="2"/>
  <c r="C186" i="2"/>
  <c r="F186" i="2"/>
  <c r="H186" i="2"/>
  <c r="J186" i="2"/>
  <c r="K186" i="2"/>
  <c r="L186" i="2"/>
  <c r="A194" i="1" a="1"/>
  <c r="A194" i="1"/>
  <c r="B194" i="1"/>
  <c r="C194" i="1"/>
  <c r="D194" i="1"/>
  <c r="E194" i="1"/>
  <c r="F194" i="1"/>
  <c r="H194" i="1"/>
  <c r="J194" i="1"/>
  <c r="K194" i="1"/>
  <c r="L194" i="1"/>
  <c r="B133" i="4"/>
  <c r="D135" i="4"/>
  <c r="E135" i="4"/>
  <c r="L135" i="4"/>
  <c r="F134" i="4"/>
  <c r="L186" i="3"/>
  <c r="F186" i="3"/>
  <c r="D186" i="3"/>
  <c r="E186" i="3"/>
  <c r="D186" i="2"/>
  <c r="E186" i="2"/>
  <c r="G132" i="4"/>
  <c r="J132" i="4"/>
  <c r="K132" i="4"/>
  <c r="A185" i="3" a="1"/>
  <c r="A185" i="3"/>
  <c r="B185" i="3"/>
  <c r="C185" i="3"/>
  <c r="D185" i="3"/>
  <c r="E185" i="3"/>
  <c r="F185" i="3"/>
  <c r="H185" i="3"/>
  <c r="J185" i="3"/>
  <c r="K185" i="3"/>
  <c r="L185" i="3"/>
  <c r="A185" i="2" a="1"/>
  <c r="A185" i="2"/>
  <c r="B185" i="2"/>
  <c r="C185" i="2"/>
  <c r="F185" i="2"/>
  <c r="H185" i="2"/>
  <c r="J185" i="2"/>
  <c r="K185" i="2"/>
  <c r="L185" i="2"/>
  <c r="A193" i="1" a="1"/>
  <c r="A193" i="1"/>
  <c r="B193" i="1"/>
  <c r="C193" i="1"/>
  <c r="H193" i="1"/>
  <c r="J193" i="1"/>
  <c r="K193" i="1"/>
  <c r="H132" i="4"/>
  <c r="B132" i="4"/>
  <c r="H133" i="4"/>
  <c r="D133" i="4"/>
  <c r="E133" i="4"/>
  <c r="L134" i="4"/>
  <c r="D134" i="4"/>
  <c r="E134" i="4"/>
  <c r="D185" i="2"/>
  <c r="E185" i="2"/>
  <c r="F193" i="1"/>
  <c r="D193" i="1"/>
  <c r="E193" i="1"/>
  <c r="L193" i="1"/>
  <c r="G131" i="4"/>
  <c r="B131" i="4"/>
  <c r="J131" i="4"/>
  <c r="K131" i="4"/>
  <c r="A184" i="3" a="1"/>
  <c r="A184" i="3"/>
  <c r="B184" i="3"/>
  <c r="C184" i="3"/>
  <c r="F184" i="3"/>
  <c r="H184" i="3"/>
  <c r="J184" i="3"/>
  <c r="K184" i="3"/>
  <c r="L184" i="3"/>
  <c r="A184" i="2" a="1"/>
  <c r="A184" i="2"/>
  <c r="B184" i="2"/>
  <c r="C184" i="2"/>
  <c r="D184" i="2"/>
  <c r="E184" i="2"/>
  <c r="F184" i="2"/>
  <c r="H184" i="2"/>
  <c r="J184" i="2"/>
  <c r="K184" i="2"/>
  <c r="L184" i="2"/>
  <c r="A192" i="1" a="1"/>
  <c r="A192" i="1"/>
  <c r="B192" i="1"/>
  <c r="C192" i="1"/>
  <c r="D192" i="1"/>
  <c r="E192" i="1"/>
  <c r="F192" i="1"/>
  <c r="H192" i="1"/>
  <c r="J192" i="1"/>
  <c r="K192" i="1"/>
  <c r="L192" i="1"/>
  <c r="F132" i="4"/>
  <c r="F133" i="4"/>
  <c r="L132" i="4"/>
  <c r="D132" i="4"/>
  <c r="E132" i="4"/>
  <c r="L133" i="4"/>
  <c r="D184" i="3"/>
  <c r="E184" i="3"/>
  <c r="G130" i="4"/>
  <c r="J130" i="4"/>
  <c r="K130" i="4"/>
  <c r="A183" i="3" a="1"/>
  <c r="A183" i="3"/>
  <c r="B183" i="3"/>
  <c r="C183" i="3"/>
  <c r="H183" i="3"/>
  <c r="J183" i="3"/>
  <c r="K183" i="3"/>
  <c r="A183" i="2" a="1"/>
  <c r="A183" i="2"/>
  <c r="B183" i="2"/>
  <c r="C183" i="2"/>
  <c r="D183" i="2"/>
  <c r="E183" i="2"/>
  <c r="F183" i="2"/>
  <c r="H183" i="2"/>
  <c r="J183" i="2"/>
  <c r="K183" i="2"/>
  <c r="L183" i="2"/>
  <c r="A191" i="1" a="1"/>
  <c r="A191" i="1"/>
  <c r="B191" i="1"/>
  <c r="C191" i="1"/>
  <c r="D191" i="1"/>
  <c r="E191" i="1"/>
  <c r="F191" i="1"/>
  <c r="H191" i="1"/>
  <c r="J191" i="1"/>
  <c r="K191" i="1"/>
  <c r="L191" i="1"/>
  <c r="H130" i="4"/>
  <c r="H131" i="4"/>
  <c r="B130" i="4"/>
  <c r="D130" i="4"/>
  <c r="E130" i="4"/>
  <c r="L183" i="3"/>
  <c r="F183" i="3"/>
  <c r="D183" i="3"/>
  <c r="E183" i="3"/>
  <c r="B129" i="4"/>
  <c r="G129" i="4"/>
  <c r="J129" i="4"/>
  <c r="K129" i="4"/>
  <c r="A182" i="3" a="1"/>
  <c r="A182" i="3"/>
  <c r="B182" i="3"/>
  <c r="C182" i="3"/>
  <c r="D182" i="3"/>
  <c r="E182" i="3"/>
  <c r="H182" i="3"/>
  <c r="J182" i="3"/>
  <c r="K182" i="3"/>
  <c r="L182" i="3"/>
  <c r="A182" i="2" a="1"/>
  <c r="A182" i="2"/>
  <c r="B182" i="2"/>
  <c r="F182" i="2"/>
  <c r="C182" i="2"/>
  <c r="D182" i="2"/>
  <c r="E182" i="2"/>
  <c r="H182" i="2"/>
  <c r="J182" i="2"/>
  <c r="K182" i="2"/>
  <c r="L182" i="2"/>
  <c r="A190" i="1" a="1"/>
  <c r="A190" i="1"/>
  <c r="B190" i="1"/>
  <c r="C190" i="1"/>
  <c r="F190" i="1"/>
  <c r="H190" i="1"/>
  <c r="J190" i="1"/>
  <c r="K190" i="1"/>
  <c r="L190" i="1"/>
  <c r="F130" i="4"/>
  <c r="F131" i="4"/>
  <c r="L130" i="4"/>
  <c r="L131" i="4"/>
  <c r="D131" i="4"/>
  <c r="E131" i="4"/>
  <c r="H129" i="4"/>
  <c r="F182" i="3"/>
  <c r="D190" i="1"/>
  <c r="E190" i="1"/>
  <c r="G128" i="4"/>
  <c r="J128" i="4"/>
  <c r="K128" i="4"/>
  <c r="A181" i="3" a="1"/>
  <c r="A181" i="3"/>
  <c r="B181" i="3"/>
  <c r="C181" i="3"/>
  <c r="D181" i="3"/>
  <c r="E181" i="3"/>
  <c r="F181" i="3"/>
  <c r="H181" i="3"/>
  <c r="J181" i="3"/>
  <c r="K181" i="3"/>
  <c r="L181" i="3"/>
  <c r="A181" i="2" a="1"/>
  <c r="A181" i="2"/>
  <c r="B181" i="2"/>
  <c r="F181" i="2"/>
  <c r="C181" i="2"/>
  <c r="D181" i="2"/>
  <c r="E181" i="2"/>
  <c r="H181" i="2"/>
  <c r="J181" i="2"/>
  <c r="K181" i="2"/>
  <c r="L181" i="2"/>
  <c r="A189" i="1" a="1"/>
  <c r="A189" i="1"/>
  <c r="B189" i="1"/>
  <c r="C189" i="1"/>
  <c r="D189" i="1"/>
  <c r="E189" i="1"/>
  <c r="F189" i="1"/>
  <c r="H189" i="1"/>
  <c r="J189" i="1"/>
  <c r="K189" i="1"/>
  <c r="L189" i="1"/>
  <c r="H128" i="4"/>
  <c r="B128" i="4"/>
  <c r="B127" i="4"/>
  <c r="G127" i="4"/>
  <c r="J127" i="4"/>
  <c r="K127" i="4"/>
  <c r="A180" i="3" a="1"/>
  <c r="A180" i="3"/>
  <c r="B180" i="3"/>
  <c r="C180" i="3"/>
  <c r="D180" i="3"/>
  <c r="E180" i="3"/>
  <c r="F180" i="3"/>
  <c r="H180" i="3"/>
  <c r="J180" i="3"/>
  <c r="K180" i="3"/>
  <c r="L180" i="3"/>
  <c r="A180" i="2" a="1"/>
  <c r="A180" i="2"/>
  <c r="B180" i="2"/>
  <c r="C180" i="2"/>
  <c r="D180" i="2"/>
  <c r="E180" i="2"/>
  <c r="F180" i="2"/>
  <c r="H180" i="2"/>
  <c r="J180" i="2"/>
  <c r="K180" i="2"/>
  <c r="L180" i="2"/>
  <c r="A188" i="1" a="1"/>
  <c r="A188" i="1"/>
  <c r="B188" i="1"/>
  <c r="C188" i="1"/>
  <c r="H188" i="1"/>
  <c r="J188" i="1"/>
  <c r="K188" i="1"/>
  <c r="L128" i="4"/>
  <c r="L129" i="4"/>
  <c r="F129" i="4"/>
  <c r="F128" i="4"/>
  <c r="D129" i="4"/>
  <c r="E129" i="4"/>
  <c r="D128" i="4"/>
  <c r="E128" i="4"/>
  <c r="L188" i="1"/>
  <c r="F188" i="1"/>
  <c r="D188" i="1"/>
  <c r="E188" i="1"/>
  <c r="G126" i="4"/>
  <c r="H127" i="4"/>
  <c r="J126" i="4"/>
  <c r="K126" i="4"/>
  <c r="A179" i="3" a="1"/>
  <c r="A179" i="3"/>
  <c r="B179" i="3"/>
  <c r="C179" i="3"/>
  <c r="H179" i="3"/>
  <c r="J179" i="3"/>
  <c r="K179" i="3"/>
  <c r="A179" i="2" a="1"/>
  <c r="A179" i="2"/>
  <c r="B179" i="2"/>
  <c r="C179" i="2"/>
  <c r="F179" i="2"/>
  <c r="H179" i="2"/>
  <c r="J179" i="2"/>
  <c r="K179" i="2"/>
  <c r="A187" i="1" a="1"/>
  <c r="A187" i="1"/>
  <c r="B187" i="1"/>
  <c r="C187" i="1"/>
  <c r="H187" i="1"/>
  <c r="J187" i="1"/>
  <c r="K187" i="1"/>
  <c r="B126" i="4"/>
  <c r="L179" i="3"/>
  <c r="F179" i="3"/>
  <c r="D179" i="3"/>
  <c r="E179" i="3"/>
  <c r="D179" i="2"/>
  <c r="E179" i="2"/>
  <c r="L179" i="2"/>
  <c r="F187" i="1"/>
  <c r="D187" i="1"/>
  <c r="E187" i="1"/>
  <c r="L187" i="1"/>
  <c r="G125" i="4"/>
  <c r="B125" i="4"/>
  <c r="J125" i="4"/>
  <c r="K125" i="4"/>
  <c r="A178" i="3" a="1"/>
  <c r="A178" i="3"/>
  <c r="B178" i="3"/>
  <c r="C178" i="3"/>
  <c r="D178" i="3"/>
  <c r="E178" i="3"/>
  <c r="F178" i="3"/>
  <c r="H178" i="3"/>
  <c r="J178" i="3"/>
  <c r="K178" i="3"/>
  <c r="L178" i="3"/>
  <c r="A178" i="2" a="1"/>
  <c r="A178" i="2"/>
  <c r="B178" i="2"/>
  <c r="C178" i="2"/>
  <c r="D178" i="2"/>
  <c r="E178" i="2"/>
  <c r="F178" i="2"/>
  <c r="H178" i="2"/>
  <c r="J178" i="2"/>
  <c r="K178" i="2"/>
  <c r="L178" i="2"/>
  <c r="A186" i="1" a="1"/>
  <c r="A186" i="1"/>
  <c r="B186" i="1"/>
  <c r="D186" i="1"/>
  <c r="E186" i="1"/>
  <c r="H186" i="1"/>
  <c r="J186" i="1"/>
  <c r="K186" i="1"/>
  <c r="F126" i="4"/>
  <c r="L127" i="4"/>
  <c r="L126" i="4"/>
  <c r="D127" i="4"/>
  <c r="E127" i="4"/>
  <c r="F127" i="4"/>
  <c r="H126" i="4"/>
  <c r="D126" i="4"/>
  <c r="E126" i="4"/>
  <c r="C186" i="1"/>
  <c r="L186" i="1"/>
  <c r="F186" i="1"/>
  <c r="G124" i="4"/>
  <c r="H125" i="4"/>
  <c r="J124" i="4"/>
  <c r="K124" i="4"/>
  <c r="A177" i="3" a="1"/>
  <c r="A177" i="3"/>
  <c r="B177" i="3"/>
  <c r="C177" i="3"/>
  <c r="D177" i="3"/>
  <c r="E177" i="3"/>
  <c r="F177" i="3"/>
  <c r="H177" i="3"/>
  <c r="J177" i="3"/>
  <c r="K177" i="3"/>
  <c r="L177" i="3"/>
  <c r="A177" i="2" a="1"/>
  <c r="A177" i="2"/>
  <c r="B177" i="2"/>
  <c r="C177" i="2"/>
  <c r="D177" i="2"/>
  <c r="E177" i="2"/>
  <c r="F177" i="2"/>
  <c r="H177" i="2"/>
  <c r="J177" i="2"/>
  <c r="K177" i="2"/>
  <c r="L177" i="2"/>
  <c r="A185" i="1" a="1"/>
  <c r="A185" i="1"/>
  <c r="B185" i="1"/>
  <c r="D185" i="1"/>
  <c r="E185" i="1"/>
  <c r="H185" i="1"/>
  <c r="J185" i="1"/>
  <c r="K185" i="1"/>
  <c r="B124" i="4"/>
  <c r="C185" i="1"/>
  <c r="L185" i="1"/>
  <c r="F185" i="1"/>
  <c r="G8" i="3"/>
  <c r="H8" i="3"/>
  <c r="F4" i="2"/>
  <c r="F3" i="2"/>
  <c r="D3" i="2"/>
  <c r="D4" i="2"/>
  <c r="B2" i="2"/>
  <c r="B3" i="2"/>
  <c r="H3" i="3"/>
  <c r="H4" i="3"/>
  <c r="H5" i="3"/>
  <c r="H6" i="3"/>
  <c r="H7" i="3"/>
  <c r="H9" i="3"/>
  <c r="G8" i="2"/>
  <c r="H8" i="2"/>
  <c r="H3" i="2"/>
  <c r="H4" i="2"/>
  <c r="H5" i="2"/>
  <c r="H6" i="2"/>
  <c r="H7" i="2"/>
  <c r="L124" i="4"/>
  <c r="D124" i="4"/>
  <c r="E124" i="4"/>
  <c r="L125" i="4"/>
  <c r="D125" i="4"/>
  <c r="E125" i="4"/>
  <c r="F125" i="4"/>
  <c r="H9" i="2"/>
  <c r="B123" i="4"/>
  <c r="G123" i="4"/>
  <c r="J123" i="4"/>
  <c r="K123" i="4"/>
  <c r="B176" i="3"/>
  <c r="C176" i="3"/>
  <c r="D176" i="3"/>
  <c r="E176" i="3"/>
  <c r="F176" i="3"/>
  <c r="H176" i="3"/>
  <c r="J176" i="3"/>
  <c r="K176" i="3"/>
  <c r="L176" i="3"/>
  <c r="B176" i="2"/>
  <c r="C176" i="2"/>
  <c r="F176" i="2"/>
  <c r="H176" i="2"/>
  <c r="J176" i="2"/>
  <c r="K176" i="2"/>
  <c r="L176" i="2"/>
  <c r="A184" i="1" a="1"/>
  <c r="A184" i="1"/>
  <c r="B184" i="1"/>
  <c r="C184" i="1"/>
  <c r="D184" i="1"/>
  <c r="E184" i="1"/>
  <c r="F184" i="1"/>
  <c r="H184" i="1"/>
  <c r="J184" i="1"/>
  <c r="K184" i="1"/>
  <c r="L184" i="1"/>
  <c r="F124" i="4"/>
  <c r="H123" i="4"/>
  <c r="H124" i="4"/>
  <c r="D176" i="2"/>
  <c r="E176" i="2"/>
  <c r="G122" i="4"/>
  <c r="J122" i="4"/>
  <c r="K122" i="4"/>
  <c r="B175" i="3"/>
  <c r="C175" i="3"/>
  <c r="D175" i="3"/>
  <c r="E175" i="3"/>
  <c r="F175" i="3"/>
  <c r="H175" i="3"/>
  <c r="J175" i="3"/>
  <c r="K175" i="3"/>
  <c r="L175" i="3"/>
  <c r="B175" i="2"/>
  <c r="C175" i="2"/>
  <c r="D175" i="2"/>
  <c r="E175" i="2"/>
  <c r="F175" i="2"/>
  <c r="H175" i="2"/>
  <c r="J175" i="2"/>
  <c r="K175" i="2"/>
  <c r="L175" i="2"/>
  <c r="A183" i="1" a="1"/>
  <c r="A183" i="1"/>
  <c r="B183" i="1"/>
  <c r="C183" i="1"/>
  <c r="D183" i="1"/>
  <c r="E183" i="1"/>
  <c r="H183" i="1"/>
  <c r="J183" i="1"/>
  <c r="K183" i="1"/>
  <c r="B122" i="4"/>
  <c r="L183" i="1"/>
  <c r="F183" i="1"/>
  <c r="G121" i="4"/>
  <c r="J121" i="4"/>
  <c r="K121" i="4"/>
  <c r="B174" i="3"/>
  <c r="C174" i="3"/>
  <c r="D174" i="3"/>
  <c r="E174" i="3"/>
  <c r="F174" i="3"/>
  <c r="H174" i="3"/>
  <c r="J174" i="3"/>
  <c r="K174" i="3"/>
  <c r="L174" i="3"/>
  <c r="B174" i="2"/>
  <c r="C174" i="2"/>
  <c r="F174" i="2"/>
  <c r="H174" i="2"/>
  <c r="J174" i="2"/>
  <c r="K174" i="2"/>
  <c r="L174" i="2"/>
  <c r="A182" i="1" a="1"/>
  <c r="A182" i="1"/>
  <c r="B182" i="1"/>
  <c r="C182" i="1"/>
  <c r="D182" i="1"/>
  <c r="E182" i="1"/>
  <c r="F182" i="1"/>
  <c r="H182" i="1"/>
  <c r="J182" i="1"/>
  <c r="K182" i="1"/>
  <c r="L182" i="1"/>
  <c r="L123" i="4"/>
  <c r="D123" i="4"/>
  <c r="E123" i="4"/>
  <c r="F123" i="4"/>
  <c r="L122" i="4"/>
  <c r="H122" i="4"/>
  <c r="B121" i="4"/>
  <c r="D174" i="2"/>
  <c r="E174" i="2"/>
  <c r="B120" i="4"/>
  <c r="G120" i="4"/>
  <c r="J120" i="4"/>
  <c r="K120" i="4"/>
  <c r="B173" i="3"/>
  <c r="C173" i="3"/>
  <c r="D173" i="3"/>
  <c r="E173" i="3"/>
  <c r="F173" i="3"/>
  <c r="H173" i="3"/>
  <c r="J173" i="3"/>
  <c r="K173" i="3"/>
  <c r="L173" i="3"/>
  <c r="B173" i="2"/>
  <c r="C173" i="2"/>
  <c r="F173" i="2"/>
  <c r="H173" i="2"/>
  <c r="J173" i="2"/>
  <c r="K173" i="2"/>
  <c r="L173" i="2"/>
  <c r="A181" i="1" a="1"/>
  <c r="A181" i="1"/>
  <c r="B181" i="1"/>
  <c r="C181" i="1"/>
  <c r="D181" i="1"/>
  <c r="E181" i="1"/>
  <c r="F181" i="1"/>
  <c r="H181" i="1"/>
  <c r="J181" i="1"/>
  <c r="K181" i="1"/>
  <c r="L181" i="1"/>
  <c r="L121" i="4"/>
  <c r="D121" i="4"/>
  <c r="E121" i="4"/>
  <c r="F121" i="4"/>
  <c r="H121" i="4"/>
  <c r="F122" i="4"/>
  <c r="D122" i="4"/>
  <c r="E122" i="4"/>
  <c r="D173" i="2"/>
  <c r="E173" i="2"/>
  <c r="G119" i="4"/>
  <c r="B119" i="4"/>
  <c r="J119" i="4"/>
  <c r="K119" i="4"/>
  <c r="B172" i="3"/>
  <c r="C172" i="3"/>
  <c r="D172" i="3"/>
  <c r="E172" i="3"/>
  <c r="F172" i="3"/>
  <c r="H172" i="3"/>
  <c r="J172" i="3"/>
  <c r="K172" i="3"/>
  <c r="L172" i="3"/>
  <c r="B172" i="2"/>
  <c r="C172" i="2"/>
  <c r="D172" i="2"/>
  <c r="E172" i="2"/>
  <c r="F172" i="2"/>
  <c r="H172" i="2"/>
  <c r="J172" i="2"/>
  <c r="K172" i="2"/>
  <c r="L172" i="2"/>
  <c r="A180" i="1" a="1"/>
  <c r="A180" i="1"/>
  <c r="B180" i="1"/>
  <c r="C180" i="1"/>
  <c r="D180" i="1"/>
  <c r="E180" i="1"/>
  <c r="F180" i="1"/>
  <c r="H180" i="1"/>
  <c r="J180" i="1"/>
  <c r="K180" i="1"/>
  <c r="L180" i="1"/>
  <c r="H120" i="4"/>
  <c r="L120" i="4"/>
  <c r="F120" i="4"/>
  <c r="D120" i="4"/>
  <c r="E120" i="4"/>
  <c r="G118" i="4"/>
  <c r="H119" i="4"/>
  <c r="J118" i="4"/>
  <c r="K118" i="4"/>
  <c r="B171" i="3"/>
  <c r="D171" i="3"/>
  <c r="E171" i="3"/>
  <c r="H171" i="3"/>
  <c r="J171" i="3"/>
  <c r="K171" i="3"/>
  <c r="L171" i="3"/>
  <c r="B171" i="2"/>
  <c r="C171" i="2"/>
  <c r="F171" i="2"/>
  <c r="H171" i="2"/>
  <c r="J171" i="2"/>
  <c r="K171" i="2"/>
  <c r="L171" i="2"/>
  <c r="A179" i="1" a="1"/>
  <c r="A179" i="1"/>
  <c r="B179" i="1"/>
  <c r="C179" i="1"/>
  <c r="F179" i="1"/>
  <c r="H179" i="1"/>
  <c r="J179" i="1"/>
  <c r="K179" i="1"/>
  <c r="L179" i="1"/>
  <c r="B118" i="4"/>
  <c r="C171" i="3"/>
  <c r="F171" i="3"/>
  <c r="D171" i="2"/>
  <c r="E171" i="2"/>
  <c r="D179" i="1"/>
  <c r="E179" i="1"/>
  <c r="G117" i="4"/>
  <c r="H118" i="4"/>
  <c r="J117" i="4"/>
  <c r="K117" i="4"/>
  <c r="B170" i="3"/>
  <c r="C170" i="3"/>
  <c r="D170" i="3"/>
  <c r="E170" i="3"/>
  <c r="F170" i="3"/>
  <c r="H170" i="3"/>
  <c r="J170" i="3"/>
  <c r="K170" i="3"/>
  <c r="L170" i="3"/>
  <c r="B170" i="2"/>
  <c r="C170" i="2"/>
  <c r="F170" i="2"/>
  <c r="H170" i="2"/>
  <c r="J170" i="2"/>
  <c r="K170" i="2"/>
  <c r="L170" i="2"/>
  <c r="A178" i="1" a="1"/>
  <c r="A178" i="1"/>
  <c r="B178" i="1"/>
  <c r="C178" i="1"/>
  <c r="D178" i="1"/>
  <c r="E178" i="1"/>
  <c r="F178" i="1"/>
  <c r="H178" i="1"/>
  <c r="J178" i="1"/>
  <c r="K178" i="1"/>
  <c r="L178" i="1"/>
  <c r="B117" i="4"/>
  <c r="L119" i="4"/>
  <c r="D118" i="4"/>
  <c r="E118" i="4"/>
  <c r="F118" i="4"/>
  <c r="F119" i="4"/>
  <c r="D119" i="4"/>
  <c r="E119" i="4"/>
  <c r="L118" i="4"/>
  <c r="D170" i="2"/>
  <c r="E170" i="2"/>
  <c r="G116" i="4"/>
  <c r="J116" i="4"/>
  <c r="K116" i="4"/>
  <c r="B169" i="3"/>
  <c r="C169" i="3"/>
  <c r="D169" i="3"/>
  <c r="E169" i="3"/>
  <c r="F169" i="3"/>
  <c r="H169" i="3"/>
  <c r="J169" i="3"/>
  <c r="K169" i="3"/>
  <c r="L169" i="3"/>
  <c r="B169" i="2"/>
  <c r="C169" i="2"/>
  <c r="D169" i="2"/>
  <c r="E169" i="2"/>
  <c r="F169" i="2"/>
  <c r="H169" i="2"/>
  <c r="J169" i="2"/>
  <c r="K169" i="2"/>
  <c r="L169" i="2"/>
  <c r="A177" i="1" a="1"/>
  <c r="A177" i="1"/>
  <c r="B177" i="1"/>
  <c r="C177" i="1"/>
  <c r="D177" i="1"/>
  <c r="E177" i="1"/>
  <c r="F177" i="1"/>
  <c r="H177" i="1"/>
  <c r="J177" i="1"/>
  <c r="K177" i="1"/>
  <c r="L177" i="1"/>
  <c r="B116" i="4"/>
  <c r="H117" i="4"/>
  <c r="L117" i="4"/>
  <c r="F117" i="4"/>
  <c r="B115" i="4"/>
  <c r="G115" i="4"/>
  <c r="J115" i="4"/>
  <c r="K115" i="4"/>
  <c r="B168" i="3"/>
  <c r="C168" i="3"/>
  <c r="F168" i="3"/>
  <c r="H168" i="3"/>
  <c r="J168" i="3"/>
  <c r="K168" i="3"/>
  <c r="L168" i="3"/>
  <c r="B168" i="2"/>
  <c r="C168" i="2"/>
  <c r="D168" i="2"/>
  <c r="E168" i="2"/>
  <c r="F168" i="2"/>
  <c r="H168" i="2"/>
  <c r="J168" i="2"/>
  <c r="K168" i="2"/>
  <c r="L168" i="2"/>
  <c r="A176" i="1" a="1"/>
  <c r="A176" i="1"/>
  <c r="B176" i="1"/>
  <c r="C176" i="1"/>
  <c r="D176" i="1"/>
  <c r="E176" i="1"/>
  <c r="F176" i="1"/>
  <c r="H176" i="1"/>
  <c r="J176" i="1"/>
  <c r="K176" i="1"/>
  <c r="L176" i="1"/>
  <c r="D117" i="4"/>
  <c r="E117" i="4"/>
  <c r="L116" i="4"/>
  <c r="D116" i="4"/>
  <c r="E116" i="4"/>
  <c r="F116" i="4"/>
  <c r="H116" i="4"/>
  <c r="D168" i="3"/>
  <c r="E168" i="3"/>
  <c r="G114" i="4"/>
  <c r="H115" i="4"/>
  <c r="J114" i="4"/>
  <c r="K114" i="4"/>
  <c r="B167" i="3"/>
  <c r="C167" i="3"/>
  <c r="D167" i="3"/>
  <c r="E167" i="3"/>
  <c r="F167" i="3"/>
  <c r="H167" i="3"/>
  <c r="J167" i="3"/>
  <c r="K167" i="3"/>
  <c r="L167" i="3"/>
  <c r="B167" i="2"/>
  <c r="C167" i="2"/>
  <c r="F167" i="2"/>
  <c r="H167" i="2"/>
  <c r="J167" i="2"/>
  <c r="K167" i="2"/>
  <c r="L167" i="2"/>
  <c r="A175" i="1" a="1"/>
  <c r="A175" i="1"/>
  <c r="B175" i="1"/>
  <c r="C175" i="1"/>
  <c r="D175" i="1"/>
  <c r="E175" i="1"/>
  <c r="H175" i="1"/>
  <c r="J175" i="1"/>
  <c r="K175" i="1"/>
  <c r="B114" i="4"/>
  <c r="F114" i="4"/>
  <c r="D167" i="2"/>
  <c r="E167" i="2"/>
  <c r="L175" i="1"/>
  <c r="F175" i="1"/>
  <c r="B113" i="4"/>
  <c r="G113" i="4"/>
  <c r="H114" i="4"/>
  <c r="J113" i="4"/>
  <c r="K113" i="4"/>
  <c r="B166" i="3"/>
  <c r="C166" i="3"/>
  <c r="D166" i="3"/>
  <c r="E166" i="3"/>
  <c r="F166" i="3"/>
  <c r="H166" i="3"/>
  <c r="J166" i="3"/>
  <c r="K166" i="3"/>
  <c r="L166" i="3"/>
  <c r="B166" i="2"/>
  <c r="C166" i="2"/>
  <c r="D166" i="2"/>
  <c r="E166" i="2"/>
  <c r="F166" i="2"/>
  <c r="H166" i="2"/>
  <c r="J166" i="2"/>
  <c r="K166" i="2"/>
  <c r="L166" i="2"/>
  <c r="B174" i="1"/>
  <c r="C174" i="1"/>
  <c r="H174" i="1"/>
  <c r="J174" i="1"/>
  <c r="K174" i="1"/>
  <c r="H113" i="4"/>
  <c r="L114" i="4"/>
  <c r="L115" i="4"/>
  <c r="D115" i="4"/>
  <c r="E115" i="4"/>
  <c r="D114" i="4"/>
  <c r="E114" i="4"/>
  <c r="F115" i="4"/>
  <c r="G112" i="4"/>
  <c r="J112" i="4"/>
  <c r="K112" i="4"/>
  <c r="B165" i="3"/>
  <c r="C165" i="3"/>
  <c r="D165" i="3"/>
  <c r="E165" i="3"/>
  <c r="F165" i="3"/>
  <c r="H165" i="3"/>
  <c r="J165" i="3"/>
  <c r="K165" i="3"/>
  <c r="L165" i="3"/>
  <c r="B165" i="2"/>
  <c r="C165" i="2"/>
  <c r="F165" i="2"/>
  <c r="H165" i="2"/>
  <c r="J165" i="2"/>
  <c r="K165" i="2"/>
  <c r="L165" i="2"/>
  <c r="B173" i="1"/>
  <c r="H173" i="1"/>
  <c r="J173" i="1"/>
  <c r="K173" i="1"/>
  <c r="B112" i="4"/>
  <c r="C173" i="1"/>
  <c r="D174" i="1"/>
  <c r="L174" i="1"/>
  <c r="F174" i="1"/>
  <c r="D165" i="2"/>
  <c r="E165" i="2"/>
  <c r="G111" i="4"/>
  <c r="B111" i="4"/>
  <c r="J111" i="4"/>
  <c r="K111" i="4"/>
  <c r="B164" i="3"/>
  <c r="C164" i="3"/>
  <c r="D164" i="3"/>
  <c r="E164" i="3"/>
  <c r="F164" i="3"/>
  <c r="H164" i="3"/>
  <c r="J164" i="3"/>
  <c r="K164" i="3"/>
  <c r="L164" i="3"/>
  <c r="B164" i="2"/>
  <c r="D164" i="2"/>
  <c r="E164" i="2"/>
  <c r="H164" i="2"/>
  <c r="J164" i="2"/>
  <c r="K164" i="2"/>
  <c r="B172" i="1"/>
  <c r="L173" i="1"/>
  <c r="C172" i="1"/>
  <c r="H172" i="1"/>
  <c r="J172" i="1"/>
  <c r="K172" i="1"/>
  <c r="D113" i="4"/>
  <c r="E113" i="4"/>
  <c r="D112" i="4"/>
  <c r="E112" i="4"/>
  <c r="F112" i="4"/>
  <c r="L113" i="4"/>
  <c r="F113" i="4"/>
  <c r="L112" i="4"/>
  <c r="H112" i="4"/>
  <c r="D172" i="1"/>
  <c r="E172" i="1"/>
  <c r="E174" i="1"/>
  <c r="F173" i="1"/>
  <c r="D173" i="1"/>
  <c r="L164" i="2"/>
  <c r="C164" i="2"/>
  <c r="F164" i="2"/>
  <c r="G110" i="4"/>
  <c r="J110" i="4"/>
  <c r="K110" i="4"/>
  <c r="B163" i="3"/>
  <c r="C163" i="3"/>
  <c r="H163" i="3"/>
  <c r="J163" i="3"/>
  <c r="K163" i="3"/>
  <c r="B163" i="2"/>
  <c r="C163" i="2"/>
  <c r="H163" i="2"/>
  <c r="J163" i="2"/>
  <c r="K163" i="2"/>
  <c r="B171" i="1"/>
  <c r="H171" i="1"/>
  <c r="J171" i="1"/>
  <c r="K171" i="1"/>
  <c r="H111" i="4"/>
  <c r="B110" i="4"/>
  <c r="E173" i="1"/>
  <c r="C171" i="1"/>
  <c r="F172" i="1"/>
  <c r="L172" i="1"/>
  <c r="D163" i="3"/>
  <c r="E163" i="3"/>
  <c r="F163" i="3"/>
  <c r="F163" i="2"/>
  <c r="D163" i="2"/>
  <c r="E163" i="2"/>
  <c r="D111" i="4"/>
  <c r="E111" i="4"/>
  <c r="L111" i="4"/>
  <c r="F111" i="4"/>
  <c r="L163" i="3"/>
  <c r="L163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F126" i="2"/>
  <c r="F131" i="2"/>
  <c r="F142" i="2"/>
  <c r="F154" i="2"/>
  <c r="F155" i="2"/>
  <c r="F156" i="2"/>
  <c r="B112" i="2"/>
  <c r="C112" i="2"/>
  <c r="B113" i="2"/>
  <c r="D113" i="2"/>
  <c r="B114" i="2"/>
  <c r="C114" i="2"/>
  <c r="B115" i="2"/>
  <c r="C115" i="2"/>
  <c r="B116" i="2"/>
  <c r="L116" i="2"/>
  <c r="B117" i="2"/>
  <c r="C117" i="2"/>
  <c r="B118" i="2"/>
  <c r="F119" i="2"/>
  <c r="C118" i="2"/>
  <c r="B119" i="2"/>
  <c r="C119" i="2"/>
  <c r="B120" i="2"/>
  <c r="C120" i="2"/>
  <c r="B121" i="2"/>
  <c r="D121" i="2"/>
  <c r="B122" i="2"/>
  <c r="D122" i="2"/>
  <c r="C122" i="2"/>
  <c r="B123" i="2"/>
  <c r="C123" i="2"/>
  <c r="B124" i="2"/>
  <c r="L124" i="2"/>
  <c r="B125" i="2"/>
  <c r="C125" i="2"/>
  <c r="B126" i="2"/>
  <c r="C126" i="2"/>
  <c r="B127" i="2"/>
  <c r="F127" i="2"/>
  <c r="C127" i="2"/>
  <c r="D127" i="2"/>
  <c r="E127" i="2"/>
  <c r="B128" i="2"/>
  <c r="C128" i="2"/>
  <c r="B129" i="2"/>
  <c r="D129" i="2"/>
  <c r="B130" i="2"/>
  <c r="C130" i="2"/>
  <c r="B131" i="2"/>
  <c r="C131" i="2"/>
  <c r="B132" i="2"/>
  <c r="L132" i="2"/>
  <c r="B133" i="2"/>
  <c r="C133" i="2"/>
  <c r="B134" i="2"/>
  <c r="C134" i="2"/>
  <c r="B135" i="2"/>
  <c r="F135" i="2"/>
  <c r="B136" i="2"/>
  <c r="C136" i="2"/>
  <c r="B137" i="2"/>
  <c r="D137" i="2"/>
  <c r="C137" i="2"/>
  <c r="B138" i="2"/>
  <c r="C138" i="2"/>
  <c r="B139" i="2"/>
  <c r="C139" i="2"/>
  <c r="B140" i="2"/>
  <c r="F140" i="2"/>
  <c r="B141" i="2"/>
  <c r="C141" i="2"/>
  <c r="B142" i="2"/>
  <c r="C142" i="2"/>
  <c r="B143" i="2"/>
  <c r="C143" i="2"/>
  <c r="B144" i="2"/>
  <c r="C144" i="2"/>
  <c r="B145" i="2"/>
  <c r="F145" i="2"/>
  <c r="C145" i="2"/>
  <c r="B146" i="2"/>
  <c r="D146" i="2"/>
  <c r="E146" i="2"/>
  <c r="B147" i="2"/>
  <c r="C147" i="2"/>
  <c r="B148" i="2"/>
  <c r="B149" i="2"/>
  <c r="C149" i="2"/>
  <c r="B150" i="2"/>
  <c r="C150" i="2"/>
  <c r="B151" i="2"/>
  <c r="F151" i="2"/>
  <c r="D151" i="2"/>
  <c r="E151" i="2"/>
  <c r="B152" i="2"/>
  <c r="C152" i="2"/>
  <c r="B153" i="2"/>
  <c r="C153" i="2"/>
  <c r="B154" i="2"/>
  <c r="D154" i="2"/>
  <c r="B155" i="2"/>
  <c r="C155" i="2"/>
  <c r="B156" i="2"/>
  <c r="L156" i="2"/>
  <c r="B157" i="2"/>
  <c r="C157" i="2"/>
  <c r="B158" i="2"/>
  <c r="C158" i="2"/>
  <c r="B159" i="2"/>
  <c r="F159" i="2"/>
  <c r="B160" i="2"/>
  <c r="C160" i="2"/>
  <c r="B161" i="2"/>
  <c r="D161" i="2"/>
  <c r="C161" i="2"/>
  <c r="B162" i="2"/>
  <c r="D162" i="2"/>
  <c r="K162" i="2"/>
  <c r="J162" i="2"/>
  <c r="K161" i="2"/>
  <c r="J161" i="2"/>
  <c r="K160" i="2"/>
  <c r="J160" i="2"/>
  <c r="K159" i="2"/>
  <c r="J159" i="2"/>
  <c r="K158" i="2"/>
  <c r="J158" i="2"/>
  <c r="K157" i="2"/>
  <c r="J157" i="2"/>
  <c r="K156" i="2"/>
  <c r="J156" i="2"/>
  <c r="K155" i="2"/>
  <c r="J155" i="2"/>
  <c r="K154" i="2"/>
  <c r="J154" i="2"/>
  <c r="K153" i="2"/>
  <c r="J153" i="2"/>
  <c r="K152" i="2"/>
  <c r="J152" i="2"/>
  <c r="K151" i="2"/>
  <c r="J151" i="2"/>
  <c r="K150" i="2"/>
  <c r="J150" i="2"/>
  <c r="K149" i="2"/>
  <c r="J149" i="2"/>
  <c r="K148" i="2"/>
  <c r="J148" i="2"/>
  <c r="K147" i="2"/>
  <c r="J147" i="2"/>
  <c r="K146" i="2"/>
  <c r="J146" i="2"/>
  <c r="K145" i="2"/>
  <c r="J145" i="2"/>
  <c r="K144" i="2"/>
  <c r="J144" i="2"/>
  <c r="K143" i="2"/>
  <c r="J143" i="2"/>
  <c r="K142" i="2"/>
  <c r="J142" i="2"/>
  <c r="K141" i="2"/>
  <c r="J141" i="2"/>
  <c r="K140" i="2"/>
  <c r="J140" i="2"/>
  <c r="K139" i="2"/>
  <c r="J139" i="2"/>
  <c r="K138" i="2"/>
  <c r="J138" i="2"/>
  <c r="K137" i="2"/>
  <c r="J137" i="2"/>
  <c r="K136" i="2"/>
  <c r="J136" i="2"/>
  <c r="L135" i="2"/>
  <c r="K135" i="2"/>
  <c r="J135" i="2"/>
  <c r="K134" i="2"/>
  <c r="J134" i="2"/>
  <c r="K133" i="2"/>
  <c r="J133" i="2"/>
  <c r="K132" i="2"/>
  <c r="J132" i="2"/>
  <c r="K131" i="2"/>
  <c r="J131" i="2"/>
  <c r="K130" i="2"/>
  <c r="J130" i="2"/>
  <c r="K129" i="2"/>
  <c r="J129" i="2"/>
  <c r="L128" i="2"/>
  <c r="K128" i="2"/>
  <c r="J128" i="2"/>
  <c r="K127" i="2"/>
  <c r="J127" i="2"/>
  <c r="K126" i="2"/>
  <c r="J126" i="2"/>
  <c r="K125" i="2"/>
  <c r="J125" i="2"/>
  <c r="K124" i="2"/>
  <c r="J124" i="2"/>
  <c r="K123" i="2"/>
  <c r="J123" i="2"/>
  <c r="K122" i="2"/>
  <c r="J122" i="2"/>
  <c r="L121" i="2"/>
  <c r="K121" i="2"/>
  <c r="J121" i="2"/>
  <c r="L120" i="2"/>
  <c r="K120" i="2"/>
  <c r="J120" i="2"/>
  <c r="K119" i="2"/>
  <c r="J119" i="2"/>
  <c r="K118" i="2"/>
  <c r="J118" i="2"/>
  <c r="K117" i="2"/>
  <c r="J117" i="2"/>
  <c r="K116" i="2"/>
  <c r="J116" i="2"/>
  <c r="L115" i="2"/>
  <c r="K115" i="2"/>
  <c r="J115" i="2"/>
  <c r="K114" i="2"/>
  <c r="J114" i="2"/>
  <c r="K113" i="2"/>
  <c r="J113" i="2"/>
  <c r="L112" i="2"/>
  <c r="K112" i="2"/>
  <c r="J112" i="2"/>
  <c r="L111" i="2"/>
  <c r="K111" i="2"/>
  <c r="J111" i="2"/>
  <c r="L110" i="2"/>
  <c r="K110" i="2"/>
  <c r="J110" i="2"/>
  <c r="L109" i="2"/>
  <c r="K109" i="2"/>
  <c r="J109" i="2"/>
  <c r="L108" i="2"/>
  <c r="K108" i="2"/>
  <c r="J108" i="2"/>
  <c r="L107" i="2"/>
  <c r="K107" i="2"/>
  <c r="E107" i="2"/>
  <c r="J107" i="2"/>
  <c r="L106" i="2"/>
  <c r="K106" i="2"/>
  <c r="J106" i="2"/>
  <c r="L105" i="2"/>
  <c r="K105" i="2"/>
  <c r="E105" i="2"/>
  <c r="J105" i="2"/>
  <c r="L104" i="2"/>
  <c r="K104" i="2"/>
  <c r="E104" i="2"/>
  <c r="J104" i="2"/>
  <c r="L103" i="2"/>
  <c r="K103" i="2"/>
  <c r="J103" i="2"/>
  <c r="L102" i="2"/>
  <c r="K102" i="2"/>
  <c r="J102" i="2"/>
  <c r="L101" i="2"/>
  <c r="K101" i="2"/>
  <c r="J101" i="2"/>
  <c r="L100" i="2"/>
  <c r="K100" i="2"/>
  <c r="J100" i="2"/>
  <c r="L99" i="2"/>
  <c r="K99" i="2"/>
  <c r="E99" i="2"/>
  <c r="J99" i="2"/>
  <c r="L98" i="2"/>
  <c r="K98" i="2"/>
  <c r="J98" i="2"/>
  <c r="L97" i="2"/>
  <c r="K97" i="2"/>
  <c r="E97" i="2"/>
  <c r="J97" i="2"/>
  <c r="L96" i="2"/>
  <c r="K96" i="2"/>
  <c r="E96" i="2"/>
  <c r="J96" i="2"/>
  <c r="L95" i="2"/>
  <c r="K95" i="2"/>
  <c r="J95" i="2"/>
  <c r="L94" i="2"/>
  <c r="K94" i="2"/>
  <c r="J94" i="2"/>
  <c r="L93" i="2"/>
  <c r="K93" i="2"/>
  <c r="J93" i="2"/>
  <c r="L92" i="2"/>
  <c r="K92" i="2"/>
  <c r="J92" i="2"/>
  <c r="L91" i="2"/>
  <c r="K91" i="2"/>
  <c r="E91" i="2"/>
  <c r="J91" i="2"/>
  <c r="L90" i="2"/>
  <c r="K90" i="2"/>
  <c r="J90" i="2"/>
  <c r="L89" i="2"/>
  <c r="K89" i="2"/>
  <c r="E89" i="2"/>
  <c r="J89" i="2"/>
  <c r="L88" i="2"/>
  <c r="K88" i="2"/>
  <c r="E88" i="2"/>
  <c r="J88" i="2"/>
  <c r="L87" i="2"/>
  <c r="K87" i="2"/>
  <c r="J87" i="2"/>
  <c r="L86" i="2"/>
  <c r="K86" i="2"/>
  <c r="J86" i="2"/>
  <c r="L85" i="2"/>
  <c r="K85" i="2"/>
  <c r="J85" i="2"/>
  <c r="L84" i="2"/>
  <c r="K84" i="2"/>
  <c r="J84" i="2"/>
  <c r="L83" i="2"/>
  <c r="K83" i="2"/>
  <c r="E83" i="2"/>
  <c r="J83" i="2"/>
  <c r="L82" i="2"/>
  <c r="K82" i="2"/>
  <c r="J82" i="2"/>
  <c r="L81" i="2"/>
  <c r="K81" i="2"/>
  <c r="E81" i="2"/>
  <c r="J81" i="2"/>
  <c r="L80" i="2"/>
  <c r="K80" i="2"/>
  <c r="E80" i="2"/>
  <c r="J80" i="2"/>
  <c r="L79" i="2"/>
  <c r="K79" i="2"/>
  <c r="J79" i="2"/>
  <c r="L78" i="2"/>
  <c r="K78" i="2"/>
  <c r="J78" i="2"/>
  <c r="L77" i="2"/>
  <c r="K77" i="2"/>
  <c r="J77" i="2"/>
  <c r="L76" i="2"/>
  <c r="K76" i="2"/>
  <c r="J76" i="2"/>
  <c r="L75" i="2"/>
  <c r="K75" i="2"/>
  <c r="E75" i="2"/>
  <c r="J75" i="2"/>
  <c r="L74" i="2"/>
  <c r="K74" i="2"/>
  <c r="J74" i="2"/>
  <c r="L73" i="2"/>
  <c r="K73" i="2"/>
  <c r="E73" i="2"/>
  <c r="J73" i="2"/>
  <c r="L72" i="2"/>
  <c r="K72" i="2"/>
  <c r="E72" i="2"/>
  <c r="J72" i="2"/>
  <c r="L71" i="2"/>
  <c r="K71" i="2"/>
  <c r="J71" i="2"/>
  <c r="L70" i="2"/>
  <c r="K70" i="2"/>
  <c r="J70" i="2"/>
  <c r="L69" i="2"/>
  <c r="K69" i="2"/>
  <c r="J69" i="2"/>
  <c r="L68" i="2"/>
  <c r="K68" i="2"/>
  <c r="J68" i="2"/>
  <c r="L67" i="2"/>
  <c r="K67" i="2"/>
  <c r="E67" i="2"/>
  <c r="J67" i="2"/>
  <c r="L66" i="2"/>
  <c r="K66" i="2"/>
  <c r="J66" i="2"/>
  <c r="L65" i="2"/>
  <c r="K65" i="2"/>
  <c r="E65" i="2"/>
  <c r="J65" i="2"/>
  <c r="L64" i="2"/>
  <c r="K64" i="2"/>
  <c r="E64" i="2"/>
  <c r="J64" i="2"/>
  <c r="L63" i="2"/>
  <c r="K63" i="2"/>
  <c r="J63" i="2"/>
  <c r="L62" i="2"/>
  <c r="K62" i="2"/>
  <c r="J62" i="2"/>
  <c r="L61" i="2"/>
  <c r="K61" i="2"/>
  <c r="J61" i="2"/>
  <c r="L60" i="2"/>
  <c r="K60" i="2"/>
  <c r="J60" i="2"/>
  <c r="L59" i="2"/>
  <c r="K59" i="2"/>
  <c r="E59" i="2"/>
  <c r="J59" i="2"/>
  <c r="L58" i="2"/>
  <c r="K58" i="2"/>
  <c r="J58" i="2"/>
  <c r="L57" i="2"/>
  <c r="K57" i="2"/>
  <c r="E57" i="2"/>
  <c r="J57" i="2"/>
  <c r="L56" i="2"/>
  <c r="K56" i="2"/>
  <c r="E56" i="2"/>
  <c r="J56" i="2"/>
  <c r="L55" i="2"/>
  <c r="K55" i="2"/>
  <c r="J55" i="2"/>
  <c r="L54" i="2"/>
  <c r="K54" i="2"/>
  <c r="J54" i="2"/>
  <c r="L53" i="2"/>
  <c r="K53" i="2"/>
  <c r="J53" i="2"/>
  <c r="L52" i="2"/>
  <c r="K52" i="2"/>
  <c r="J52" i="2"/>
  <c r="L51" i="2"/>
  <c r="K51" i="2"/>
  <c r="E51" i="2"/>
  <c r="J51" i="2"/>
  <c r="E111" i="2"/>
  <c r="E110" i="2"/>
  <c r="E109" i="2"/>
  <c r="E108" i="2"/>
  <c r="E106" i="2"/>
  <c r="E103" i="2"/>
  <c r="E102" i="2"/>
  <c r="E101" i="2"/>
  <c r="E100" i="2"/>
  <c r="E98" i="2"/>
  <c r="E95" i="2"/>
  <c r="E94" i="2"/>
  <c r="E93" i="2"/>
  <c r="E92" i="2"/>
  <c r="E90" i="2"/>
  <c r="E87" i="2"/>
  <c r="E86" i="2"/>
  <c r="E85" i="2"/>
  <c r="E84" i="2"/>
  <c r="E82" i="2"/>
  <c r="E79" i="2"/>
  <c r="E78" i="2"/>
  <c r="E77" i="2"/>
  <c r="E76" i="2"/>
  <c r="E74" i="2"/>
  <c r="E71" i="2"/>
  <c r="E70" i="2"/>
  <c r="E69" i="2"/>
  <c r="E68" i="2"/>
  <c r="E66" i="2"/>
  <c r="E63" i="2"/>
  <c r="E62" i="2"/>
  <c r="E61" i="2"/>
  <c r="E60" i="2"/>
  <c r="E58" i="2"/>
  <c r="E55" i="2"/>
  <c r="E54" i="2"/>
  <c r="E53" i="2"/>
  <c r="E52" i="2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B112" i="3"/>
  <c r="C112" i="3"/>
  <c r="B113" i="3"/>
  <c r="F113" i="3"/>
  <c r="C113" i="3"/>
  <c r="D113" i="3"/>
  <c r="B114" i="3"/>
  <c r="D114" i="3"/>
  <c r="C114" i="3"/>
  <c r="B115" i="3"/>
  <c r="C115" i="3"/>
  <c r="B116" i="3"/>
  <c r="L116" i="3"/>
  <c r="C116" i="3"/>
  <c r="D116" i="3"/>
  <c r="B117" i="3"/>
  <c r="C117" i="3"/>
  <c r="B118" i="3"/>
  <c r="C118" i="3"/>
  <c r="B119" i="3"/>
  <c r="F119" i="3"/>
  <c r="C119" i="3"/>
  <c r="D119" i="3"/>
  <c r="B120" i="3"/>
  <c r="C120" i="3"/>
  <c r="B121" i="3"/>
  <c r="F121" i="3"/>
  <c r="C121" i="3"/>
  <c r="D121" i="3"/>
  <c r="B122" i="3"/>
  <c r="D122" i="3"/>
  <c r="C122" i="3"/>
  <c r="B123" i="3"/>
  <c r="C123" i="3"/>
  <c r="B124" i="3"/>
  <c r="L124" i="3"/>
  <c r="C124" i="3"/>
  <c r="D124" i="3"/>
  <c r="B125" i="3"/>
  <c r="C125" i="3"/>
  <c r="B126" i="3"/>
  <c r="C126" i="3"/>
  <c r="B127" i="3"/>
  <c r="F127" i="3"/>
  <c r="C127" i="3"/>
  <c r="D127" i="3"/>
  <c r="B128" i="3"/>
  <c r="C128" i="3"/>
  <c r="B129" i="3"/>
  <c r="F129" i="3"/>
  <c r="C129" i="3"/>
  <c r="D129" i="3"/>
  <c r="B130" i="3"/>
  <c r="D130" i="3"/>
  <c r="C130" i="3"/>
  <c r="B131" i="3"/>
  <c r="C131" i="3"/>
  <c r="B132" i="3"/>
  <c r="L132" i="3"/>
  <c r="C132" i="3"/>
  <c r="D132" i="3"/>
  <c r="B133" i="3"/>
  <c r="C133" i="3"/>
  <c r="B134" i="3"/>
  <c r="C134" i="3"/>
  <c r="B135" i="3"/>
  <c r="F135" i="3"/>
  <c r="C135" i="3"/>
  <c r="D135" i="3"/>
  <c r="B136" i="3"/>
  <c r="C136" i="3"/>
  <c r="B137" i="3"/>
  <c r="F137" i="3"/>
  <c r="C137" i="3"/>
  <c r="D137" i="3"/>
  <c r="B138" i="3"/>
  <c r="D138" i="3"/>
  <c r="C138" i="3"/>
  <c r="B139" i="3"/>
  <c r="C139" i="3"/>
  <c r="B140" i="3"/>
  <c r="L140" i="3"/>
  <c r="C140" i="3"/>
  <c r="D140" i="3"/>
  <c r="B141" i="3"/>
  <c r="C141" i="3"/>
  <c r="B142" i="3"/>
  <c r="C142" i="3"/>
  <c r="B143" i="3"/>
  <c r="F143" i="3"/>
  <c r="C143" i="3"/>
  <c r="D143" i="3"/>
  <c r="B144" i="3"/>
  <c r="C144" i="3"/>
  <c r="B145" i="3"/>
  <c r="F145" i="3"/>
  <c r="C145" i="3"/>
  <c r="D145" i="3"/>
  <c r="B146" i="3"/>
  <c r="D146" i="3"/>
  <c r="C146" i="3"/>
  <c r="B147" i="3"/>
  <c r="C147" i="3"/>
  <c r="B148" i="3"/>
  <c r="L148" i="3"/>
  <c r="C148" i="3"/>
  <c r="D148" i="3"/>
  <c r="B149" i="3"/>
  <c r="C149" i="3"/>
  <c r="B150" i="3"/>
  <c r="C150" i="3"/>
  <c r="B151" i="3"/>
  <c r="F151" i="3"/>
  <c r="C151" i="3"/>
  <c r="D151" i="3"/>
  <c r="B152" i="3"/>
  <c r="C152" i="3"/>
  <c r="B153" i="3"/>
  <c r="F153" i="3"/>
  <c r="C153" i="3"/>
  <c r="D153" i="3"/>
  <c r="B154" i="3"/>
  <c r="D154" i="3"/>
  <c r="C154" i="3"/>
  <c r="B155" i="3"/>
  <c r="C155" i="3"/>
  <c r="B156" i="3"/>
  <c r="L156" i="3"/>
  <c r="C156" i="3"/>
  <c r="D156" i="3"/>
  <c r="B157" i="3"/>
  <c r="C157" i="3"/>
  <c r="B158" i="3"/>
  <c r="C158" i="3"/>
  <c r="B159" i="3"/>
  <c r="F159" i="3"/>
  <c r="C159" i="3"/>
  <c r="D159" i="3"/>
  <c r="B160" i="3"/>
  <c r="C160" i="3"/>
  <c r="B161" i="3"/>
  <c r="F161" i="3"/>
  <c r="C161" i="3"/>
  <c r="D161" i="3"/>
  <c r="B162" i="3"/>
  <c r="D162" i="3"/>
  <c r="C162" i="3"/>
  <c r="F112" i="3"/>
  <c r="F116" i="3"/>
  <c r="F118" i="3"/>
  <c r="F124" i="3"/>
  <c r="F126" i="3"/>
  <c r="F132" i="3"/>
  <c r="F134" i="3"/>
  <c r="F140" i="3"/>
  <c r="F142" i="3"/>
  <c r="F148" i="3"/>
  <c r="F150" i="3"/>
  <c r="F156" i="3"/>
  <c r="F158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L162" i="3"/>
  <c r="K162" i="3"/>
  <c r="J162" i="3"/>
  <c r="K161" i="3"/>
  <c r="J161" i="3"/>
  <c r="L160" i="3"/>
  <c r="K160" i="3"/>
  <c r="J160" i="3"/>
  <c r="K159" i="3"/>
  <c r="J159" i="3"/>
  <c r="K158" i="3"/>
  <c r="J158" i="3"/>
  <c r="K157" i="3"/>
  <c r="J157" i="3"/>
  <c r="K156" i="3"/>
  <c r="J156" i="3"/>
  <c r="K155" i="3"/>
  <c r="J155" i="3"/>
  <c r="L154" i="3"/>
  <c r="K154" i="3"/>
  <c r="J154" i="3"/>
  <c r="K153" i="3"/>
  <c r="J153" i="3"/>
  <c r="L152" i="3"/>
  <c r="K152" i="3"/>
  <c r="J152" i="3"/>
  <c r="K151" i="3"/>
  <c r="J151" i="3"/>
  <c r="K150" i="3"/>
  <c r="J150" i="3"/>
  <c r="K149" i="3"/>
  <c r="J149" i="3"/>
  <c r="K148" i="3"/>
  <c r="J148" i="3"/>
  <c r="K147" i="3"/>
  <c r="J147" i="3"/>
  <c r="L146" i="3"/>
  <c r="K146" i="3"/>
  <c r="J146" i="3"/>
  <c r="K145" i="3"/>
  <c r="J145" i="3"/>
  <c r="L144" i="3"/>
  <c r="K144" i="3"/>
  <c r="J144" i="3"/>
  <c r="K143" i="3"/>
  <c r="J143" i="3"/>
  <c r="K142" i="3"/>
  <c r="J142" i="3"/>
  <c r="K141" i="3"/>
  <c r="J141" i="3"/>
  <c r="K140" i="3"/>
  <c r="J140" i="3"/>
  <c r="K139" i="3"/>
  <c r="J139" i="3"/>
  <c r="L138" i="3"/>
  <c r="K138" i="3"/>
  <c r="J138" i="3"/>
  <c r="K137" i="3"/>
  <c r="J137" i="3"/>
  <c r="L136" i="3"/>
  <c r="K136" i="3"/>
  <c r="J136" i="3"/>
  <c r="K135" i="3"/>
  <c r="J135" i="3"/>
  <c r="K134" i="3"/>
  <c r="J134" i="3"/>
  <c r="K133" i="3"/>
  <c r="J133" i="3"/>
  <c r="K132" i="3"/>
  <c r="J132" i="3"/>
  <c r="K131" i="3"/>
  <c r="J131" i="3"/>
  <c r="L130" i="3"/>
  <c r="K130" i="3"/>
  <c r="J130" i="3"/>
  <c r="K129" i="3"/>
  <c r="J129" i="3"/>
  <c r="L128" i="3"/>
  <c r="K128" i="3"/>
  <c r="J128" i="3"/>
  <c r="K127" i="3"/>
  <c r="J127" i="3"/>
  <c r="K126" i="3"/>
  <c r="J126" i="3"/>
  <c r="K125" i="3"/>
  <c r="J125" i="3"/>
  <c r="K124" i="3"/>
  <c r="J124" i="3"/>
  <c r="K123" i="3"/>
  <c r="J123" i="3"/>
  <c r="L122" i="3"/>
  <c r="K122" i="3"/>
  <c r="J122" i="3"/>
  <c r="K121" i="3"/>
  <c r="J121" i="3"/>
  <c r="L120" i="3"/>
  <c r="K120" i="3"/>
  <c r="J120" i="3"/>
  <c r="K119" i="3"/>
  <c r="J119" i="3"/>
  <c r="K118" i="3"/>
  <c r="J118" i="3"/>
  <c r="K117" i="3"/>
  <c r="J117" i="3"/>
  <c r="K116" i="3"/>
  <c r="J116" i="3"/>
  <c r="K115" i="3"/>
  <c r="J115" i="3"/>
  <c r="L114" i="3"/>
  <c r="K114" i="3"/>
  <c r="J114" i="3"/>
  <c r="K113" i="3"/>
  <c r="J113" i="3"/>
  <c r="J120" i="1"/>
  <c r="K120" i="1"/>
  <c r="J121" i="1"/>
  <c r="K121" i="1"/>
  <c r="J122" i="1"/>
  <c r="K122" i="1"/>
  <c r="J123" i="1"/>
  <c r="K123" i="1"/>
  <c r="J124" i="1"/>
  <c r="K124" i="1"/>
  <c r="J125" i="1"/>
  <c r="K125" i="1"/>
  <c r="J126" i="1"/>
  <c r="K126" i="1"/>
  <c r="J127" i="1"/>
  <c r="K127" i="1"/>
  <c r="J128" i="1"/>
  <c r="K128" i="1"/>
  <c r="J129" i="1"/>
  <c r="K129" i="1"/>
  <c r="J130" i="1"/>
  <c r="K130" i="1"/>
  <c r="J131" i="1"/>
  <c r="K131" i="1"/>
  <c r="J132" i="1"/>
  <c r="K132" i="1"/>
  <c r="J133" i="1"/>
  <c r="K133" i="1"/>
  <c r="J134" i="1"/>
  <c r="K134" i="1"/>
  <c r="J135" i="1"/>
  <c r="K135" i="1"/>
  <c r="J136" i="1"/>
  <c r="K136" i="1"/>
  <c r="J137" i="1"/>
  <c r="K137" i="1"/>
  <c r="J138" i="1"/>
  <c r="K138" i="1"/>
  <c r="J139" i="1"/>
  <c r="K139" i="1"/>
  <c r="J140" i="1"/>
  <c r="K140" i="1"/>
  <c r="J141" i="1"/>
  <c r="K141" i="1"/>
  <c r="J142" i="1"/>
  <c r="K142" i="1"/>
  <c r="J143" i="1"/>
  <c r="K143" i="1"/>
  <c r="J144" i="1"/>
  <c r="K144" i="1"/>
  <c r="J145" i="1"/>
  <c r="K145" i="1"/>
  <c r="J146" i="1"/>
  <c r="K146" i="1"/>
  <c r="J147" i="1"/>
  <c r="K147" i="1"/>
  <c r="J148" i="1"/>
  <c r="K148" i="1"/>
  <c r="J149" i="1"/>
  <c r="K149" i="1"/>
  <c r="J150" i="1"/>
  <c r="K150" i="1"/>
  <c r="J151" i="1"/>
  <c r="K151" i="1"/>
  <c r="J152" i="1"/>
  <c r="K152" i="1"/>
  <c r="J153" i="1"/>
  <c r="K153" i="1"/>
  <c r="J154" i="1"/>
  <c r="K154" i="1"/>
  <c r="J155" i="1"/>
  <c r="K155" i="1"/>
  <c r="J156" i="1"/>
  <c r="K156" i="1"/>
  <c r="J157" i="1"/>
  <c r="K157" i="1"/>
  <c r="J158" i="1"/>
  <c r="K158" i="1"/>
  <c r="J159" i="1"/>
  <c r="K159" i="1"/>
  <c r="J160" i="1"/>
  <c r="K160" i="1"/>
  <c r="J161" i="1"/>
  <c r="K161" i="1"/>
  <c r="J162" i="1"/>
  <c r="K162" i="1"/>
  <c r="J163" i="1"/>
  <c r="K163" i="1"/>
  <c r="J164" i="1"/>
  <c r="K164" i="1"/>
  <c r="J165" i="1"/>
  <c r="K165" i="1"/>
  <c r="J166" i="1"/>
  <c r="K166" i="1"/>
  <c r="J167" i="1"/>
  <c r="K167" i="1"/>
  <c r="J168" i="1"/>
  <c r="K168" i="1"/>
  <c r="J169" i="1"/>
  <c r="K169" i="1"/>
  <c r="J170" i="1"/>
  <c r="K170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B120" i="1"/>
  <c r="C120" i="1"/>
  <c r="B121" i="1"/>
  <c r="C121" i="1"/>
  <c r="B122" i="1"/>
  <c r="C122" i="1"/>
  <c r="B123" i="1"/>
  <c r="C123" i="1"/>
  <c r="B124" i="1"/>
  <c r="F124" i="1"/>
  <c r="B125" i="1"/>
  <c r="C125" i="1"/>
  <c r="B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B141" i="1"/>
  <c r="C141" i="1"/>
  <c r="B142" i="1"/>
  <c r="D142" i="1"/>
  <c r="B143" i="1"/>
  <c r="F144" i="1"/>
  <c r="B144" i="1"/>
  <c r="C144" i="1"/>
  <c r="B145" i="1"/>
  <c r="F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F156" i="1"/>
  <c r="B157" i="1"/>
  <c r="C157" i="1"/>
  <c r="B158" i="1"/>
  <c r="B159" i="1"/>
  <c r="C159" i="1"/>
  <c r="B160" i="1"/>
  <c r="C160" i="1"/>
  <c r="B161" i="1"/>
  <c r="B162" i="1"/>
  <c r="B163" i="1"/>
  <c r="C163" i="1"/>
  <c r="B164" i="1"/>
  <c r="C164" i="1"/>
  <c r="B165" i="1"/>
  <c r="C165" i="1"/>
  <c r="B166" i="1"/>
  <c r="B167" i="1"/>
  <c r="L167" i="1"/>
  <c r="B168" i="1"/>
  <c r="C168" i="1"/>
  <c r="B169" i="1"/>
  <c r="C169" i="1"/>
  <c r="B170" i="1"/>
  <c r="C170" i="1"/>
  <c r="U103" i="4"/>
  <c r="U75" i="4"/>
  <c r="U59" i="4"/>
  <c r="I103" i="4"/>
  <c r="I75" i="4"/>
  <c r="K75" i="4"/>
  <c r="I59" i="4"/>
  <c r="K59" i="4"/>
  <c r="G59" i="4"/>
  <c r="G60" i="4"/>
  <c r="H61" i="4"/>
  <c r="H60" i="4"/>
  <c r="B61" i="4"/>
  <c r="G61" i="4"/>
  <c r="G62" i="4"/>
  <c r="B62" i="4"/>
  <c r="G63" i="4"/>
  <c r="G64" i="4"/>
  <c r="B64" i="4"/>
  <c r="H64" i="4"/>
  <c r="G65" i="4"/>
  <c r="G66" i="4"/>
  <c r="B66" i="4"/>
  <c r="G67" i="4"/>
  <c r="B67" i="4"/>
  <c r="G68" i="4"/>
  <c r="B68" i="4"/>
  <c r="G69" i="4"/>
  <c r="B69" i="4"/>
  <c r="L70" i="4"/>
  <c r="B70" i="4"/>
  <c r="G70" i="4"/>
  <c r="H70" i="4"/>
  <c r="B71" i="4"/>
  <c r="G71" i="4"/>
  <c r="H71" i="4"/>
  <c r="G72" i="4"/>
  <c r="B72" i="4"/>
  <c r="H72" i="4"/>
  <c r="G73" i="4"/>
  <c r="G74" i="4"/>
  <c r="B74" i="4"/>
  <c r="G75" i="4"/>
  <c r="G76" i="4"/>
  <c r="H76" i="4"/>
  <c r="B77" i="4"/>
  <c r="G77" i="4"/>
  <c r="G78" i="4"/>
  <c r="B78" i="4"/>
  <c r="H78" i="4"/>
  <c r="G79" i="4"/>
  <c r="G80" i="4"/>
  <c r="B80" i="4"/>
  <c r="G81" i="4"/>
  <c r="G82" i="4"/>
  <c r="B82" i="4"/>
  <c r="G83" i="4"/>
  <c r="H83" i="4"/>
  <c r="G84" i="4"/>
  <c r="B84" i="4"/>
  <c r="G85" i="4"/>
  <c r="H86" i="4"/>
  <c r="B86" i="4"/>
  <c r="G86" i="4"/>
  <c r="B87" i="4"/>
  <c r="G87" i="4"/>
  <c r="G88" i="4"/>
  <c r="B88" i="4"/>
  <c r="G89" i="4"/>
  <c r="B89" i="4"/>
  <c r="B90" i="4"/>
  <c r="G90" i="4"/>
  <c r="G91" i="4"/>
  <c r="H91" i="4"/>
  <c r="G92" i="4"/>
  <c r="B92" i="4"/>
  <c r="G93" i="4"/>
  <c r="B93" i="4"/>
  <c r="B94" i="4"/>
  <c r="G94" i="4"/>
  <c r="G95" i="4"/>
  <c r="H95" i="4"/>
  <c r="G96" i="4"/>
  <c r="B96" i="4"/>
  <c r="G97" i="4"/>
  <c r="B97" i="4"/>
  <c r="G98" i="4"/>
  <c r="H99" i="4"/>
  <c r="H98" i="4"/>
  <c r="G99" i="4"/>
  <c r="B99" i="4"/>
  <c r="G100" i="4"/>
  <c r="B100" i="4"/>
  <c r="G101" i="4"/>
  <c r="B101" i="4"/>
  <c r="B102" i="4"/>
  <c r="F102" i="4"/>
  <c r="G102" i="4"/>
  <c r="H102" i="4"/>
  <c r="G103" i="4"/>
  <c r="H103" i="4"/>
  <c r="G104" i="4"/>
  <c r="B104" i="4"/>
  <c r="G105" i="4"/>
  <c r="B105" i="4"/>
  <c r="H105" i="4"/>
  <c r="G106" i="4"/>
  <c r="B106" i="4"/>
  <c r="B107" i="4"/>
  <c r="G107" i="4"/>
  <c r="G108" i="4"/>
  <c r="H108" i="4"/>
  <c r="G109" i="4"/>
  <c r="H110" i="4"/>
  <c r="J59" i="4"/>
  <c r="J61" i="4"/>
  <c r="K61" i="4"/>
  <c r="J62" i="4"/>
  <c r="K62" i="4"/>
  <c r="J63" i="4"/>
  <c r="K63" i="4"/>
  <c r="J64" i="4"/>
  <c r="K64" i="4"/>
  <c r="J65" i="4"/>
  <c r="K65" i="4"/>
  <c r="J66" i="4"/>
  <c r="K66" i="4"/>
  <c r="J67" i="4"/>
  <c r="K67" i="4"/>
  <c r="J68" i="4"/>
  <c r="K68" i="4"/>
  <c r="J69" i="4"/>
  <c r="K69" i="4"/>
  <c r="J70" i="4"/>
  <c r="K70" i="4"/>
  <c r="J74" i="4"/>
  <c r="K74" i="4"/>
  <c r="J75" i="4"/>
  <c r="J77" i="4"/>
  <c r="K77" i="4"/>
  <c r="J78" i="4"/>
  <c r="K78" i="4"/>
  <c r="J79" i="4"/>
  <c r="K79" i="4"/>
  <c r="J80" i="4"/>
  <c r="K80" i="4"/>
  <c r="J81" i="4"/>
  <c r="K81" i="4"/>
  <c r="J82" i="4"/>
  <c r="K82" i="4"/>
  <c r="J83" i="4"/>
  <c r="K83" i="4"/>
  <c r="J84" i="4"/>
  <c r="K84" i="4"/>
  <c r="J85" i="4"/>
  <c r="K85" i="4"/>
  <c r="J86" i="4"/>
  <c r="K86" i="4"/>
  <c r="J87" i="4"/>
  <c r="K87" i="4"/>
  <c r="J88" i="4"/>
  <c r="K88" i="4"/>
  <c r="J89" i="4"/>
  <c r="K89" i="4"/>
  <c r="J90" i="4"/>
  <c r="K90" i="4"/>
  <c r="J91" i="4"/>
  <c r="K91" i="4"/>
  <c r="J92" i="4"/>
  <c r="K92" i="4"/>
  <c r="J93" i="4"/>
  <c r="K93" i="4"/>
  <c r="J94" i="4"/>
  <c r="K94" i="4"/>
  <c r="J95" i="4"/>
  <c r="K95" i="4"/>
  <c r="J96" i="4"/>
  <c r="K96" i="4"/>
  <c r="J97" i="4"/>
  <c r="K97" i="4"/>
  <c r="J98" i="4"/>
  <c r="K98" i="4"/>
  <c r="J99" i="4"/>
  <c r="K99" i="4"/>
  <c r="J100" i="4"/>
  <c r="K100" i="4"/>
  <c r="J101" i="4"/>
  <c r="K101" i="4"/>
  <c r="J102" i="4"/>
  <c r="K102" i="4"/>
  <c r="J103" i="4"/>
  <c r="K103" i="4"/>
  <c r="J104" i="4"/>
  <c r="K104" i="4"/>
  <c r="J105" i="4"/>
  <c r="K105" i="4"/>
  <c r="J106" i="4"/>
  <c r="K106" i="4"/>
  <c r="J107" i="4"/>
  <c r="K107" i="4"/>
  <c r="J108" i="4"/>
  <c r="K108" i="4"/>
  <c r="J109" i="4"/>
  <c r="K109" i="4"/>
  <c r="K58" i="4"/>
  <c r="H109" i="4"/>
  <c r="H94" i="4"/>
  <c r="H92" i="4"/>
  <c r="B83" i="4"/>
  <c r="H63" i="4"/>
  <c r="B103" i="4"/>
  <c r="H90" i="4"/>
  <c r="H82" i="4"/>
  <c r="H68" i="4"/>
  <c r="B63" i="4"/>
  <c r="H62" i="4"/>
  <c r="B59" i="4"/>
  <c r="D102" i="4"/>
  <c r="E102" i="4"/>
  <c r="H75" i="4"/>
  <c r="B85" i="4"/>
  <c r="B109" i="4"/>
  <c r="H101" i="4"/>
  <c r="H87" i="4"/>
  <c r="H84" i="4"/>
  <c r="H79" i="4"/>
  <c r="F148" i="1"/>
  <c r="L153" i="1"/>
  <c r="D166" i="1"/>
  <c r="E166" i="1"/>
  <c r="F162" i="1"/>
  <c r="L170" i="1"/>
  <c r="C166" i="1"/>
  <c r="L165" i="1"/>
  <c r="F170" i="1"/>
  <c r="F146" i="1"/>
  <c r="F157" i="1"/>
  <c r="F132" i="1"/>
  <c r="D126" i="1"/>
  <c r="L146" i="1"/>
  <c r="F125" i="1"/>
  <c r="L138" i="1"/>
  <c r="D162" i="1"/>
  <c r="E162" i="1"/>
  <c r="D121" i="1"/>
  <c r="E121" i="1"/>
  <c r="L145" i="1"/>
  <c r="D171" i="1"/>
  <c r="F171" i="1"/>
  <c r="L171" i="1"/>
  <c r="F160" i="1"/>
  <c r="E142" i="1"/>
  <c r="F136" i="1"/>
  <c r="D150" i="1"/>
  <c r="E150" i="1"/>
  <c r="C145" i="1"/>
  <c r="F140" i="1"/>
  <c r="F135" i="1"/>
  <c r="E126" i="1"/>
  <c r="L125" i="1"/>
  <c r="F164" i="1"/>
  <c r="D153" i="1"/>
  <c r="E153" i="1"/>
  <c r="F138" i="1"/>
  <c r="L157" i="1"/>
  <c r="F167" i="1"/>
  <c r="F143" i="1"/>
  <c r="F129" i="1"/>
  <c r="L121" i="1"/>
  <c r="C167" i="1"/>
  <c r="C162" i="1"/>
  <c r="D158" i="1"/>
  <c r="E158" i="1"/>
  <c r="C143" i="1"/>
  <c r="F128" i="1"/>
  <c r="L149" i="1"/>
  <c r="L136" i="2"/>
  <c r="L151" i="2"/>
  <c r="L137" i="2"/>
  <c r="F139" i="2"/>
  <c r="L153" i="2"/>
  <c r="F124" i="2"/>
  <c r="L139" i="2"/>
  <c r="F118" i="2"/>
  <c r="F116" i="2"/>
  <c r="L127" i="2"/>
  <c r="L131" i="2"/>
  <c r="C146" i="2"/>
  <c r="D135" i="2"/>
  <c r="E135" i="2"/>
  <c r="F132" i="2"/>
  <c r="E122" i="2"/>
  <c r="E162" i="2"/>
  <c r="E154" i="2"/>
  <c r="L147" i="2"/>
  <c r="L119" i="2"/>
  <c r="C151" i="2"/>
  <c r="C121" i="2"/>
  <c r="F162" i="2"/>
  <c r="F146" i="2"/>
  <c r="F138" i="2"/>
  <c r="F130" i="2"/>
  <c r="F122" i="2"/>
  <c r="F114" i="2"/>
  <c r="L144" i="2"/>
  <c r="F115" i="2"/>
  <c r="F161" i="2"/>
  <c r="F153" i="2"/>
  <c r="F137" i="2"/>
  <c r="F129" i="2"/>
  <c r="F121" i="2"/>
  <c r="F113" i="2"/>
  <c r="F148" i="2"/>
  <c r="F147" i="2"/>
  <c r="F123" i="2"/>
  <c r="L113" i="2"/>
  <c r="L129" i="2"/>
  <c r="L145" i="2"/>
  <c r="L161" i="2"/>
  <c r="D159" i="2"/>
  <c r="E159" i="2"/>
  <c r="C154" i="2"/>
  <c r="D145" i="2"/>
  <c r="E145" i="2"/>
  <c r="L140" i="2"/>
  <c r="C135" i="2"/>
  <c r="D130" i="2"/>
  <c r="E130" i="2"/>
  <c r="F160" i="2"/>
  <c r="F152" i="2"/>
  <c r="F144" i="2"/>
  <c r="F136" i="2"/>
  <c r="F128" i="2"/>
  <c r="F120" i="2"/>
  <c r="F112" i="2"/>
  <c r="L160" i="2"/>
  <c r="L123" i="2"/>
  <c r="L152" i="2"/>
  <c r="L155" i="2"/>
  <c r="C159" i="2"/>
  <c r="C129" i="2"/>
  <c r="D119" i="2"/>
  <c r="E119" i="2"/>
  <c r="F143" i="2"/>
  <c r="L143" i="2"/>
  <c r="L159" i="2"/>
  <c r="D143" i="2"/>
  <c r="E143" i="2"/>
  <c r="D114" i="2"/>
  <c r="E114" i="2"/>
  <c r="F158" i="2"/>
  <c r="F150" i="2"/>
  <c r="F134" i="2"/>
  <c r="C162" i="2"/>
  <c r="D153" i="2"/>
  <c r="E153" i="2"/>
  <c r="L148" i="2"/>
  <c r="D138" i="2"/>
  <c r="E138" i="2"/>
  <c r="C113" i="2"/>
  <c r="F157" i="2"/>
  <c r="F149" i="2"/>
  <c r="F141" i="2"/>
  <c r="F133" i="2"/>
  <c r="F125" i="2"/>
  <c r="F117" i="2"/>
  <c r="D156" i="2"/>
  <c r="E156" i="2"/>
  <c r="D148" i="2"/>
  <c r="E148" i="2"/>
  <c r="D140" i="2"/>
  <c r="E140" i="2"/>
  <c r="D132" i="2"/>
  <c r="E132" i="2"/>
  <c r="D124" i="2"/>
  <c r="E124" i="2"/>
  <c r="D116" i="2"/>
  <c r="E116" i="2"/>
  <c r="E113" i="2"/>
  <c r="L118" i="2"/>
  <c r="E121" i="2"/>
  <c r="L126" i="2"/>
  <c r="E129" i="2"/>
  <c r="L134" i="2"/>
  <c r="E137" i="2"/>
  <c r="L142" i="2"/>
  <c r="L150" i="2"/>
  <c r="L158" i="2"/>
  <c r="E161" i="2"/>
  <c r="C156" i="2"/>
  <c r="C148" i="2"/>
  <c r="C140" i="2"/>
  <c r="C132" i="2"/>
  <c r="C124" i="2"/>
  <c r="C116" i="2"/>
  <c r="D118" i="2"/>
  <c r="E118" i="2"/>
  <c r="D155" i="2"/>
  <c r="E155" i="2"/>
  <c r="D147" i="2"/>
  <c r="E147" i="2"/>
  <c r="D139" i="2"/>
  <c r="E139" i="2"/>
  <c r="D131" i="2"/>
  <c r="E131" i="2"/>
  <c r="D123" i="2"/>
  <c r="E123" i="2"/>
  <c r="D115" i="2"/>
  <c r="E115" i="2"/>
  <c r="D158" i="2"/>
  <c r="E158" i="2"/>
  <c r="D150" i="2"/>
  <c r="E150" i="2"/>
  <c r="D142" i="2"/>
  <c r="E142" i="2"/>
  <c r="D134" i="2"/>
  <c r="E134" i="2"/>
  <c r="D126" i="2"/>
  <c r="E126" i="2"/>
  <c r="D160" i="2"/>
  <c r="E160" i="2"/>
  <c r="D152" i="2"/>
  <c r="E152" i="2"/>
  <c r="D144" i="2"/>
  <c r="D136" i="2"/>
  <c r="D128" i="2"/>
  <c r="D120" i="2"/>
  <c r="E120" i="2"/>
  <c r="D112" i="2"/>
  <c r="E112" i="2"/>
  <c r="L114" i="2"/>
  <c r="L122" i="2"/>
  <c r="L130" i="2"/>
  <c r="L138" i="2"/>
  <c r="L146" i="2"/>
  <c r="L154" i="2"/>
  <c r="L162" i="2"/>
  <c r="D157" i="2"/>
  <c r="E157" i="2"/>
  <c r="D149" i="2"/>
  <c r="E149" i="2"/>
  <c r="D141" i="2"/>
  <c r="E141" i="2"/>
  <c r="D133" i="2"/>
  <c r="E133" i="2"/>
  <c r="D125" i="2"/>
  <c r="E125" i="2"/>
  <c r="D117" i="2"/>
  <c r="E117" i="2"/>
  <c r="L117" i="2"/>
  <c r="L125" i="2"/>
  <c r="E128" i="2"/>
  <c r="L133" i="2"/>
  <c r="E136" i="2"/>
  <c r="L141" i="2"/>
  <c r="E144" i="2"/>
  <c r="L149" i="2"/>
  <c r="L157" i="2"/>
  <c r="F149" i="3"/>
  <c r="L139" i="3"/>
  <c r="F147" i="3"/>
  <c r="F115" i="3"/>
  <c r="D150" i="3"/>
  <c r="D118" i="3"/>
  <c r="L118" i="3"/>
  <c r="L126" i="3"/>
  <c r="L134" i="3"/>
  <c r="L142" i="3"/>
  <c r="L150" i="3"/>
  <c r="L158" i="3"/>
  <c r="F162" i="3"/>
  <c r="F154" i="3"/>
  <c r="F146" i="3"/>
  <c r="F138" i="3"/>
  <c r="F114" i="3"/>
  <c r="D155" i="3"/>
  <c r="D147" i="3"/>
  <c r="D139" i="3"/>
  <c r="D131" i="3"/>
  <c r="D123" i="3"/>
  <c r="D115" i="3"/>
  <c r="L113" i="3"/>
  <c r="L121" i="3"/>
  <c r="L129" i="3"/>
  <c r="L137" i="3"/>
  <c r="L145" i="3"/>
  <c r="L153" i="3"/>
  <c r="L161" i="3"/>
  <c r="D160" i="3"/>
  <c r="D152" i="3"/>
  <c r="D144" i="3"/>
  <c r="D136" i="3"/>
  <c r="D128" i="3"/>
  <c r="D120" i="3"/>
  <c r="D112" i="3"/>
  <c r="L125" i="3"/>
  <c r="L141" i="3"/>
  <c r="L157" i="3"/>
  <c r="F141" i="3"/>
  <c r="F125" i="3"/>
  <c r="L115" i="3"/>
  <c r="L123" i="3"/>
  <c r="L155" i="3"/>
  <c r="F155" i="3"/>
  <c r="F131" i="3"/>
  <c r="D126" i="3"/>
  <c r="F122" i="3"/>
  <c r="F160" i="3"/>
  <c r="F152" i="3"/>
  <c r="F144" i="3"/>
  <c r="F136" i="3"/>
  <c r="F128" i="3"/>
  <c r="F120" i="3"/>
  <c r="D157" i="3"/>
  <c r="D149" i="3"/>
  <c r="D141" i="3"/>
  <c r="D133" i="3"/>
  <c r="D125" i="3"/>
  <c r="D117" i="3"/>
  <c r="L117" i="3"/>
  <c r="L133" i="3"/>
  <c r="L149" i="3"/>
  <c r="F157" i="3"/>
  <c r="F133" i="3"/>
  <c r="F117" i="3"/>
  <c r="L131" i="3"/>
  <c r="L147" i="3"/>
  <c r="F139" i="3"/>
  <c r="F123" i="3"/>
  <c r="D158" i="3"/>
  <c r="D142" i="3"/>
  <c r="D134" i="3"/>
  <c r="F130" i="3"/>
  <c r="L119" i="3"/>
  <c r="L127" i="3"/>
  <c r="L135" i="3"/>
  <c r="L143" i="3"/>
  <c r="L151" i="3"/>
  <c r="L159" i="3"/>
  <c r="L141" i="1"/>
  <c r="L154" i="1"/>
  <c r="L159" i="1"/>
  <c r="L151" i="1"/>
  <c r="L143" i="1"/>
  <c r="L135" i="1"/>
  <c r="L127" i="1"/>
  <c r="D160" i="1"/>
  <c r="E160" i="1"/>
  <c r="C156" i="1"/>
  <c r="F153" i="1"/>
  <c r="F149" i="1"/>
  <c r="D145" i="1"/>
  <c r="E145" i="1"/>
  <c r="C142" i="1"/>
  <c r="C124" i="1"/>
  <c r="F121" i="1"/>
  <c r="L164" i="1"/>
  <c r="L156" i="1"/>
  <c r="L148" i="1"/>
  <c r="L140" i="1"/>
  <c r="L132" i="1"/>
  <c r="L124" i="1"/>
  <c r="F159" i="1"/>
  <c r="F152" i="1"/>
  <c r="F130" i="1"/>
  <c r="L129" i="1"/>
  <c r="L166" i="1"/>
  <c r="L158" i="1"/>
  <c r="L150" i="1"/>
  <c r="L142" i="1"/>
  <c r="L134" i="1"/>
  <c r="L126" i="1"/>
  <c r="L133" i="1"/>
  <c r="D169" i="1"/>
  <c r="E169" i="1"/>
  <c r="F141" i="1"/>
  <c r="F169" i="1"/>
  <c r="F165" i="1"/>
  <c r="D161" i="1"/>
  <c r="E161" i="1"/>
  <c r="F154" i="1"/>
  <c r="F151" i="1"/>
  <c r="D134" i="1"/>
  <c r="E134" i="1"/>
  <c r="F122" i="1"/>
  <c r="L163" i="1"/>
  <c r="L155" i="1"/>
  <c r="L147" i="1"/>
  <c r="L139" i="1"/>
  <c r="L131" i="1"/>
  <c r="L123" i="1"/>
  <c r="L162" i="1"/>
  <c r="L130" i="1"/>
  <c r="L122" i="1"/>
  <c r="F127" i="1"/>
  <c r="L169" i="1"/>
  <c r="L161" i="1"/>
  <c r="L137" i="1"/>
  <c r="D137" i="1"/>
  <c r="E137" i="1"/>
  <c r="F168" i="1"/>
  <c r="C161" i="1"/>
  <c r="C158" i="1"/>
  <c r="C140" i="1"/>
  <c r="F137" i="1"/>
  <c r="F133" i="1"/>
  <c r="D129" i="1"/>
  <c r="E129" i="1"/>
  <c r="C126" i="1"/>
  <c r="L168" i="1"/>
  <c r="L160" i="1"/>
  <c r="L152" i="1"/>
  <c r="L144" i="1"/>
  <c r="L136" i="1"/>
  <c r="L128" i="1"/>
  <c r="D124" i="1"/>
  <c r="E124" i="1"/>
  <c r="D159" i="1"/>
  <c r="E159" i="1"/>
  <c r="D135" i="1"/>
  <c r="E135" i="1"/>
  <c r="D154" i="1"/>
  <c r="E154" i="1"/>
  <c r="D146" i="1"/>
  <c r="E146" i="1"/>
  <c r="D138" i="1"/>
  <c r="E138" i="1"/>
  <c r="D130" i="1"/>
  <c r="E130" i="1"/>
  <c r="D122" i="1"/>
  <c r="E122" i="1"/>
  <c r="D165" i="1"/>
  <c r="E165" i="1"/>
  <c r="F163" i="1"/>
  <c r="D157" i="1"/>
  <c r="E157" i="1"/>
  <c r="F155" i="1"/>
  <c r="D149" i="1"/>
  <c r="E149" i="1"/>
  <c r="F147" i="1"/>
  <c r="D141" i="1"/>
  <c r="E141" i="1"/>
  <c r="F139" i="1"/>
  <c r="D133" i="1"/>
  <c r="E133" i="1"/>
  <c r="F131" i="1"/>
  <c r="D125" i="1"/>
  <c r="E125" i="1"/>
  <c r="F123" i="1"/>
  <c r="D168" i="1"/>
  <c r="E168" i="1"/>
  <c r="F166" i="1"/>
  <c r="F158" i="1"/>
  <c r="D152" i="1"/>
  <c r="E152" i="1"/>
  <c r="F150" i="1"/>
  <c r="D144" i="1"/>
  <c r="E144" i="1"/>
  <c r="F142" i="1"/>
  <c r="D136" i="1"/>
  <c r="E136" i="1"/>
  <c r="F134" i="1"/>
  <c r="D128" i="1"/>
  <c r="E128" i="1"/>
  <c r="F126" i="1"/>
  <c r="D156" i="1"/>
  <c r="E156" i="1"/>
  <c r="D148" i="1"/>
  <c r="E148" i="1"/>
  <c r="D132" i="1"/>
  <c r="E132" i="1"/>
  <c r="D151" i="1"/>
  <c r="E151" i="1"/>
  <c r="D143" i="1"/>
  <c r="E143" i="1"/>
  <c r="D127" i="1"/>
  <c r="E127" i="1"/>
  <c r="D170" i="1"/>
  <c r="E170" i="1"/>
  <c r="D163" i="1"/>
  <c r="E163" i="1"/>
  <c r="F161" i="1"/>
  <c r="D155" i="1"/>
  <c r="E155" i="1"/>
  <c r="D147" i="1"/>
  <c r="E147" i="1"/>
  <c r="D139" i="1"/>
  <c r="E139" i="1"/>
  <c r="D131" i="1"/>
  <c r="E131" i="1"/>
  <c r="D123" i="1"/>
  <c r="E123" i="1"/>
  <c r="D164" i="1"/>
  <c r="E164" i="1"/>
  <c r="D140" i="1"/>
  <c r="E140" i="1"/>
  <c r="D167" i="1"/>
  <c r="E167" i="1"/>
  <c r="F104" i="4"/>
  <c r="B75" i="4"/>
  <c r="L72" i="4"/>
  <c r="L102" i="4"/>
  <c r="D97" i="4"/>
  <c r="E97" i="4"/>
  <c r="D87" i="4"/>
  <c r="E87" i="4"/>
  <c r="L94" i="4"/>
  <c r="L62" i="4"/>
  <c r="D64" i="4"/>
  <c r="E64" i="4"/>
  <c r="D94" i="4"/>
  <c r="E94" i="4"/>
  <c r="L103" i="4"/>
  <c r="F78" i="4"/>
  <c r="D86" i="4"/>
  <c r="E86" i="4"/>
  <c r="F72" i="4"/>
  <c r="D78" i="4"/>
  <c r="E78" i="4"/>
  <c r="L97" i="4"/>
  <c r="F94" i="4"/>
  <c r="L90" i="4"/>
  <c r="D72" i="4"/>
  <c r="E72" i="4"/>
  <c r="K76" i="4"/>
  <c r="J76" i="4"/>
  <c r="K60" i="4"/>
  <c r="J60" i="4"/>
  <c r="L84" i="4"/>
  <c r="L85" i="4"/>
  <c r="D85" i="4"/>
  <c r="E85" i="4"/>
  <c r="D100" i="4"/>
  <c r="E100" i="4"/>
  <c r="D93" i="4"/>
  <c r="E93" i="4"/>
  <c r="D68" i="4"/>
  <c r="E68" i="4"/>
  <c r="L68" i="4"/>
  <c r="F68" i="4"/>
  <c r="D106" i="4"/>
  <c r="E106" i="4"/>
  <c r="L106" i="4"/>
  <c r="F107" i="4"/>
  <c r="F106" i="4"/>
  <c r="L88" i="4"/>
  <c r="D104" i="4"/>
  <c r="E104" i="4"/>
  <c r="B76" i="4"/>
  <c r="D77" i="4"/>
  <c r="E77" i="4"/>
  <c r="H73" i="4"/>
  <c r="B73" i="4"/>
  <c r="D74" i="4"/>
  <c r="E74" i="4"/>
  <c r="F63" i="4"/>
  <c r="L63" i="4"/>
  <c r="D107" i="4"/>
  <c r="E107" i="4"/>
  <c r="F105" i="4"/>
  <c r="L100" i="4"/>
  <c r="F100" i="4"/>
  <c r="H96" i="4"/>
  <c r="D70" i="4"/>
  <c r="E70" i="4"/>
  <c r="L64" i="4"/>
  <c r="D75" i="4"/>
  <c r="E75" i="4"/>
  <c r="H65" i="4"/>
  <c r="B65" i="4"/>
  <c r="D66" i="4"/>
  <c r="E66" i="4"/>
  <c r="B98" i="4"/>
  <c r="D99" i="4"/>
  <c r="E99" i="4"/>
  <c r="F89" i="4"/>
  <c r="F70" i="4"/>
  <c r="L104" i="4"/>
  <c r="L101" i="4"/>
  <c r="L69" i="4"/>
  <c r="L66" i="4"/>
  <c r="B108" i="4"/>
  <c r="F109" i="4"/>
  <c r="H104" i="4"/>
  <c r="F101" i="4"/>
  <c r="H97" i="4"/>
  <c r="B95" i="4"/>
  <c r="F96" i="4"/>
  <c r="H93" i="4"/>
  <c r="F86" i="4"/>
  <c r="B79" i="4"/>
  <c r="H74" i="4"/>
  <c r="D71" i="4"/>
  <c r="E71" i="4"/>
  <c r="H69" i="4"/>
  <c r="D67" i="4"/>
  <c r="E67" i="4"/>
  <c r="B60" i="4"/>
  <c r="D61" i="4"/>
  <c r="E61" i="4"/>
  <c r="D90" i="4"/>
  <c r="E90" i="4"/>
  <c r="F64" i="4"/>
  <c r="L105" i="4"/>
  <c r="L87" i="4"/>
  <c r="H106" i="4"/>
  <c r="D101" i="4"/>
  <c r="E101" i="4"/>
  <c r="L78" i="4"/>
  <c r="F103" i="4"/>
  <c r="B91" i="4"/>
  <c r="D92" i="4"/>
  <c r="E92" i="4"/>
  <c r="H67" i="4"/>
  <c r="L89" i="4"/>
  <c r="D89" i="4"/>
  <c r="E89" i="4"/>
  <c r="F87" i="4"/>
  <c r="F67" i="4"/>
  <c r="F62" i="4"/>
  <c r="D69" i="4"/>
  <c r="E69" i="4"/>
  <c r="F69" i="4"/>
  <c r="F88" i="4"/>
  <c r="F66" i="4"/>
  <c r="L67" i="4"/>
  <c r="F93" i="4"/>
  <c r="H89" i="4"/>
  <c r="H85" i="4"/>
  <c r="L93" i="4"/>
  <c r="D88" i="4"/>
  <c r="E88" i="4"/>
  <c r="H80" i="4"/>
  <c r="H77" i="4"/>
  <c r="L107" i="4"/>
  <c r="L75" i="4"/>
  <c r="D105" i="4"/>
  <c r="E105" i="4"/>
  <c r="D62" i="4"/>
  <c r="E62" i="4"/>
  <c r="L86" i="4"/>
  <c r="H107" i="4"/>
  <c r="D103" i="4"/>
  <c r="E103" i="4"/>
  <c r="H100" i="4"/>
  <c r="F97" i="4"/>
  <c r="F90" i="4"/>
  <c r="H88" i="4"/>
  <c r="F85" i="4"/>
  <c r="H81" i="4"/>
  <c r="B81" i="4"/>
  <c r="F74" i="4"/>
  <c r="F71" i="4"/>
  <c r="L71" i="4"/>
  <c r="H66" i="4"/>
  <c r="D63" i="4"/>
  <c r="E63" i="4"/>
  <c r="H111" i="2"/>
  <c r="B111" i="2"/>
  <c r="H111" i="3"/>
  <c r="B111" i="3"/>
  <c r="C111" i="3"/>
  <c r="H119" i="1"/>
  <c r="J119" i="1"/>
  <c r="K119" i="1"/>
  <c r="B119" i="1"/>
  <c r="F120" i="1"/>
  <c r="F83" i="4"/>
  <c r="D84" i="4"/>
  <c r="E84" i="4"/>
  <c r="L83" i="4"/>
  <c r="D83" i="4"/>
  <c r="E83" i="4"/>
  <c r="F84" i="4"/>
  <c r="F75" i="4"/>
  <c r="D110" i="4"/>
  <c r="E110" i="4"/>
  <c r="F110" i="4"/>
  <c r="L110" i="4"/>
  <c r="E171" i="1"/>
  <c r="C111" i="2"/>
  <c r="D120" i="1"/>
  <c r="E120" i="1"/>
  <c r="L120" i="1"/>
  <c r="C119" i="1"/>
  <c r="L61" i="4"/>
  <c r="D96" i="4"/>
  <c r="E96" i="4"/>
  <c r="D109" i="4"/>
  <c r="E109" i="4"/>
  <c r="F77" i="4"/>
  <c r="L99" i="4"/>
  <c r="F61" i="4"/>
  <c r="D81" i="4"/>
  <c r="E81" i="4"/>
  <c r="L81" i="4"/>
  <c r="F81" i="4"/>
  <c r="D91" i="4"/>
  <c r="E91" i="4"/>
  <c r="L91" i="4"/>
  <c r="F91" i="4"/>
  <c r="F79" i="4"/>
  <c r="L79" i="4"/>
  <c r="D79" i="4"/>
  <c r="E79" i="4"/>
  <c r="L108" i="4"/>
  <c r="F108" i="4"/>
  <c r="D108" i="4"/>
  <c r="E108" i="4"/>
  <c r="D98" i="4"/>
  <c r="E98" i="4"/>
  <c r="F98" i="4"/>
  <c r="L98" i="4"/>
  <c r="L74" i="4"/>
  <c r="D73" i="4"/>
  <c r="E73" i="4"/>
  <c r="F73" i="4"/>
  <c r="L73" i="4"/>
  <c r="D80" i="4"/>
  <c r="E80" i="4"/>
  <c r="L80" i="4"/>
  <c r="F80" i="4"/>
  <c r="F65" i="4"/>
  <c r="D65" i="4"/>
  <c r="E65" i="4"/>
  <c r="L65" i="4"/>
  <c r="F92" i="4"/>
  <c r="L109" i="4"/>
  <c r="D60" i="4"/>
  <c r="E60" i="4"/>
  <c r="L60" i="4"/>
  <c r="F60" i="4"/>
  <c r="D76" i="4"/>
  <c r="E76" i="4"/>
  <c r="L76" i="4"/>
  <c r="F76" i="4"/>
  <c r="L77" i="4"/>
  <c r="L82" i="4"/>
  <c r="L92" i="4"/>
  <c r="F82" i="4"/>
  <c r="F99" i="4"/>
  <c r="L95" i="4"/>
  <c r="D95" i="4"/>
  <c r="E95" i="4"/>
  <c r="L96" i="4"/>
  <c r="F95" i="4"/>
  <c r="D82" i="4"/>
  <c r="E82" i="4"/>
  <c r="G58" i="4"/>
  <c r="J58" i="4"/>
  <c r="B58" i="4"/>
  <c r="H59" i="4"/>
  <c r="H110" i="2"/>
  <c r="B110" i="2"/>
  <c r="H110" i="3"/>
  <c r="B110" i="3"/>
  <c r="H118" i="1"/>
  <c r="J118" i="1"/>
  <c r="K118" i="1"/>
  <c r="B118" i="1"/>
  <c r="G57" i="4"/>
  <c r="B57" i="4"/>
  <c r="J57" i="4"/>
  <c r="K57" i="4"/>
  <c r="L58" i="4"/>
  <c r="F59" i="4"/>
  <c r="D59" i="4"/>
  <c r="E59" i="4"/>
  <c r="L59" i="4"/>
  <c r="H58" i="4"/>
  <c r="F58" i="4"/>
  <c r="D58" i="4"/>
  <c r="E58" i="4"/>
  <c r="C110" i="2"/>
  <c r="D111" i="2"/>
  <c r="F111" i="2"/>
  <c r="C118" i="1"/>
  <c r="D119" i="1"/>
  <c r="E119" i="1"/>
  <c r="F119" i="1"/>
  <c r="L119" i="1"/>
  <c r="C110" i="3"/>
  <c r="F111" i="3"/>
  <c r="D111" i="3"/>
  <c r="H109" i="2"/>
  <c r="B109" i="2"/>
  <c r="D110" i="2"/>
  <c r="C109" i="2"/>
  <c r="H109" i="3"/>
  <c r="B109" i="3"/>
  <c r="C109" i="3"/>
  <c r="H117" i="1"/>
  <c r="J117" i="1"/>
  <c r="K117" i="1"/>
  <c r="B117" i="1"/>
  <c r="G56" i="4"/>
  <c r="H57" i="4"/>
  <c r="J56" i="4"/>
  <c r="K56" i="4"/>
  <c r="H56" i="4"/>
  <c r="F110" i="2"/>
  <c r="C117" i="1"/>
  <c r="D118" i="1"/>
  <c r="E118" i="1"/>
  <c r="F118" i="1"/>
  <c r="L118" i="1"/>
  <c r="D110" i="3"/>
  <c r="F110" i="3"/>
  <c r="B56" i="4"/>
  <c r="H108" i="2"/>
  <c r="B108" i="2"/>
  <c r="C108" i="2"/>
  <c r="B108" i="3"/>
  <c r="C108" i="3"/>
  <c r="H108" i="3"/>
  <c r="H116" i="1"/>
  <c r="J116" i="1"/>
  <c r="K116" i="1"/>
  <c r="B116" i="1"/>
  <c r="G55" i="4"/>
  <c r="J55" i="4"/>
  <c r="K55" i="4"/>
  <c r="H55" i="4"/>
  <c r="L57" i="4"/>
  <c r="F57" i="4"/>
  <c r="D57" i="4"/>
  <c r="E57" i="4"/>
  <c r="B55" i="4"/>
  <c r="D109" i="2"/>
  <c r="F109" i="2"/>
  <c r="F109" i="3"/>
  <c r="C116" i="1"/>
  <c r="F117" i="1"/>
  <c r="D117" i="1"/>
  <c r="E117" i="1"/>
  <c r="L117" i="1"/>
  <c r="D109" i="3"/>
  <c r="F56" i="4"/>
  <c r="L56" i="4"/>
  <c r="D56" i="4"/>
  <c r="E56" i="4"/>
  <c r="H107" i="2"/>
  <c r="B107" i="2"/>
  <c r="C107" i="2"/>
  <c r="H107" i="3"/>
  <c r="B107" i="3"/>
  <c r="C107" i="3"/>
  <c r="H115" i="1"/>
  <c r="J115" i="1"/>
  <c r="K115" i="1"/>
  <c r="B115" i="1"/>
  <c r="L116" i="1"/>
  <c r="G54" i="4"/>
  <c r="B54" i="4"/>
  <c r="J54" i="4"/>
  <c r="K54" i="4"/>
  <c r="L55" i="4"/>
  <c r="D55" i="4"/>
  <c r="E55" i="4"/>
  <c r="F55" i="4"/>
  <c r="C115" i="1"/>
  <c r="D116" i="1"/>
  <c r="E116" i="1"/>
  <c r="F108" i="2"/>
  <c r="D108" i="2"/>
  <c r="F116" i="1"/>
  <c r="D108" i="3"/>
  <c r="F108" i="3"/>
  <c r="H54" i="4"/>
  <c r="H106" i="2"/>
  <c r="B106" i="2"/>
  <c r="D107" i="2"/>
  <c r="H106" i="3"/>
  <c r="B106" i="3"/>
  <c r="H114" i="1"/>
  <c r="J114" i="1"/>
  <c r="K114" i="1"/>
  <c r="B114" i="1"/>
  <c r="D115" i="1"/>
  <c r="E115" i="1"/>
  <c r="G53" i="4"/>
  <c r="J53" i="4"/>
  <c r="K53" i="4"/>
  <c r="H53" i="4"/>
  <c r="C106" i="2"/>
  <c r="F107" i="2"/>
  <c r="F115" i="1"/>
  <c r="L115" i="1"/>
  <c r="C114" i="1"/>
  <c r="C106" i="3"/>
  <c r="F107" i="3"/>
  <c r="D107" i="3"/>
  <c r="B53" i="4"/>
  <c r="H105" i="2"/>
  <c r="B105" i="2"/>
  <c r="H105" i="3"/>
  <c r="B105" i="3"/>
  <c r="C105" i="3"/>
  <c r="H113" i="1"/>
  <c r="J113" i="1"/>
  <c r="K113" i="1"/>
  <c r="B113" i="1"/>
  <c r="C113" i="1"/>
  <c r="I50" i="4"/>
  <c r="U50" i="4"/>
  <c r="G52" i="4"/>
  <c r="J52" i="4"/>
  <c r="K52" i="4"/>
  <c r="B52" i="4"/>
  <c r="L54" i="4"/>
  <c r="D54" i="4"/>
  <c r="E54" i="4"/>
  <c r="F54" i="4"/>
  <c r="C105" i="2"/>
  <c r="D106" i="2"/>
  <c r="F106" i="2"/>
  <c r="D114" i="1"/>
  <c r="E114" i="1"/>
  <c r="F114" i="1"/>
  <c r="L114" i="1"/>
  <c r="D106" i="3"/>
  <c r="F106" i="3"/>
  <c r="D53" i="4"/>
  <c r="E53" i="4"/>
  <c r="F53" i="4"/>
  <c r="H103" i="2"/>
  <c r="H104" i="2"/>
  <c r="B104" i="2"/>
  <c r="B103" i="2"/>
  <c r="C103" i="2"/>
  <c r="H103" i="3"/>
  <c r="H104" i="3"/>
  <c r="B104" i="3"/>
  <c r="F105" i="3"/>
  <c r="B103" i="3"/>
  <c r="C103" i="3"/>
  <c r="G51" i="4"/>
  <c r="B51" i="4"/>
  <c r="D52" i="4"/>
  <c r="E52" i="4"/>
  <c r="J51" i="4"/>
  <c r="K51" i="4"/>
  <c r="B112" i="1"/>
  <c r="C112" i="1"/>
  <c r="H112" i="1"/>
  <c r="J112" i="1"/>
  <c r="K112" i="1"/>
  <c r="H111" i="1"/>
  <c r="J111" i="1"/>
  <c r="K111" i="1"/>
  <c r="B111" i="1"/>
  <c r="C111" i="1"/>
  <c r="G50" i="4"/>
  <c r="J50" i="4"/>
  <c r="K50" i="4"/>
  <c r="F52" i="4"/>
  <c r="L52" i="4"/>
  <c r="L53" i="4"/>
  <c r="H52" i="4"/>
  <c r="D113" i="1"/>
  <c r="E113" i="1"/>
  <c r="C104" i="2"/>
  <c r="F105" i="2"/>
  <c r="D105" i="2"/>
  <c r="F104" i="2"/>
  <c r="D104" i="2"/>
  <c r="C104" i="3"/>
  <c r="F113" i="1"/>
  <c r="D104" i="3"/>
  <c r="L113" i="1"/>
  <c r="D105" i="3"/>
  <c r="F104" i="3"/>
  <c r="H51" i="4"/>
  <c r="F112" i="1"/>
  <c r="D112" i="1"/>
  <c r="E112" i="1"/>
  <c r="L112" i="1"/>
  <c r="AG111" i="1"/>
  <c r="B50" i="4"/>
  <c r="D51" i="4"/>
  <c r="E51" i="4"/>
  <c r="H102" i="2"/>
  <c r="B102" i="2"/>
  <c r="C102" i="2"/>
  <c r="H102" i="3"/>
  <c r="B102" i="3"/>
  <c r="H110" i="1"/>
  <c r="J110" i="1"/>
  <c r="K110" i="1"/>
  <c r="B110" i="1"/>
  <c r="C110" i="1"/>
  <c r="G49" i="4"/>
  <c r="H50" i="4"/>
  <c r="J49" i="4"/>
  <c r="K49" i="4"/>
  <c r="B49" i="4"/>
  <c r="F103" i="2"/>
  <c r="D103" i="2"/>
  <c r="D111" i="1"/>
  <c r="E111" i="1"/>
  <c r="AG110" i="1"/>
  <c r="F111" i="1"/>
  <c r="L111" i="1"/>
  <c r="C102" i="3"/>
  <c r="F103" i="3"/>
  <c r="D103" i="3"/>
  <c r="L51" i="4"/>
  <c r="F51" i="4"/>
  <c r="D50" i="4"/>
  <c r="E50" i="4"/>
  <c r="F50" i="4"/>
  <c r="L50" i="4"/>
  <c r="H101" i="2"/>
  <c r="B101" i="2"/>
  <c r="F102" i="2"/>
  <c r="H101" i="3"/>
  <c r="B101" i="3"/>
  <c r="C101" i="3"/>
  <c r="J109" i="1"/>
  <c r="K109" i="1"/>
  <c r="H109" i="1"/>
  <c r="B109" i="1"/>
  <c r="C109" i="1"/>
  <c r="J48" i="4"/>
  <c r="K48" i="4"/>
  <c r="G48" i="4"/>
  <c r="B48" i="4"/>
  <c r="H49" i="4"/>
  <c r="L49" i="4"/>
  <c r="D49" i="4"/>
  <c r="E49" i="4"/>
  <c r="C101" i="2"/>
  <c r="D102" i="2"/>
  <c r="L110" i="1"/>
  <c r="AG109" i="1"/>
  <c r="D102" i="3"/>
  <c r="D110" i="1"/>
  <c r="E110" i="1"/>
  <c r="D109" i="1"/>
  <c r="E109" i="1"/>
  <c r="F110" i="1"/>
  <c r="F102" i="3"/>
  <c r="H100" i="2"/>
  <c r="B100" i="2"/>
  <c r="H100" i="3"/>
  <c r="B100" i="3"/>
  <c r="C100" i="3"/>
  <c r="H108" i="1"/>
  <c r="J108" i="1"/>
  <c r="K108" i="1"/>
  <c r="B108" i="1"/>
  <c r="C108" i="1"/>
  <c r="G47" i="4"/>
  <c r="H48" i="4"/>
  <c r="J47" i="4"/>
  <c r="K47" i="4"/>
  <c r="B47" i="4"/>
  <c r="F49" i="4"/>
  <c r="L48" i="4"/>
  <c r="D101" i="2"/>
  <c r="F101" i="2"/>
  <c r="C100" i="2"/>
  <c r="F109" i="1"/>
  <c r="L109" i="1"/>
  <c r="AG108" i="1"/>
  <c r="F101" i="3"/>
  <c r="D101" i="3"/>
  <c r="F47" i="4"/>
  <c r="D47" i="4"/>
  <c r="E47" i="4"/>
  <c r="L47" i="4"/>
  <c r="H99" i="2"/>
  <c r="B99" i="2"/>
  <c r="C99" i="2"/>
  <c r="H99" i="3"/>
  <c r="B99" i="3"/>
  <c r="C99" i="3"/>
  <c r="H107" i="1"/>
  <c r="J107" i="1"/>
  <c r="K107" i="1"/>
  <c r="B107" i="1"/>
  <c r="K46" i="4"/>
  <c r="J46" i="4"/>
  <c r="G46" i="4"/>
  <c r="B46" i="4"/>
  <c r="H47" i="4"/>
  <c r="D48" i="4"/>
  <c r="E48" i="4"/>
  <c r="F48" i="4"/>
  <c r="F100" i="2"/>
  <c r="D100" i="2"/>
  <c r="C107" i="1"/>
  <c r="D108" i="1"/>
  <c r="E108" i="1"/>
  <c r="F108" i="1"/>
  <c r="AG107" i="1"/>
  <c r="L108" i="1"/>
  <c r="F107" i="1"/>
  <c r="D100" i="3"/>
  <c r="F100" i="3"/>
  <c r="H98" i="2"/>
  <c r="B98" i="2"/>
  <c r="C98" i="2"/>
  <c r="H98" i="3"/>
  <c r="B98" i="3"/>
  <c r="F99" i="3"/>
  <c r="H106" i="1"/>
  <c r="J106" i="1"/>
  <c r="K106" i="1"/>
  <c r="B106" i="1"/>
  <c r="C106" i="1"/>
  <c r="K45" i="4"/>
  <c r="J45" i="4"/>
  <c r="G45" i="4"/>
  <c r="B45" i="4"/>
  <c r="F46" i="4"/>
  <c r="D46" i="4"/>
  <c r="E46" i="4"/>
  <c r="L46" i="4"/>
  <c r="H46" i="4"/>
  <c r="D107" i="1"/>
  <c r="E107" i="1"/>
  <c r="L107" i="1"/>
  <c r="D99" i="2"/>
  <c r="F99" i="2"/>
  <c r="AG106" i="1"/>
  <c r="C98" i="3"/>
  <c r="D99" i="3"/>
  <c r="H97" i="2"/>
  <c r="B97" i="2"/>
  <c r="C97" i="2"/>
  <c r="H97" i="3"/>
  <c r="B97" i="3"/>
  <c r="C97" i="3"/>
  <c r="H105" i="1"/>
  <c r="J105" i="1"/>
  <c r="K105" i="1"/>
  <c r="B105" i="1"/>
  <c r="G44" i="4"/>
  <c r="B44" i="4"/>
  <c r="L45" i="4"/>
  <c r="J44" i="4"/>
  <c r="K44" i="4"/>
  <c r="H45" i="4"/>
  <c r="F45" i="4"/>
  <c r="D45" i="4"/>
  <c r="E45" i="4"/>
  <c r="D98" i="2"/>
  <c r="F98" i="2"/>
  <c r="C105" i="1"/>
  <c r="D106" i="1"/>
  <c r="E106" i="1"/>
  <c r="F106" i="1"/>
  <c r="AG105" i="1"/>
  <c r="L106" i="1"/>
  <c r="D98" i="3"/>
  <c r="F98" i="3"/>
  <c r="H96" i="2"/>
  <c r="B96" i="2"/>
  <c r="C96" i="2"/>
  <c r="H96" i="3"/>
  <c r="B96" i="3"/>
  <c r="D97" i="3"/>
  <c r="H104" i="1"/>
  <c r="J104" i="1"/>
  <c r="K104" i="1"/>
  <c r="B104" i="1"/>
  <c r="L105" i="1"/>
  <c r="G43" i="4"/>
  <c r="J43" i="4"/>
  <c r="K43" i="4"/>
  <c r="H44" i="4"/>
  <c r="D105" i="1"/>
  <c r="E105" i="1"/>
  <c r="D97" i="2"/>
  <c r="F97" i="2"/>
  <c r="AG104" i="1"/>
  <c r="F105" i="1"/>
  <c r="C96" i="3"/>
  <c r="F97" i="3"/>
  <c r="C104" i="1"/>
  <c r="B43" i="4"/>
  <c r="H95" i="2"/>
  <c r="B95" i="2"/>
  <c r="H95" i="3"/>
  <c r="B95" i="3"/>
  <c r="F96" i="3"/>
  <c r="H103" i="1"/>
  <c r="J103" i="1"/>
  <c r="K103" i="1"/>
  <c r="B103" i="1"/>
  <c r="G42" i="4"/>
  <c r="J42" i="4"/>
  <c r="K42" i="4"/>
  <c r="F44" i="4"/>
  <c r="D44" i="4"/>
  <c r="E44" i="4"/>
  <c r="L44" i="4"/>
  <c r="H43" i="4"/>
  <c r="C95" i="2"/>
  <c r="D96" i="2"/>
  <c r="F96" i="2"/>
  <c r="C95" i="3"/>
  <c r="C103" i="1"/>
  <c r="D104" i="1"/>
  <c r="E104" i="1"/>
  <c r="F104" i="1"/>
  <c r="AG103" i="1"/>
  <c r="L104" i="1"/>
  <c r="D103" i="1"/>
  <c r="E103" i="1"/>
  <c r="L103" i="1"/>
  <c r="D96" i="3"/>
  <c r="B42" i="4"/>
  <c r="D43" i="4"/>
  <c r="E43" i="4"/>
  <c r="B94" i="2"/>
  <c r="C94" i="2"/>
  <c r="H94" i="2"/>
  <c r="H94" i="3"/>
  <c r="B94" i="3"/>
  <c r="F95" i="3"/>
  <c r="H102" i="1"/>
  <c r="J102" i="1"/>
  <c r="K102" i="1"/>
  <c r="B102" i="1"/>
  <c r="C102" i="1"/>
  <c r="G41" i="4"/>
  <c r="J41" i="4"/>
  <c r="K41" i="4"/>
  <c r="H42" i="4"/>
  <c r="L43" i="4"/>
  <c r="F43" i="4"/>
  <c r="B41" i="4"/>
  <c r="F103" i="1"/>
  <c r="D95" i="2"/>
  <c r="F95" i="2"/>
  <c r="AG102" i="1"/>
  <c r="D95" i="3"/>
  <c r="C94" i="3"/>
  <c r="L42" i="4"/>
  <c r="F42" i="4"/>
  <c r="F41" i="4"/>
  <c r="H93" i="2"/>
  <c r="B93" i="2"/>
  <c r="C93" i="2"/>
  <c r="H93" i="3"/>
  <c r="B93" i="3"/>
  <c r="C93" i="3"/>
  <c r="H101" i="1"/>
  <c r="J101" i="1"/>
  <c r="K101" i="1"/>
  <c r="B101" i="1"/>
  <c r="H92" i="2"/>
  <c r="B92" i="2"/>
  <c r="C92" i="2"/>
  <c r="G40" i="4"/>
  <c r="B40" i="4"/>
  <c r="J40" i="4"/>
  <c r="K40" i="4"/>
  <c r="H92" i="3"/>
  <c r="B92" i="3"/>
  <c r="C92" i="3"/>
  <c r="H100" i="1"/>
  <c r="K100" i="1"/>
  <c r="J100" i="1"/>
  <c r="B100" i="1"/>
  <c r="AG100" i="1"/>
  <c r="G39" i="4"/>
  <c r="J39" i="4"/>
  <c r="K39" i="4"/>
  <c r="D42" i="4"/>
  <c r="E42" i="4"/>
  <c r="L41" i="4"/>
  <c r="D41" i="4"/>
  <c r="E41" i="4"/>
  <c r="H41" i="4"/>
  <c r="C100" i="1"/>
  <c r="F101" i="1"/>
  <c r="D101" i="1"/>
  <c r="E101" i="1"/>
  <c r="F93" i="2"/>
  <c r="D93" i="2"/>
  <c r="D94" i="2"/>
  <c r="F94" i="2"/>
  <c r="C101" i="1"/>
  <c r="D102" i="1"/>
  <c r="E102" i="1"/>
  <c r="F102" i="1"/>
  <c r="AG101" i="1"/>
  <c r="D94" i="3"/>
  <c r="L101" i="1"/>
  <c r="F93" i="3"/>
  <c r="L102" i="1"/>
  <c r="D93" i="3"/>
  <c r="F94" i="3"/>
  <c r="L40" i="4"/>
  <c r="D40" i="4"/>
  <c r="E40" i="4"/>
  <c r="H40" i="4"/>
  <c r="B39" i="4"/>
  <c r="F40" i="4"/>
  <c r="H91" i="2"/>
  <c r="B91" i="2"/>
  <c r="C91" i="2"/>
  <c r="H91" i="3"/>
  <c r="B91" i="3"/>
  <c r="C91" i="3"/>
  <c r="H99" i="1"/>
  <c r="J99" i="1"/>
  <c r="K99" i="1"/>
  <c r="B99" i="1"/>
  <c r="C99" i="1"/>
  <c r="G38" i="4"/>
  <c r="J38" i="4"/>
  <c r="K38" i="4"/>
  <c r="H39" i="4"/>
  <c r="F92" i="2"/>
  <c r="D92" i="2"/>
  <c r="F100" i="1"/>
  <c r="D100" i="1"/>
  <c r="E100" i="1"/>
  <c r="AG99" i="1"/>
  <c r="L100" i="1"/>
  <c r="F92" i="3"/>
  <c r="D92" i="3"/>
  <c r="B38" i="4"/>
  <c r="F39" i="4"/>
  <c r="H90" i="2"/>
  <c r="B90" i="2"/>
  <c r="D91" i="2"/>
  <c r="H90" i="3"/>
  <c r="B90" i="3"/>
  <c r="D91" i="3"/>
  <c r="H98" i="1"/>
  <c r="J98" i="1"/>
  <c r="K98" i="1"/>
  <c r="B98" i="1"/>
  <c r="G37" i="4"/>
  <c r="H38" i="4"/>
  <c r="J37" i="4"/>
  <c r="K37" i="4"/>
  <c r="H89" i="2"/>
  <c r="B89" i="2"/>
  <c r="C89" i="2"/>
  <c r="H89" i="3"/>
  <c r="B89" i="3"/>
  <c r="C89" i="3"/>
  <c r="H97" i="1"/>
  <c r="J97" i="1"/>
  <c r="K97" i="1"/>
  <c r="B97" i="1"/>
  <c r="L97" i="1"/>
  <c r="G35" i="4"/>
  <c r="H35" i="4"/>
  <c r="G36" i="4"/>
  <c r="H36" i="4"/>
  <c r="J35" i="4"/>
  <c r="K35" i="4"/>
  <c r="J36" i="4"/>
  <c r="K36" i="4"/>
  <c r="U35" i="4"/>
  <c r="B35" i="4"/>
  <c r="H88" i="2"/>
  <c r="B88" i="2"/>
  <c r="H88" i="3"/>
  <c r="B88" i="3"/>
  <c r="J96" i="1"/>
  <c r="K96" i="1"/>
  <c r="H96" i="1"/>
  <c r="B96" i="1"/>
  <c r="C96" i="1"/>
  <c r="AG96" i="1"/>
  <c r="H87" i="2"/>
  <c r="B87" i="2"/>
  <c r="H87" i="3"/>
  <c r="B87" i="3"/>
  <c r="C87" i="3"/>
  <c r="J95" i="1"/>
  <c r="K95" i="1"/>
  <c r="H95" i="1"/>
  <c r="B95" i="1"/>
  <c r="G34" i="4"/>
  <c r="B34" i="4"/>
  <c r="J34" i="4"/>
  <c r="K34" i="4"/>
  <c r="H86" i="2"/>
  <c r="B86" i="2"/>
  <c r="C86" i="2"/>
  <c r="H86" i="3"/>
  <c r="B86" i="3"/>
  <c r="H94" i="1"/>
  <c r="J94" i="1"/>
  <c r="K94" i="1"/>
  <c r="B94" i="1"/>
  <c r="U32" i="4"/>
  <c r="B32" i="4"/>
  <c r="G33" i="4"/>
  <c r="H33" i="4"/>
  <c r="J33" i="4"/>
  <c r="K33" i="4"/>
  <c r="B33" i="4"/>
  <c r="F33" i="4"/>
  <c r="G32" i="4"/>
  <c r="H32" i="4"/>
  <c r="J32" i="4"/>
  <c r="K32" i="4"/>
  <c r="J92" i="1"/>
  <c r="K92" i="1"/>
  <c r="J93" i="1"/>
  <c r="K93" i="1"/>
  <c r="H92" i="1"/>
  <c r="H93" i="1"/>
  <c r="B93" i="1"/>
  <c r="C93" i="1"/>
  <c r="B92" i="1"/>
  <c r="L93" i="1"/>
  <c r="H84" i="2"/>
  <c r="H85" i="2"/>
  <c r="B85" i="2"/>
  <c r="B84" i="2"/>
  <c r="H85" i="3"/>
  <c r="B85" i="3"/>
  <c r="H84" i="3"/>
  <c r="B84" i="3"/>
  <c r="C84" i="3"/>
  <c r="J31" i="4"/>
  <c r="K31" i="4"/>
  <c r="G31" i="4"/>
  <c r="B31" i="4"/>
  <c r="L31" i="4"/>
  <c r="H31" i="4"/>
  <c r="K91" i="1"/>
  <c r="J91" i="1"/>
  <c r="H91" i="1"/>
  <c r="B91" i="1"/>
  <c r="AG91" i="1"/>
  <c r="H83" i="2"/>
  <c r="B83" i="2"/>
  <c r="D83" i="2"/>
  <c r="C83" i="2"/>
  <c r="H83" i="3"/>
  <c r="B83" i="3"/>
  <c r="H82" i="3"/>
  <c r="B82" i="3"/>
  <c r="H82" i="2"/>
  <c r="B82" i="2"/>
  <c r="G30" i="4"/>
  <c r="B30" i="4"/>
  <c r="J30" i="4"/>
  <c r="K30" i="4"/>
  <c r="J90" i="1"/>
  <c r="K90" i="1"/>
  <c r="H90" i="1"/>
  <c r="B90" i="1"/>
  <c r="AG90" i="1"/>
  <c r="G29" i="4"/>
  <c r="B29" i="4"/>
  <c r="J29" i="4"/>
  <c r="K29" i="4"/>
  <c r="H30" i="4"/>
  <c r="H29" i="4"/>
  <c r="H81" i="2"/>
  <c r="B81" i="2"/>
  <c r="H81" i="3"/>
  <c r="B81" i="3"/>
  <c r="C81" i="3"/>
  <c r="H89" i="1"/>
  <c r="J89" i="1"/>
  <c r="K89" i="1"/>
  <c r="B89" i="1"/>
  <c r="D90" i="1"/>
  <c r="G28" i="4"/>
  <c r="B28" i="4"/>
  <c r="J28" i="4"/>
  <c r="K28" i="4"/>
  <c r="H28" i="4"/>
  <c r="H80" i="2"/>
  <c r="B80" i="2"/>
  <c r="C80" i="2"/>
  <c r="H80" i="3"/>
  <c r="B80" i="3"/>
  <c r="J27" i="4"/>
  <c r="K27" i="4"/>
  <c r="B27" i="4"/>
  <c r="L27" i="4"/>
  <c r="G27" i="4"/>
  <c r="H88" i="1"/>
  <c r="J88" i="1"/>
  <c r="K88" i="1"/>
  <c r="B88" i="1"/>
  <c r="F27" i="4"/>
  <c r="H79" i="2"/>
  <c r="B79" i="2"/>
  <c r="D79" i="2"/>
  <c r="H79" i="3"/>
  <c r="B79" i="3"/>
  <c r="C79" i="3"/>
  <c r="H87" i="1"/>
  <c r="J87" i="1"/>
  <c r="K87" i="1"/>
  <c r="B87" i="1"/>
  <c r="G26" i="4"/>
  <c r="H27" i="4"/>
  <c r="B26" i="4"/>
  <c r="J26" i="4"/>
  <c r="K26" i="4"/>
  <c r="L26" i="4"/>
  <c r="D26" i="4"/>
  <c r="E26" i="4"/>
  <c r="H26" i="4"/>
  <c r="G25" i="4"/>
  <c r="H25" i="4"/>
  <c r="J25" i="4"/>
  <c r="K25" i="4"/>
  <c r="H78" i="2"/>
  <c r="B78" i="2"/>
  <c r="D78" i="2"/>
  <c r="C78" i="2"/>
  <c r="H78" i="3"/>
  <c r="B78" i="3"/>
  <c r="C78" i="3"/>
  <c r="J86" i="1"/>
  <c r="K86" i="1"/>
  <c r="H86" i="1"/>
  <c r="B86" i="1"/>
  <c r="C86" i="1"/>
  <c r="B25" i="4"/>
  <c r="F26" i="4"/>
  <c r="H77" i="2"/>
  <c r="B77" i="2"/>
  <c r="C77" i="2"/>
  <c r="H77" i="3"/>
  <c r="B77" i="3"/>
  <c r="C77" i="3"/>
  <c r="H85" i="1"/>
  <c r="J85" i="1"/>
  <c r="K85" i="1"/>
  <c r="B85" i="1"/>
  <c r="G24" i="4"/>
  <c r="B24" i="4"/>
  <c r="D25" i="4"/>
  <c r="J24" i="4"/>
  <c r="K24" i="4"/>
  <c r="L25" i="4"/>
  <c r="F25" i="4"/>
  <c r="L24" i="4"/>
  <c r="D24" i="4"/>
  <c r="E24" i="4"/>
  <c r="F24" i="4"/>
  <c r="H24" i="4"/>
  <c r="H76" i="2"/>
  <c r="B76" i="2"/>
  <c r="H76" i="3"/>
  <c r="B76" i="3"/>
  <c r="C76" i="3"/>
  <c r="H84" i="1"/>
  <c r="J84" i="1"/>
  <c r="K84" i="1"/>
  <c r="B84" i="1"/>
  <c r="C84" i="1"/>
  <c r="G23" i="4"/>
  <c r="B23" i="4"/>
  <c r="J23" i="4"/>
  <c r="K23" i="4"/>
  <c r="H75" i="2"/>
  <c r="B75" i="2"/>
  <c r="H75" i="3"/>
  <c r="B75" i="3"/>
  <c r="C75" i="3"/>
  <c r="H83" i="1"/>
  <c r="J83" i="1"/>
  <c r="K83" i="1"/>
  <c r="B83" i="1"/>
  <c r="AG83" i="1"/>
  <c r="G22" i="4"/>
  <c r="H23" i="4"/>
  <c r="J22" i="4"/>
  <c r="K22" i="4"/>
  <c r="B22" i="4"/>
  <c r="D23" i="4"/>
  <c r="H74" i="2"/>
  <c r="B74" i="2"/>
  <c r="C74" i="2"/>
  <c r="H74" i="3"/>
  <c r="B74" i="3"/>
  <c r="H82" i="1"/>
  <c r="J82" i="1"/>
  <c r="K82" i="1"/>
  <c r="B82" i="1"/>
  <c r="C82" i="1"/>
  <c r="G21" i="4"/>
  <c r="H22" i="4"/>
  <c r="B21" i="4"/>
  <c r="J21" i="4"/>
  <c r="K21" i="4"/>
  <c r="F22" i="4"/>
  <c r="H73" i="2"/>
  <c r="B73" i="2"/>
  <c r="C73" i="2"/>
  <c r="H73" i="3"/>
  <c r="B73" i="3"/>
  <c r="H81" i="1"/>
  <c r="B81" i="1"/>
  <c r="AG81" i="1"/>
  <c r="J81" i="1"/>
  <c r="K81" i="1"/>
  <c r="G20" i="4"/>
  <c r="H21" i="4"/>
  <c r="J20" i="4"/>
  <c r="K20" i="4"/>
  <c r="H72" i="3"/>
  <c r="B72" i="2"/>
  <c r="H72" i="2"/>
  <c r="B72" i="3"/>
  <c r="H80" i="1"/>
  <c r="J80" i="1"/>
  <c r="K80" i="1"/>
  <c r="B80" i="1"/>
  <c r="AG80" i="1"/>
  <c r="G19" i="4"/>
  <c r="B19" i="4"/>
  <c r="F19" i="4"/>
  <c r="J19" i="4"/>
  <c r="K19" i="4"/>
  <c r="L19" i="4"/>
  <c r="H71" i="2"/>
  <c r="B71" i="2"/>
  <c r="C71" i="2"/>
  <c r="H71" i="3"/>
  <c r="B71" i="3"/>
  <c r="C71" i="3"/>
  <c r="H79" i="1"/>
  <c r="J79" i="1"/>
  <c r="K79" i="1"/>
  <c r="B79" i="1"/>
  <c r="AG79" i="1"/>
  <c r="G18" i="4"/>
  <c r="H18" i="4"/>
  <c r="B18" i="4"/>
  <c r="F18" i="4"/>
  <c r="J18" i="4"/>
  <c r="K18" i="4"/>
  <c r="D19" i="4"/>
  <c r="E19" i="4"/>
  <c r="H70" i="2"/>
  <c r="B70" i="2"/>
  <c r="H70" i="3"/>
  <c r="B70" i="3"/>
  <c r="H78" i="1"/>
  <c r="J78" i="1"/>
  <c r="K78" i="1"/>
  <c r="B78" i="1"/>
  <c r="D79" i="1"/>
  <c r="G17" i="4"/>
  <c r="J17" i="4"/>
  <c r="K17" i="4"/>
  <c r="B17" i="4"/>
  <c r="L17" i="4"/>
  <c r="H69" i="2"/>
  <c r="B69" i="2"/>
  <c r="C69" i="2"/>
  <c r="H69" i="3"/>
  <c r="B69" i="3"/>
  <c r="H77" i="1"/>
  <c r="J77" i="1"/>
  <c r="K77" i="1"/>
  <c r="B77" i="1"/>
  <c r="C77" i="1"/>
  <c r="G16" i="4"/>
  <c r="B16" i="4"/>
  <c r="J16" i="4"/>
  <c r="K16" i="4"/>
  <c r="H17" i="4"/>
  <c r="D17" i="4"/>
  <c r="E17" i="4"/>
  <c r="L18" i="4"/>
  <c r="H68" i="2"/>
  <c r="B68" i="2"/>
  <c r="C68" i="2"/>
  <c r="H68" i="3"/>
  <c r="B68" i="3"/>
  <c r="C68" i="3"/>
  <c r="H76" i="1"/>
  <c r="J76" i="1"/>
  <c r="K76" i="1"/>
  <c r="B76" i="1"/>
  <c r="J15" i="4"/>
  <c r="K15" i="4"/>
  <c r="G15" i="4"/>
  <c r="H16" i="4"/>
  <c r="H67" i="2"/>
  <c r="B67" i="2"/>
  <c r="C67" i="2"/>
  <c r="H67" i="3"/>
  <c r="B67" i="3"/>
  <c r="H75" i="1"/>
  <c r="J75" i="1"/>
  <c r="K75" i="1"/>
  <c r="B75" i="1"/>
  <c r="C75" i="1"/>
  <c r="G14" i="4"/>
  <c r="H14" i="4"/>
  <c r="B14" i="4"/>
  <c r="D14" i="4"/>
  <c r="E14" i="4"/>
  <c r="J14" i="4"/>
  <c r="K14" i="4"/>
  <c r="H15" i="4"/>
  <c r="C14" i="4"/>
  <c r="G13" i="4"/>
  <c r="J13" i="4"/>
  <c r="K13" i="4"/>
  <c r="B66" i="2"/>
  <c r="C66" i="2"/>
  <c r="H66" i="2"/>
  <c r="H66" i="3"/>
  <c r="B66" i="3"/>
  <c r="C66" i="3"/>
  <c r="H74" i="1"/>
  <c r="J74" i="1"/>
  <c r="K74" i="1"/>
  <c r="B74" i="1"/>
  <c r="B13" i="4"/>
  <c r="D13" i="4"/>
  <c r="E13" i="4"/>
  <c r="G12" i="4"/>
  <c r="H13" i="4"/>
  <c r="J12" i="4"/>
  <c r="K12" i="4"/>
  <c r="H65" i="2"/>
  <c r="B65" i="2"/>
  <c r="H65" i="3"/>
  <c r="B65" i="3"/>
  <c r="C65" i="3"/>
  <c r="H73" i="1"/>
  <c r="J73" i="1"/>
  <c r="K73" i="1"/>
  <c r="B73" i="1"/>
  <c r="AG73" i="1"/>
  <c r="B12" i="4"/>
  <c r="F12" i="4"/>
  <c r="L14" i="4"/>
  <c r="C12" i="4"/>
  <c r="J11" i="4"/>
  <c r="K11" i="4"/>
  <c r="G11" i="4"/>
  <c r="H64" i="2"/>
  <c r="B64" i="2"/>
  <c r="C64" i="2"/>
  <c r="H64" i="3"/>
  <c r="B64" i="3"/>
  <c r="H72" i="1"/>
  <c r="J72" i="1"/>
  <c r="K72" i="1"/>
  <c r="B72" i="1"/>
  <c r="AG72" i="1"/>
  <c r="H12" i="4"/>
  <c r="B11" i="4"/>
  <c r="J10" i="4"/>
  <c r="K10" i="4"/>
  <c r="G10" i="4"/>
  <c r="H11" i="4"/>
  <c r="H63" i="2"/>
  <c r="B63" i="2"/>
  <c r="H63" i="3"/>
  <c r="B63" i="3"/>
  <c r="C63" i="3"/>
  <c r="H71" i="1"/>
  <c r="J71" i="1"/>
  <c r="K71" i="1"/>
  <c r="B71" i="1"/>
  <c r="AG71" i="1"/>
  <c r="L12" i="4"/>
  <c r="C11" i="4"/>
  <c r="B10" i="4"/>
  <c r="F11" i="4"/>
  <c r="AH3" i="4"/>
  <c r="AI3" i="4"/>
  <c r="AE2" i="4"/>
  <c r="Z2" i="4"/>
  <c r="AA2" i="4"/>
  <c r="G9" i="4"/>
  <c r="H9" i="4"/>
  <c r="J9" i="4"/>
  <c r="K9" i="4"/>
  <c r="H62" i="2"/>
  <c r="B62" i="2"/>
  <c r="H62" i="3"/>
  <c r="B62" i="3"/>
  <c r="J70" i="1"/>
  <c r="K70" i="1"/>
  <c r="H70" i="1"/>
  <c r="B70" i="1"/>
  <c r="J8" i="4"/>
  <c r="K8" i="4"/>
  <c r="G8" i="4"/>
  <c r="H8" i="4"/>
  <c r="H61" i="2"/>
  <c r="B61" i="2"/>
  <c r="H61" i="3"/>
  <c r="B61" i="3"/>
  <c r="C61" i="3"/>
  <c r="H69" i="1"/>
  <c r="J69" i="1"/>
  <c r="K69" i="1"/>
  <c r="B69" i="1"/>
  <c r="B8" i="4"/>
  <c r="C8" i="4"/>
  <c r="G7" i="4"/>
  <c r="J7" i="4"/>
  <c r="K7" i="4"/>
  <c r="H60" i="2"/>
  <c r="B60" i="2"/>
  <c r="H60" i="3"/>
  <c r="B60" i="3"/>
  <c r="H68" i="1"/>
  <c r="J68" i="1"/>
  <c r="K68" i="1"/>
  <c r="B68" i="1"/>
  <c r="B7" i="4"/>
  <c r="L8" i="4"/>
  <c r="AF2" i="4"/>
  <c r="G6" i="4"/>
  <c r="J6" i="4"/>
  <c r="K6" i="4"/>
  <c r="H59" i="2"/>
  <c r="B59" i="2"/>
  <c r="H59" i="3"/>
  <c r="B59" i="3"/>
  <c r="H67" i="1"/>
  <c r="J67" i="1"/>
  <c r="K67" i="1"/>
  <c r="B67" i="1"/>
  <c r="C7" i="4"/>
  <c r="H7" i="4"/>
  <c r="B6" i="4"/>
  <c r="L7" i="4"/>
  <c r="G5" i="4"/>
  <c r="J5" i="4"/>
  <c r="K5" i="4"/>
  <c r="H58" i="2"/>
  <c r="B58" i="2"/>
  <c r="C58" i="2"/>
  <c r="H58" i="3"/>
  <c r="B58" i="3"/>
  <c r="C58" i="3"/>
  <c r="H66" i="1"/>
  <c r="J66" i="1"/>
  <c r="K66" i="1"/>
  <c r="B66" i="1"/>
  <c r="AG66" i="1"/>
  <c r="F7" i="4"/>
  <c r="C6" i="4"/>
  <c r="D7" i="4"/>
  <c r="E7" i="4"/>
  <c r="H6" i="4"/>
  <c r="B5" i="4"/>
  <c r="C5" i="4"/>
  <c r="G4" i="4"/>
  <c r="H4" i="4"/>
  <c r="H5" i="4"/>
  <c r="J4" i="4"/>
  <c r="K4" i="4"/>
  <c r="H57" i="2"/>
  <c r="B57" i="2"/>
  <c r="C57" i="2"/>
  <c r="H57" i="3"/>
  <c r="B57" i="3"/>
  <c r="H65" i="1"/>
  <c r="J65" i="1"/>
  <c r="K65" i="1"/>
  <c r="B65" i="1"/>
  <c r="F6" i="4"/>
  <c r="G3" i="4"/>
  <c r="J3" i="4"/>
  <c r="K3" i="4"/>
  <c r="H56" i="2"/>
  <c r="B56" i="2"/>
  <c r="H56" i="3"/>
  <c r="B56" i="3"/>
  <c r="H64" i="1"/>
  <c r="J64" i="1"/>
  <c r="K64" i="1"/>
  <c r="B64" i="1"/>
  <c r="B3" i="4"/>
  <c r="C3" i="4"/>
  <c r="G2" i="4"/>
  <c r="J2" i="4"/>
  <c r="K2" i="4"/>
  <c r="H55" i="2"/>
  <c r="B55" i="2"/>
  <c r="C55" i="2"/>
  <c r="H55" i="3"/>
  <c r="B55" i="3"/>
  <c r="C55" i="3"/>
  <c r="J63" i="1"/>
  <c r="K63" i="1"/>
  <c r="H63" i="1"/>
  <c r="B63" i="1"/>
  <c r="AE3" i="4"/>
  <c r="Z3" i="4"/>
  <c r="AD3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H2" i="4"/>
  <c r="H3" i="4"/>
  <c r="B2" i="4"/>
  <c r="H54" i="2"/>
  <c r="B54" i="2"/>
  <c r="C54" i="2"/>
  <c r="H54" i="3"/>
  <c r="B54" i="3"/>
  <c r="C54" i="3"/>
  <c r="J62" i="1"/>
  <c r="K62" i="1"/>
  <c r="H62" i="1"/>
  <c r="B62" i="1"/>
  <c r="D3" i="4"/>
  <c r="E3" i="4"/>
  <c r="F3" i="4"/>
  <c r="L2" i="4"/>
  <c r="C2" i="4"/>
  <c r="H53" i="2"/>
  <c r="B53" i="2"/>
  <c r="F54" i="2"/>
  <c r="C53" i="2"/>
  <c r="H53" i="3"/>
  <c r="B53" i="3"/>
  <c r="C53" i="3"/>
  <c r="J61" i="1"/>
  <c r="K61" i="1"/>
  <c r="B61" i="1"/>
  <c r="H61" i="1"/>
  <c r="H52" i="2"/>
  <c r="B52" i="2"/>
  <c r="H52" i="3"/>
  <c r="B52" i="3"/>
  <c r="B60" i="1"/>
  <c r="AG60" i="1"/>
  <c r="J60" i="1"/>
  <c r="K60" i="1"/>
  <c r="H60" i="1"/>
  <c r="H51" i="2"/>
  <c r="B51" i="2"/>
  <c r="C51" i="2"/>
  <c r="H51" i="3"/>
  <c r="B51" i="3"/>
  <c r="C51" i="3"/>
  <c r="H59" i="1"/>
  <c r="J59" i="1"/>
  <c r="K59" i="1"/>
  <c r="B59" i="1"/>
  <c r="D60" i="1"/>
  <c r="E60" i="1"/>
  <c r="B50" i="2"/>
  <c r="D51" i="2"/>
  <c r="C50" i="2"/>
  <c r="H50" i="2"/>
  <c r="H49" i="2"/>
  <c r="B49" i="2"/>
  <c r="C49" i="2"/>
  <c r="H50" i="3"/>
  <c r="B50" i="3"/>
  <c r="H58" i="1"/>
  <c r="J58" i="1"/>
  <c r="K58" i="1"/>
  <c r="B58" i="1"/>
  <c r="AG58" i="1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10" i="2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3" i="1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10" i="3"/>
  <c r="B49" i="3"/>
  <c r="C49" i="3"/>
  <c r="B57" i="1"/>
  <c r="F58" i="1"/>
  <c r="J57" i="1"/>
  <c r="K57" i="1"/>
  <c r="B48" i="2"/>
  <c r="B48" i="3"/>
  <c r="J56" i="1"/>
  <c r="K56" i="1"/>
  <c r="B56" i="1"/>
  <c r="B47" i="2"/>
  <c r="C47" i="2"/>
  <c r="B47" i="3"/>
  <c r="J55" i="1"/>
  <c r="K55" i="1"/>
  <c r="B55" i="1"/>
  <c r="C55" i="1"/>
  <c r="B46" i="2"/>
  <c r="F46" i="2"/>
  <c r="B46" i="3"/>
  <c r="J54" i="1"/>
  <c r="K54" i="1"/>
  <c r="B54" i="1"/>
  <c r="AG54" i="1"/>
  <c r="B45" i="2"/>
  <c r="C45" i="2"/>
  <c r="B45" i="3"/>
  <c r="C45" i="3"/>
  <c r="J53" i="1"/>
  <c r="K53" i="1"/>
  <c r="B53" i="1"/>
  <c r="B44" i="2"/>
  <c r="C44" i="2"/>
  <c r="B44" i="3"/>
  <c r="J52" i="1"/>
  <c r="K52" i="1"/>
  <c r="B52" i="1"/>
  <c r="C52" i="1"/>
  <c r="B43" i="2"/>
  <c r="B43" i="3"/>
  <c r="J51" i="1"/>
  <c r="K51" i="1"/>
  <c r="B51" i="1"/>
  <c r="B42" i="2"/>
  <c r="C42" i="2"/>
  <c r="B42" i="3"/>
  <c r="C42" i="3"/>
  <c r="J50" i="1"/>
  <c r="K50" i="1"/>
  <c r="B50" i="1"/>
  <c r="F50" i="1"/>
  <c r="B41" i="2"/>
  <c r="C41" i="2"/>
  <c r="B41" i="3"/>
  <c r="C41" i="3"/>
  <c r="J49" i="1"/>
  <c r="K49" i="1"/>
  <c r="B49" i="1"/>
  <c r="C49" i="1"/>
  <c r="B40" i="2"/>
  <c r="B40" i="3"/>
  <c r="B48" i="1"/>
  <c r="AG48" i="1"/>
  <c r="J48" i="1"/>
  <c r="K48" i="1"/>
  <c r="B39" i="2"/>
  <c r="C39" i="2"/>
  <c r="B39" i="3"/>
  <c r="B47" i="1"/>
  <c r="AG47" i="1"/>
  <c r="J47" i="1"/>
  <c r="K47" i="1"/>
  <c r="B38" i="2"/>
  <c r="C38" i="2"/>
  <c r="B38" i="3"/>
  <c r="C38" i="3"/>
  <c r="J46" i="1"/>
  <c r="K46" i="1"/>
  <c r="B46" i="1"/>
  <c r="F46" i="1"/>
  <c r="B37" i="2"/>
  <c r="C37" i="2"/>
  <c r="B37" i="3"/>
  <c r="C37" i="3"/>
  <c r="J45" i="1"/>
  <c r="K45" i="1"/>
  <c r="B45" i="1"/>
  <c r="B36" i="2"/>
  <c r="D37" i="2"/>
  <c r="B36" i="3"/>
  <c r="C36" i="3"/>
  <c r="J44" i="1"/>
  <c r="K44" i="1"/>
  <c r="B44" i="1"/>
  <c r="D45" i="1"/>
  <c r="B35" i="2"/>
  <c r="B35" i="3"/>
  <c r="C35" i="3"/>
  <c r="J43" i="1"/>
  <c r="K43" i="1"/>
  <c r="B43" i="1"/>
  <c r="B34" i="2"/>
  <c r="B34" i="3"/>
  <c r="C34" i="3"/>
  <c r="B33" i="3"/>
  <c r="C33" i="3"/>
  <c r="B42" i="1"/>
  <c r="J42" i="1"/>
  <c r="K42" i="1"/>
  <c r="B33" i="2"/>
  <c r="C33" i="2"/>
  <c r="J41" i="1"/>
  <c r="K41" i="1"/>
  <c r="B41" i="1"/>
  <c r="F42" i="1"/>
  <c r="B32" i="2"/>
  <c r="C32" i="2"/>
  <c r="B32" i="3"/>
  <c r="J40" i="1"/>
  <c r="K40" i="1"/>
  <c r="B40" i="1"/>
  <c r="B31" i="2"/>
  <c r="C31" i="2"/>
  <c r="B31" i="3"/>
  <c r="C31" i="3"/>
  <c r="J39" i="1"/>
  <c r="K39" i="1"/>
  <c r="B39" i="1"/>
  <c r="B30" i="2"/>
  <c r="F30" i="2"/>
  <c r="B30" i="3"/>
  <c r="C30" i="3"/>
  <c r="B38" i="1"/>
  <c r="AG38" i="1"/>
  <c r="J38" i="1"/>
  <c r="K38" i="1"/>
  <c r="B29" i="2"/>
  <c r="D29" i="2"/>
  <c r="B29" i="3"/>
  <c r="C29" i="3"/>
  <c r="J37" i="1"/>
  <c r="K37" i="1"/>
  <c r="B37" i="1"/>
  <c r="C37" i="1"/>
  <c r="B28" i="2"/>
  <c r="C28" i="2"/>
  <c r="B28" i="3"/>
  <c r="B36" i="1"/>
  <c r="C36" i="1"/>
  <c r="J36" i="1"/>
  <c r="K36" i="1"/>
  <c r="B27" i="2"/>
  <c r="D27" i="2"/>
  <c r="B27" i="3"/>
  <c r="J35" i="1"/>
  <c r="K35" i="1"/>
  <c r="B35" i="1"/>
  <c r="B26" i="2"/>
  <c r="C26" i="2"/>
  <c r="B26" i="3"/>
  <c r="C26" i="3"/>
  <c r="J34" i="1"/>
  <c r="K34" i="1"/>
  <c r="B34" i="1"/>
  <c r="B25" i="2"/>
  <c r="B25" i="3"/>
  <c r="C25" i="3"/>
  <c r="J33" i="1"/>
  <c r="K33" i="1"/>
  <c r="B33" i="1"/>
  <c r="B24" i="2"/>
  <c r="F24" i="2"/>
  <c r="B24" i="3"/>
  <c r="C24" i="3"/>
  <c r="J32" i="1"/>
  <c r="K32" i="1"/>
  <c r="B32" i="1"/>
  <c r="AG32" i="1"/>
  <c r="B23" i="2"/>
  <c r="D23" i="2"/>
  <c r="F23" i="2"/>
  <c r="C23" i="2"/>
  <c r="B23" i="3"/>
  <c r="C23" i="3"/>
  <c r="J31" i="1"/>
  <c r="K31" i="1"/>
  <c r="B31" i="1"/>
  <c r="C31" i="1"/>
  <c r="B22" i="2"/>
  <c r="C22" i="2"/>
  <c r="B22" i="3"/>
  <c r="J30" i="1"/>
  <c r="K30" i="1"/>
  <c r="B30" i="1"/>
  <c r="B21" i="2"/>
  <c r="B21" i="3"/>
  <c r="B29" i="1"/>
  <c r="J29" i="1"/>
  <c r="K29" i="1"/>
  <c r="B20" i="2"/>
  <c r="C20" i="2"/>
  <c r="B20" i="3"/>
  <c r="B28" i="1"/>
  <c r="C28" i="1"/>
  <c r="J28" i="1"/>
  <c r="K28" i="1"/>
  <c r="B19" i="2"/>
  <c r="B19" i="3"/>
  <c r="J27" i="1"/>
  <c r="K27" i="1"/>
  <c r="B27" i="1"/>
  <c r="AG27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3" i="1"/>
  <c r="B18" i="2"/>
  <c r="C18" i="2"/>
  <c r="B18" i="3"/>
  <c r="C18" i="3"/>
  <c r="B26" i="1"/>
  <c r="J26" i="1"/>
  <c r="B17" i="2"/>
  <c r="C17" i="2"/>
  <c r="B17" i="3"/>
  <c r="B25" i="1"/>
  <c r="C25" i="1"/>
  <c r="J25" i="1"/>
  <c r="B16" i="3"/>
  <c r="C16" i="3"/>
  <c r="J24" i="1"/>
  <c r="B24" i="1"/>
  <c r="AG24" i="1"/>
  <c r="B15" i="3"/>
  <c r="C15" i="3"/>
  <c r="B23" i="1"/>
  <c r="J23" i="1"/>
  <c r="B14" i="3"/>
  <c r="C14" i="3"/>
  <c r="J22" i="1"/>
  <c r="B22" i="1"/>
  <c r="AG22" i="1"/>
  <c r="C3" i="2"/>
  <c r="C2" i="2"/>
  <c r="B13" i="3"/>
  <c r="C13" i="3"/>
  <c r="J21" i="1"/>
  <c r="B21" i="1"/>
  <c r="F12" i="2"/>
  <c r="B12" i="3"/>
  <c r="C12" i="3"/>
  <c r="J20" i="1"/>
  <c r="B20" i="1"/>
  <c r="AG20" i="1"/>
  <c r="B11" i="2"/>
  <c r="C11" i="2"/>
  <c r="B12" i="2"/>
  <c r="C12" i="2"/>
  <c r="B13" i="2"/>
  <c r="F13" i="2"/>
  <c r="C13" i="2"/>
  <c r="B14" i="2"/>
  <c r="C14" i="2"/>
  <c r="B15" i="2"/>
  <c r="C15" i="2"/>
  <c r="B16" i="2"/>
  <c r="C16" i="2"/>
  <c r="B5" i="2"/>
  <c r="B6" i="2"/>
  <c r="B7" i="2"/>
  <c r="B9" i="2"/>
  <c r="C9" i="2"/>
  <c r="B10" i="2"/>
  <c r="C10" i="2"/>
  <c r="B4" i="2"/>
  <c r="C4" i="2"/>
  <c r="W8" i="2"/>
  <c r="B8" i="2"/>
  <c r="B5" i="3"/>
  <c r="B6" i="3"/>
  <c r="C6" i="3"/>
  <c r="B7" i="3"/>
  <c r="B8" i="3"/>
  <c r="C8" i="3"/>
  <c r="B9" i="3"/>
  <c r="C9" i="3"/>
  <c r="B10" i="3"/>
  <c r="B11" i="3"/>
  <c r="C11" i="3"/>
  <c r="B4" i="3"/>
  <c r="C4" i="3"/>
  <c r="J19" i="1"/>
  <c r="B19" i="1"/>
  <c r="L20" i="1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J18" i="1"/>
  <c r="B18" i="1"/>
  <c r="J17" i="1"/>
  <c r="B17" i="1"/>
  <c r="C17" i="1"/>
  <c r="J16" i="1"/>
  <c r="B16" i="1"/>
  <c r="F16" i="1"/>
  <c r="V3" i="1"/>
  <c r="V4" i="1"/>
  <c r="V5" i="1"/>
  <c r="V6" i="1"/>
  <c r="V7" i="1"/>
  <c r="V8" i="1"/>
  <c r="V9" i="1"/>
  <c r="V10" i="1"/>
  <c r="V11" i="1"/>
  <c r="V12" i="1"/>
  <c r="V13" i="1"/>
  <c r="V14" i="1"/>
  <c r="J15" i="1"/>
  <c r="B15" i="1"/>
  <c r="J14" i="1"/>
  <c r="J13" i="1"/>
  <c r="J12" i="1"/>
  <c r="J11" i="1"/>
  <c r="J10" i="1"/>
  <c r="J9" i="1"/>
  <c r="J8" i="1"/>
  <c r="J7" i="1"/>
  <c r="J6" i="1"/>
  <c r="J5" i="1"/>
  <c r="J4" i="1"/>
  <c r="J3" i="1"/>
  <c r="B3" i="1"/>
  <c r="B4" i="1"/>
  <c r="C4" i="1"/>
  <c r="B5" i="1"/>
  <c r="B6" i="1"/>
  <c r="C6" i="1"/>
  <c r="B7" i="1"/>
  <c r="AG7" i="1"/>
  <c r="B8" i="1"/>
  <c r="AG8" i="1"/>
  <c r="B9" i="1"/>
  <c r="B10" i="1"/>
  <c r="AG10" i="1"/>
  <c r="B11" i="1"/>
  <c r="AG11" i="1"/>
  <c r="B12" i="1"/>
  <c r="B13" i="1"/>
  <c r="C13" i="1"/>
  <c r="B14" i="1"/>
  <c r="C14" i="1"/>
  <c r="B2" i="1"/>
  <c r="F3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G25" i="1"/>
  <c r="AG15" i="1"/>
  <c r="C34" i="2"/>
  <c r="F25" i="1"/>
  <c r="L25" i="1"/>
  <c r="D37" i="1"/>
  <c r="E37" i="1"/>
  <c r="L57" i="1"/>
  <c r="AG3" i="1"/>
  <c r="D8" i="1"/>
  <c r="E8" i="1"/>
  <c r="F20" i="1"/>
  <c r="AG13" i="1"/>
  <c r="AG57" i="1"/>
  <c r="D25" i="1"/>
  <c r="D20" i="1"/>
  <c r="L21" i="1"/>
  <c r="D48" i="1"/>
  <c r="C19" i="1"/>
  <c r="D34" i="1"/>
  <c r="E34" i="1"/>
  <c r="L52" i="1"/>
  <c r="AG19" i="1"/>
  <c r="L8" i="1"/>
  <c r="AG31" i="1"/>
  <c r="L39" i="1"/>
  <c r="D47" i="1"/>
  <c r="L55" i="1"/>
  <c r="L26" i="1"/>
  <c r="F32" i="1"/>
  <c r="C47" i="1"/>
  <c r="L48" i="1"/>
  <c r="C51" i="1"/>
  <c r="AG55" i="1"/>
  <c r="F57" i="1"/>
  <c r="D57" i="1"/>
  <c r="AG56" i="1"/>
  <c r="F21" i="1"/>
  <c r="F13" i="1"/>
  <c r="L13" i="1"/>
  <c r="C20" i="1"/>
  <c r="C21" i="1"/>
  <c r="D22" i="1"/>
  <c r="E22" i="1"/>
  <c r="F31" i="1"/>
  <c r="D32" i="1"/>
  <c r="D43" i="1"/>
  <c r="E43" i="1"/>
  <c r="AG52" i="1"/>
  <c r="D55" i="1"/>
  <c r="E55" i="1"/>
  <c r="C12" i="1"/>
  <c r="C5" i="1"/>
  <c r="AG21" i="1"/>
  <c r="C22" i="1"/>
  <c r="L32" i="1"/>
  <c r="AG37" i="1"/>
  <c r="C38" i="1"/>
  <c r="L40" i="1"/>
  <c r="C42" i="1"/>
  <c r="C45" i="1"/>
  <c r="F48" i="1"/>
  <c r="AG12" i="1"/>
  <c r="C15" i="1"/>
  <c r="C32" i="1"/>
  <c r="AG45" i="1"/>
  <c r="C48" i="1"/>
  <c r="AG42" i="1"/>
  <c r="L19" i="1"/>
  <c r="D21" i="1"/>
  <c r="E21" i="1"/>
  <c r="L22" i="1"/>
  <c r="L49" i="1"/>
  <c r="F8" i="1"/>
  <c r="F22" i="1"/>
  <c r="D13" i="1"/>
  <c r="E13" i="1"/>
  <c r="C56" i="1"/>
  <c r="D56" i="1"/>
  <c r="C32" i="3"/>
  <c r="F34" i="4"/>
  <c r="L34" i="4"/>
  <c r="D34" i="4"/>
  <c r="E34" i="4"/>
  <c r="E25" i="4"/>
  <c r="L35" i="4"/>
  <c r="F35" i="4"/>
  <c r="D35" i="4"/>
  <c r="E35" i="4"/>
  <c r="L32" i="4"/>
  <c r="D32" i="4"/>
  <c r="E32" i="4"/>
  <c r="F32" i="4"/>
  <c r="E23" i="4"/>
  <c r="F13" i="4"/>
  <c r="F23" i="4"/>
  <c r="D27" i="4"/>
  <c r="E27" i="4"/>
  <c r="F29" i="4"/>
  <c r="L33" i="4"/>
  <c r="B36" i="4"/>
  <c r="F2" i="4"/>
  <c r="AB3" i="4"/>
  <c r="AC3" i="4"/>
  <c r="F8" i="4"/>
  <c r="L13" i="4"/>
  <c r="F14" i="4"/>
  <c r="B15" i="4"/>
  <c r="D18" i="4"/>
  <c r="E18" i="4"/>
  <c r="B20" i="4"/>
  <c r="C21" i="4"/>
  <c r="L23" i="4"/>
  <c r="F31" i="4"/>
  <c r="L3" i="4"/>
  <c r="AJ3" i="4"/>
  <c r="AF3" i="4"/>
  <c r="B4" i="4"/>
  <c r="F5" i="4"/>
  <c r="D12" i="4"/>
  <c r="E12" i="4"/>
  <c r="C13" i="4"/>
  <c r="C17" i="4"/>
  <c r="C18" i="4"/>
  <c r="L22" i="4"/>
  <c r="L28" i="4"/>
  <c r="L30" i="4"/>
  <c r="L39" i="4"/>
  <c r="D2" i="4"/>
  <c r="E2" i="4"/>
  <c r="L5" i="4"/>
  <c r="L6" i="4"/>
  <c r="D6" i="4"/>
  <c r="E6" i="4"/>
  <c r="D8" i="4"/>
  <c r="E8" i="4"/>
  <c r="B9" i="4"/>
  <c r="L10" i="4"/>
  <c r="D11" i="4"/>
  <c r="E11" i="4"/>
  <c r="F21" i="4"/>
  <c r="H19" i="4"/>
  <c r="C22" i="4"/>
  <c r="F28" i="4"/>
  <c r="F30" i="4"/>
  <c r="D31" i="4"/>
  <c r="E31" i="4"/>
  <c r="D33" i="4"/>
  <c r="B37" i="4"/>
  <c r="D39" i="4"/>
  <c r="C10" i="4"/>
  <c r="C16" i="4"/>
  <c r="F17" i="4"/>
  <c r="C19" i="4"/>
  <c r="D28" i="4"/>
  <c r="E28" i="4"/>
  <c r="D29" i="4"/>
  <c r="E29" i="4"/>
  <c r="D30" i="4"/>
  <c r="E30" i="4"/>
  <c r="L11" i="4"/>
  <c r="H20" i="4"/>
  <c r="D22" i="4"/>
  <c r="E22" i="4"/>
  <c r="L29" i="4"/>
  <c r="H34" i="4"/>
  <c r="AA3" i="4"/>
  <c r="H10" i="4"/>
  <c r="H37" i="4"/>
  <c r="C6" i="2"/>
  <c r="D7" i="2"/>
  <c r="E56" i="1"/>
  <c r="L61" i="1"/>
  <c r="C8" i="1"/>
  <c r="L5" i="1"/>
  <c r="L63" i="1"/>
  <c r="C90" i="1"/>
  <c r="L30" i="1"/>
  <c r="F88" i="1"/>
  <c r="AG50" i="1"/>
  <c r="C61" i="1"/>
  <c r="E79" i="1"/>
  <c r="F87" i="1"/>
  <c r="AG93" i="1"/>
  <c r="C97" i="1"/>
  <c r="AG36" i="1"/>
  <c r="C7" i="1"/>
  <c r="L56" i="1"/>
  <c r="D46" i="1"/>
  <c r="E46" i="1"/>
  <c r="AG2" i="1"/>
  <c r="C27" i="1"/>
  <c r="L69" i="1"/>
  <c r="D76" i="1"/>
  <c r="E76" i="1"/>
  <c r="C81" i="1"/>
  <c r="L85" i="1"/>
  <c r="L94" i="1"/>
  <c r="D4" i="1"/>
  <c r="E4" i="1"/>
  <c r="AG4" i="1"/>
  <c r="F68" i="1"/>
  <c r="F4" i="1"/>
  <c r="D61" i="1"/>
  <c r="E61" i="1"/>
  <c r="AG86" i="1"/>
  <c r="L87" i="1"/>
  <c r="D69" i="1"/>
  <c r="E69" i="1"/>
  <c r="L80" i="1"/>
  <c r="F81" i="1"/>
  <c r="L91" i="1"/>
  <c r="C50" i="1"/>
  <c r="E25" i="1"/>
  <c r="L4" i="1"/>
  <c r="C59" i="1"/>
  <c r="D62" i="1"/>
  <c r="AG61" i="1"/>
  <c r="L74" i="1"/>
  <c r="L75" i="1"/>
  <c r="L29" i="1"/>
  <c r="C11" i="1"/>
  <c r="L31" i="1"/>
  <c r="AG30" i="1"/>
  <c r="F55" i="1"/>
  <c r="L62" i="1"/>
  <c r="L83" i="1"/>
  <c r="L84" i="1"/>
  <c r="AG94" i="1"/>
  <c r="C30" i="1"/>
  <c r="L6" i="1"/>
  <c r="D12" i="1"/>
  <c r="E12" i="1"/>
  <c r="F56" i="1"/>
  <c r="AG59" i="1"/>
  <c r="F61" i="1"/>
  <c r="D82" i="1"/>
  <c r="E82" i="1"/>
  <c r="F90" i="1"/>
  <c r="F91" i="1"/>
  <c r="AG6" i="1"/>
  <c r="E20" i="1"/>
  <c r="C24" i="1"/>
  <c r="F73" i="1"/>
  <c r="D74" i="1"/>
  <c r="E74" i="1"/>
  <c r="AG82" i="1"/>
  <c r="AG89" i="1"/>
  <c r="L12" i="1"/>
  <c r="D31" i="1"/>
  <c r="E31" i="1"/>
  <c r="C3" i="1"/>
  <c r="C69" i="1"/>
  <c r="D77" i="1"/>
  <c r="E77" i="1"/>
  <c r="L78" i="1"/>
  <c r="C79" i="1"/>
  <c r="F85" i="1"/>
  <c r="L95" i="1"/>
  <c r="F6" i="1"/>
  <c r="D7" i="1"/>
  <c r="E7" i="1"/>
  <c r="F7" i="1"/>
  <c r="L58" i="1"/>
  <c r="E62" i="1"/>
  <c r="L77" i="1"/>
  <c r="F79" i="1"/>
  <c r="AG77" i="1"/>
  <c r="D94" i="1"/>
  <c r="E94" i="1"/>
  <c r="D97" i="1"/>
  <c r="E97" i="1"/>
  <c r="D11" i="1"/>
  <c r="E11" i="1"/>
  <c r="L7" i="1"/>
  <c r="F12" i="1"/>
  <c r="F11" i="1"/>
  <c r="D59" i="1"/>
  <c r="E59" i="1"/>
  <c r="C60" i="1"/>
  <c r="F63" i="1"/>
  <c r="L79" i="1"/>
  <c r="AG69" i="1"/>
  <c r="C89" i="1"/>
  <c r="L90" i="1"/>
  <c r="E32" i="1"/>
  <c r="AG17" i="1"/>
  <c r="D63" i="1"/>
  <c r="E63" i="1"/>
  <c r="C73" i="1"/>
  <c r="C74" i="1"/>
  <c r="D75" i="1"/>
  <c r="E75" i="1"/>
  <c r="AG63" i="1"/>
  <c r="F82" i="1"/>
  <c r="C94" i="1"/>
  <c r="F89" i="2"/>
  <c r="D87" i="2"/>
  <c r="D24" i="2"/>
  <c r="F35" i="2"/>
  <c r="D12" i="2"/>
  <c r="D8" i="2"/>
  <c r="C29" i="2"/>
  <c r="D25" i="2"/>
  <c r="D28" i="2"/>
  <c r="D63" i="2"/>
  <c r="F76" i="2"/>
  <c r="F20" i="2"/>
  <c r="F34" i="2"/>
  <c r="D41" i="2"/>
  <c r="D60" i="2"/>
  <c r="D72" i="2"/>
  <c r="F78" i="2"/>
  <c r="C24" i="2"/>
  <c r="F16" i="2"/>
  <c r="C27" i="2"/>
  <c r="D68" i="2"/>
  <c r="D70" i="2"/>
  <c r="F18" i="2"/>
  <c r="F15" i="2"/>
  <c r="F11" i="2"/>
  <c r="D19" i="2"/>
  <c r="F45" i="2"/>
  <c r="F48" i="2"/>
  <c r="D74" i="2"/>
  <c r="D11" i="2"/>
  <c r="D69" i="2"/>
  <c r="D16" i="2"/>
  <c r="D15" i="2"/>
  <c r="F33" i="2"/>
  <c r="D43" i="2"/>
  <c r="C30" i="2"/>
  <c r="D33" i="2"/>
  <c r="D36" i="2"/>
  <c r="D40" i="2"/>
  <c r="D52" i="2"/>
  <c r="D54" i="2"/>
  <c r="D65" i="2"/>
  <c r="C87" i="2"/>
  <c r="C88" i="2"/>
  <c r="D9" i="2"/>
  <c r="F70" i="2"/>
  <c r="D18" i="2"/>
  <c r="D32" i="2"/>
  <c r="F61" i="2"/>
  <c r="D17" i="2"/>
  <c r="D14" i="2"/>
  <c r="D20" i="2"/>
  <c r="F25" i="2"/>
  <c r="D56" i="2"/>
  <c r="F65" i="2"/>
  <c r="F67" i="2"/>
  <c r="F77" i="2"/>
  <c r="D30" i="2"/>
  <c r="D47" i="2"/>
  <c r="D6" i="2"/>
  <c r="F37" i="2"/>
  <c r="D64" i="2"/>
  <c r="D66" i="2"/>
  <c r="F31" i="2"/>
  <c r="F47" i="2"/>
  <c r="F28" i="2"/>
  <c r="D45" i="2"/>
  <c r="F56" i="2"/>
  <c r="D59" i="2"/>
  <c r="F64" i="2"/>
  <c r="D42" i="2"/>
  <c r="F14" i="2"/>
  <c r="F84" i="2"/>
  <c r="F90" i="2"/>
  <c r="F10" i="2"/>
  <c r="D22" i="2"/>
  <c r="D26" i="2"/>
  <c r="F32" i="2"/>
  <c r="D35" i="2"/>
  <c r="D44" i="2"/>
  <c r="F57" i="2"/>
  <c r="F59" i="2"/>
  <c r="D80" i="2"/>
  <c r="D85" i="2"/>
  <c r="F86" i="2"/>
  <c r="D88" i="2"/>
  <c r="D89" i="2"/>
  <c r="F63" i="2"/>
  <c r="D31" i="2"/>
  <c r="D46" i="2"/>
  <c r="F52" i="2"/>
  <c r="D13" i="2"/>
  <c r="D75" i="2"/>
  <c r="C19" i="2"/>
  <c r="F43" i="2"/>
  <c r="F29" i="2"/>
  <c r="F50" i="2"/>
  <c r="D62" i="2"/>
  <c r="D67" i="2"/>
  <c r="F83" i="2"/>
  <c r="F42" i="2"/>
  <c r="F27" i="2"/>
  <c r="F88" i="2"/>
  <c r="F19" i="2"/>
  <c r="F17" i="2"/>
  <c r="D34" i="2"/>
  <c r="F40" i="2"/>
  <c r="D5" i="2"/>
  <c r="D10" i="2"/>
  <c r="D50" i="2"/>
  <c r="C63" i="2"/>
  <c r="F69" i="2"/>
  <c r="F79" i="2"/>
  <c r="D81" i="2"/>
  <c r="D86" i="2"/>
  <c r="F22" i="2"/>
  <c r="C8" i="2"/>
  <c r="D21" i="2"/>
  <c r="F49" i="2"/>
  <c r="F55" i="2"/>
  <c r="F58" i="2"/>
  <c r="D61" i="2"/>
  <c r="D84" i="2"/>
  <c r="C90" i="2"/>
  <c r="D48" i="2"/>
  <c r="F21" i="2"/>
  <c r="F8" i="2"/>
  <c r="F7" i="2"/>
  <c r="C21" i="2"/>
  <c r="C36" i="2"/>
  <c r="F39" i="2"/>
  <c r="D39" i="2"/>
  <c r="C40" i="2"/>
  <c r="C48" i="2"/>
  <c r="D49" i="2"/>
  <c r="F51" i="2"/>
  <c r="D55" i="2"/>
  <c r="D58" i="2"/>
  <c r="C60" i="2"/>
  <c r="F66" i="2"/>
  <c r="F68" i="2"/>
  <c r="C72" i="2"/>
  <c r="F73" i="2"/>
  <c r="D77" i="2"/>
  <c r="C84" i="2"/>
  <c r="F87" i="2"/>
  <c r="D73" i="2"/>
  <c r="F6" i="2"/>
  <c r="D38" i="2"/>
  <c r="F9" i="2"/>
  <c r="C35" i="2"/>
  <c r="F38" i="2"/>
  <c r="C46" i="2"/>
  <c r="C52" i="2"/>
  <c r="C56" i="2"/>
  <c r="D57" i="2"/>
  <c r="C59" i="2"/>
  <c r="F60" i="2"/>
  <c r="C62" i="2"/>
  <c r="C65" i="2"/>
  <c r="C70" i="2"/>
  <c r="F72" i="2"/>
  <c r="F74" i="2"/>
  <c r="C75" i="2"/>
  <c r="C76" i="2"/>
  <c r="C81" i="2"/>
  <c r="C82" i="2"/>
  <c r="C85" i="2"/>
  <c r="D90" i="2"/>
  <c r="C5" i="2"/>
  <c r="F36" i="2"/>
  <c r="C43" i="2"/>
  <c r="F53" i="2"/>
  <c r="F71" i="2"/>
  <c r="F5" i="2"/>
  <c r="C25" i="2"/>
  <c r="F44" i="2"/>
  <c r="D53" i="2"/>
  <c r="C61" i="2"/>
  <c r="D71" i="2"/>
  <c r="F75" i="2"/>
  <c r="F81" i="2"/>
  <c r="F82" i="2"/>
  <c r="F85" i="2"/>
  <c r="F91" i="2"/>
  <c r="F26" i="2"/>
  <c r="F62" i="2"/>
  <c r="D76" i="2"/>
  <c r="C79" i="2"/>
  <c r="F80" i="2"/>
  <c r="D82" i="2"/>
  <c r="C7" i="2"/>
  <c r="F41" i="2"/>
  <c r="D10" i="3"/>
  <c r="D46" i="3"/>
  <c r="D17" i="3"/>
  <c r="F32" i="3"/>
  <c r="D19" i="3"/>
  <c r="C19" i="3"/>
  <c r="F51" i="3"/>
  <c r="D11" i="3"/>
  <c r="F10" i="3"/>
  <c r="D33" i="3"/>
  <c r="D44" i="3"/>
  <c r="F53" i="3"/>
  <c r="D23" i="3"/>
  <c r="F19" i="3"/>
  <c r="D32" i="3"/>
  <c r="F11" i="3"/>
  <c r="F71" i="3"/>
  <c r="D64" i="3"/>
  <c r="D29" i="3"/>
  <c r="C10" i="3"/>
  <c r="F49" i="3"/>
  <c r="D61" i="3"/>
  <c r="C90" i="3"/>
  <c r="F35" i="3"/>
  <c r="F52" i="3"/>
  <c r="F28" i="3"/>
  <c r="D53" i="3"/>
  <c r="F9" i="3"/>
  <c r="F8" i="3"/>
  <c r="C17" i="3"/>
  <c r="D45" i="3"/>
  <c r="F46" i="3"/>
  <c r="D26" i="3"/>
  <c r="F36" i="3"/>
  <c r="F26" i="3"/>
  <c r="D37" i="3"/>
  <c r="D34" i="3"/>
  <c r="F45" i="3"/>
  <c r="F87" i="3"/>
  <c r="D88" i="3"/>
  <c r="D86" i="3"/>
  <c r="D87" i="3"/>
  <c r="D16" i="3"/>
  <c r="F16" i="3"/>
  <c r="F24" i="3"/>
  <c r="F61" i="3"/>
  <c r="F85" i="3"/>
  <c r="C46" i="3"/>
  <c r="D42" i="3"/>
  <c r="F33" i="3"/>
  <c r="D35" i="3"/>
  <c r="D36" i="3"/>
  <c r="D18" i="3"/>
  <c r="D68" i="3"/>
  <c r="F37" i="3"/>
  <c r="C48" i="3"/>
  <c r="D31" i="3"/>
  <c r="F54" i="3"/>
  <c r="F31" i="3"/>
  <c r="F25" i="3"/>
  <c r="F18" i="3"/>
  <c r="F17" i="3"/>
  <c r="D54" i="3"/>
  <c r="D38" i="3"/>
  <c r="D49" i="3"/>
  <c r="F34" i="3"/>
  <c r="D40" i="3"/>
  <c r="F73" i="3"/>
  <c r="L9" i="1"/>
  <c r="AG9" i="1"/>
  <c r="C9" i="1"/>
  <c r="D62" i="3"/>
  <c r="C62" i="3"/>
  <c r="D99" i="1"/>
  <c r="D98" i="1"/>
  <c r="E98" i="1"/>
  <c r="C98" i="1"/>
  <c r="F98" i="1"/>
  <c r="L99" i="1"/>
  <c r="F99" i="1"/>
  <c r="AG98" i="1"/>
  <c r="E47" i="1"/>
  <c r="F17" i="1"/>
  <c r="C2" i="1"/>
  <c r="L3" i="1"/>
  <c r="D3" i="1"/>
  <c r="E3" i="1"/>
  <c r="AG18" i="1"/>
  <c r="C18" i="1"/>
  <c r="D19" i="1"/>
  <c r="E19" i="1"/>
  <c r="F18" i="1"/>
  <c r="L18" i="1"/>
  <c r="D18" i="1"/>
  <c r="E18" i="1"/>
  <c r="F19" i="1"/>
  <c r="C67" i="1"/>
  <c r="D67" i="1"/>
  <c r="E67" i="1"/>
  <c r="F67" i="1"/>
  <c r="AG67" i="1"/>
  <c r="L67" i="1"/>
  <c r="D71" i="1"/>
  <c r="E71" i="1"/>
  <c r="F96" i="1"/>
  <c r="L98" i="1"/>
  <c r="D7" i="3"/>
  <c r="C7" i="3"/>
  <c r="F43" i="1"/>
  <c r="C43" i="1"/>
  <c r="AG43" i="1"/>
  <c r="D57" i="3"/>
  <c r="C57" i="3"/>
  <c r="D9" i="1"/>
  <c r="E9" i="1"/>
  <c r="F15" i="1"/>
  <c r="L15" i="1"/>
  <c r="L14" i="1"/>
  <c r="D15" i="1"/>
  <c r="E15" i="1"/>
  <c r="AG14" i="1"/>
  <c r="D14" i="1"/>
  <c r="E14" i="1"/>
  <c r="F5" i="3"/>
  <c r="F6" i="3"/>
  <c r="C5" i="3"/>
  <c r="D6" i="3"/>
  <c r="F30" i="1"/>
  <c r="C29" i="1"/>
  <c r="D30" i="1"/>
  <c r="E30" i="1"/>
  <c r="F29" i="1"/>
  <c r="AG29" i="1"/>
  <c r="D22" i="3"/>
  <c r="C22" i="3"/>
  <c r="D41" i="1"/>
  <c r="E41" i="1"/>
  <c r="L41" i="1"/>
  <c r="L42" i="1"/>
  <c r="F41" i="1"/>
  <c r="AG41" i="1"/>
  <c r="D42" i="1"/>
  <c r="E42" i="1"/>
  <c r="C41" i="1"/>
  <c r="F51" i="1"/>
  <c r="F52" i="1"/>
  <c r="D51" i="1"/>
  <c r="E51" i="1"/>
  <c r="L51" i="1"/>
  <c r="AG51" i="1"/>
  <c r="D52" i="1"/>
  <c r="E52" i="1"/>
  <c r="C53" i="1"/>
  <c r="L53" i="1"/>
  <c r="D53" i="1"/>
  <c r="E53" i="1"/>
  <c r="D54" i="1"/>
  <c r="E54" i="1"/>
  <c r="L54" i="1"/>
  <c r="F53" i="1"/>
  <c r="F54" i="1"/>
  <c r="AG53" i="1"/>
  <c r="F74" i="3"/>
  <c r="C74" i="3"/>
  <c r="F81" i="3"/>
  <c r="D81" i="3"/>
  <c r="C80" i="3"/>
  <c r="D83" i="3"/>
  <c r="C83" i="3"/>
  <c r="F21" i="3"/>
  <c r="D21" i="3"/>
  <c r="AG40" i="1"/>
  <c r="F40" i="1"/>
  <c r="C40" i="1"/>
  <c r="D40" i="1"/>
  <c r="E40" i="1"/>
  <c r="L66" i="1"/>
  <c r="F65" i="1"/>
  <c r="AG65" i="1"/>
  <c r="D66" i="1"/>
  <c r="E66" i="1"/>
  <c r="L65" i="1"/>
  <c r="C65" i="1"/>
  <c r="E90" i="1"/>
  <c r="F22" i="3"/>
  <c r="F9" i="1"/>
  <c r="L28" i="1"/>
  <c r="D20" i="3"/>
  <c r="F20" i="3"/>
  <c r="C20" i="3"/>
  <c r="F39" i="1"/>
  <c r="AG39" i="1"/>
  <c r="D39" i="1"/>
  <c r="E39" i="1"/>
  <c r="C39" i="1"/>
  <c r="L70" i="1"/>
  <c r="D70" i="1"/>
  <c r="E70" i="1"/>
  <c r="F70" i="1"/>
  <c r="AG70" i="1"/>
  <c r="C70" i="1"/>
  <c r="F76" i="1"/>
  <c r="AG76" i="1"/>
  <c r="L76" i="1"/>
  <c r="C76" i="1"/>
  <c r="L10" i="1"/>
  <c r="D16" i="1"/>
  <c r="E16" i="1"/>
  <c r="D17" i="1"/>
  <c r="E17" i="1"/>
  <c r="C16" i="1"/>
  <c r="L17" i="1"/>
  <c r="AG16" i="1"/>
  <c r="L16" i="1"/>
  <c r="C26" i="1"/>
  <c r="D27" i="1"/>
  <c r="E27" i="1"/>
  <c r="F26" i="1"/>
  <c r="AG26" i="1"/>
  <c r="F27" i="1"/>
  <c r="L27" i="1"/>
  <c r="D26" i="1"/>
  <c r="E26" i="1"/>
  <c r="AG34" i="1"/>
  <c r="L34" i="1"/>
  <c r="F34" i="1"/>
  <c r="C34" i="1"/>
  <c r="AG35" i="1"/>
  <c r="L36" i="1"/>
  <c r="D35" i="1"/>
  <c r="E35" i="1"/>
  <c r="F35" i="1"/>
  <c r="D36" i="1"/>
  <c r="E36" i="1"/>
  <c r="C35" i="1"/>
  <c r="L35" i="1"/>
  <c r="D50" i="1"/>
  <c r="E50" i="1"/>
  <c r="F49" i="1"/>
  <c r="L50" i="1"/>
  <c r="AG49" i="1"/>
  <c r="D49" i="1"/>
  <c r="E49" i="1"/>
  <c r="C59" i="3"/>
  <c r="D59" i="3"/>
  <c r="F71" i="1"/>
  <c r="L71" i="1"/>
  <c r="C71" i="1"/>
  <c r="C69" i="3"/>
  <c r="D69" i="3"/>
  <c r="D92" i="1"/>
  <c r="E92" i="1"/>
  <c r="C92" i="1"/>
  <c r="F92" i="1"/>
  <c r="L92" i="1"/>
  <c r="F93" i="1"/>
  <c r="AG92" i="1"/>
  <c r="L96" i="1"/>
  <c r="F63" i="3"/>
  <c r="AG23" i="1"/>
  <c r="D23" i="1"/>
  <c r="E23" i="1"/>
  <c r="C23" i="1"/>
  <c r="L23" i="1"/>
  <c r="F23" i="1"/>
  <c r="F24" i="1"/>
  <c r="L24" i="1"/>
  <c r="D24" i="1"/>
  <c r="E24" i="1"/>
  <c r="AG33" i="1"/>
  <c r="F33" i="1"/>
  <c r="D33" i="1"/>
  <c r="E33" i="1"/>
  <c r="C33" i="1"/>
  <c r="L33" i="1"/>
  <c r="F37" i="1"/>
  <c r="L38" i="1"/>
  <c r="L37" i="1"/>
  <c r="D38" i="1"/>
  <c r="E38" i="1"/>
  <c r="F38" i="1"/>
  <c r="F44" i="1"/>
  <c r="C44" i="1"/>
  <c r="L44" i="1"/>
  <c r="AG44" i="1"/>
  <c r="F45" i="1"/>
  <c r="D44" i="1"/>
  <c r="E44" i="1"/>
  <c r="L45" i="1"/>
  <c r="L46" i="1"/>
  <c r="F47" i="1"/>
  <c r="C46" i="1"/>
  <c r="AG46" i="1"/>
  <c r="L47" i="1"/>
  <c r="L89" i="1"/>
  <c r="L88" i="1"/>
  <c r="AG88" i="1"/>
  <c r="D89" i="1"/>
  <c r="D88" i="1"/>
  <c r="E88" i="1"/>
  <c r="C88" i="1"/>
  <c r="AG28" i="1"/>
  <c r="F28" i="1"/>
  <c r="D28" i="1"/>
  <c r="E28" i="1"/>
  <c r="C56" i="3"/>
  <c r="D56" i="3"/>
  <c r="C95" i="1"/>
  <c r="D95" i="1"/>
  <c r="E95" i="1"/>
  <c r="AG95" i="1"/>
  <c r="F95" i="1"/>
  <c r="D96" i="1"/>
  <c r="D29" i="1"/>
  <c r="E29" i="1"/>
  <c r="L43" i="1"/>
  <c r="E45" i="1"/>
  <c r="F14" i="1"/>
  <c r="C10" i="1"/>
  <c r="F10" i="1"/>
  <c r="L11" i="1"/>
  <c r="D10" i="1"/>
  <c r="E10" i="1"/>
  <c r="F5" i="1"/>
  <c r="D6" i="1"/>
  <c r="E6" i="1"/>
  <c r="AG5" i="1"/>
  <c r="D5" i="1"/>
  <c r="E5" i="1"/>
  <c r="F36" i="1"/>
  <c r="AG64" i="1"/>
  <c r="C64" i="1"/>
  <c r="D64" i="1"/>
  <c r="E64" i="1"/>
  <c r="F64" i="1"/>
  <c r="L64" i="1"/>
  <c r="D65" i="1"/>
  <c r="E65" i="1"/>
  <c r="F59" i="3"/>
  <c r="L68" i="1"/>
  <c r="F69" i="3"/>
  <c r="F89" i="1"/>
  <c r="D93" i="1"/>
  <c r="D24" i="3"/>
  <c r="D47" i="3"/>
  <c r="F59" i="1"/>
  <c r="F62" i="1"/>
  <c r="D68" i="1"/>
  <c r="E68" i="1"/>
  <c r="F69" i="1"/>
  <c r="F74" i="1"/>
  <c r="D81" i="1"/>
  <c r="E81" i="1"/>
  <c r="AG78" i="1"/>
  <c r="AG62" i="1"/>
  <c r="L86" i="1"/>
  <c r="F94" i="1"/>
  <c r="F97" i="1"/>
  <c r="F91" i="3"/>
  <c r="D27" i="3"/>
  <c r="C54" i="1"/>
  <c r="L60" i="1"/>
  <c r="C62" i="1"/>
  <c r="F66" i="1"/>
  <c r="C68" i="1"/>
  <c r="C60" i="3"/>
  <c r="D63" i="3"/>
  <c r="C72" i="1"/>
  <c r="C64" i="3"/>
  <c r="D73" i="1"/>
  <c r="E73" i="1"/>
  <c r="F78" i="1"/>
  <c r="AG68" i="1"/>
  <c r="L82" i="1"/>
  <c r="A82" i="1" a="1"/>
  <c r="A82" i="1"/>
  <c r="F84" i="1"/>
  <c r="C85" i="1"/>
  <c r="D85" i="1"/>
  <c r="E85" i="1"/>
  <c r="C87" i="1"/>
  <c r="D87" i="1"/>
  <c r="E87" i="1"/>
  <c r="D91" i="1"/>
  <c r="E91" i="1"/>
  <c r="D85" i="3"/>
  <c r="F86" i="3"/>
  <c r="F90" i="3"/>
  <c r="E48" i="1"/>
  <c r="C28" i="3"/>
  <c r="F38" i="3"/>
  <c r="D39" i="3"/>
  <c r="C40" i="3"/>
  <c r="F43" i="3"/>
  <c r="C44" i="3"/>
  <c r="C57" i="1"/>
  <c r="D78" i="1"/>
  <c r="E78" i="1"/>
  <c r="F80" i="1"/>
  <c r="AG75" i="1"/>
  <c r="D74" i="3"/>
  <c r="D83" i="1"/>
  <c r="E83" i="1"/>
  <c r="D84" i="1"/>
  <c r="F86" i="1"/>
  <c r="AG97" i="1"/>
  <c r="F89" i="3"/>
  <c r="D90" i="3"/>
  <c r="E57" i="1"/>
  <c r="F14" i="3"/>
  <c r="F29" i="3"/>
  <c r="F41" i="3"/>
  <c r="F42" i="3"/>
  <c r="C58" i="1"/>
  <c r="D58" i="1"/>
  <c r="E58" i="1"/>
  <c r="L59" i="1"/>
  <c r="C63" i="1"/>
  <c r="C66" i="1"/>
  <c r="F60" i="3"/>
  <c r="F62" i="3"/>
  <c r="F72" i="1"/>
  <c r="F77" i="1"/>
  <c r="D80" i="1"/>
  <c r="E80" i="1"/>
  <c r="AG74" i="1"/>
  <c r="C83" i="1"/>
  <c r="F83" i="1"/>
  <c r="AG85" i="1"/>
  <c r="D77" i="3"/>
  <c r="D86" i="1"/>
  <c r="AG87" i="1"/>
  <c r="D79" i="3"/>
  <c r="D82" i="3"/>
  <c r="D89" i="3"/>
  <c r="D50" i="3"/>
  <c r="F60" i="1"/>
  <c r="D52" i="3"/>
  <c r="F56" i="3"/>
  <c r="D58" i="3"/>
  <c r="D60" i="3"/>
  <c r="D72" i="1"/>
  <c r="E72" i="1"/>
  <c r="F65" i="3"/>
  <c r="F75" i="1"/>
  <c r="C78" i="1"/>
  <c r="L81" i="1"/>
  <c r="C80" i="1"/>
  <c r="AG84" i="1"/>
  <c r="D13" i="3"/>
  <c r="L72" i="1"/>
  <c r="L73" i="1"/>
  <c r="D65" i="3"/>
  <c r="C91" i="1"/>
  <c r="D84" i="3"/>
  <c r="F75" i="3"/>
  <c r="F58" i="3"/>
  <c r="D66" i="3"/>
  <c r="D67" i="3"/>
  <c r="F70" i="3"/>
  <c r="D75" i="3"/>
  <c r="D76" i="3"/>
  <c r="D78" i="3"/>
  <c r="D41" i="3"/>
  <c r="D51" i="3"/>
  <c r="D30" i="3"/>
  <c r="F30" i="3"/>
  <c r="F48" i="3"/>
  <c r="D12" i="3"/>
  <c r="F7" i="3"/>
  <c r="F13" i="3"/>
  <c r="D25" i="3"/>
  <c r="F55" i="3"/>
  <c r="F64" i="3"/>
  <c r="D70" i="3"/>
  <c r="F80" i="3"/>
  <c r="C82" i="3"/>
  <c r="F83" i="3"/>
  <c r="F84" i="3"/>
  <c r="C88" i="3"/>
  <c r="F47" i="3"/>
  <c r="F66" i="3"/>
  <c r="F67" i="3"/>
  <c r="F76" i="3"/>
  <c r="D15" i="3"/>
  <c r="F12" i="3"/>
  <c r="D28" i="3"/>
  <c r="C27" i="3"/>
  <c r="D14" i="3"/>
  <c r="F23" i="3"/>
  <c r="D9" i="3"/>
  <c r="F40" i="3"/>
  <c r="F44" i="3"/>
  <c r="D8" i="3"/>
  <c r="C52" i="3"/>
  <c r="D55" i="3"/>
  <c r="F57" i="3"/>
  <c r="F79" i="3"/>
  <c r="D80" i="3"/>
  <c r="C86" i="3"/>
  <c r="D71" i="3"/>
  <c r="D72" i="3"/>
  <c r="D73" i="3"/>
  <c r="F78" i="3"/>
  <c r="D43" i="3"/>
  <c r="C21" i="3"/>
  <c r="C50" i="3"/>
  <c r="D5" i="3"/>
  <c r="F15" i="3"/>
  <c r="C73" i="3"/>
  <c r="F77" i="3"/>
  <c r="F82" i="3"/>
  <c r="F88" i="3"/>
  <c r="C47" i="3"/>
  <c r="C39" i="3"/>
  <c r="F27" i="3"/>
  <c r="D48" i="3"/>
  <c r="F39" i="3"/>
  <c r="F68" i="3"/>
  <c r="C85" i="3"/>
  <c r="F50" i="3"/>
  <c r="C43" i="3"/>
  <c r="C67" i="3"/>
  <c r="C70" i="3"/>
  <c r="C72" i="3"/>
  <c r="F72" i="3"/>
  <c r="F38" i="4"/>
  <c r="L38" i="4"/>
  <c r="D38" i="4"/>
  <c r="E38" i="4"/>
  <c r="E39" i="4"/>
  <c r="D37" i="4"/>
  <c r="E37" i="4"/>
  <c r="L37" i="4"/>
  <c r="F37" i="4"/>
  <c r="F10" i="4"/>
  <c r="D4" i="4"/>
  <c r="E4" i="4"/>
  <c r="C4" i="4"/>
  <c r="F4" i="4"/>
  <c r="L4" i="4"/>
  <c r="L20" i="4"/>
  <c r="L21" i="4"/>
  <c r="F20" i="4"/>
  <c r="D20" i="4"/>
  <c r="E20" i="4"/>
  <c r="C20" i="4"/>
  <c r="E33" i="4"/>
  <c r="D10" i="4"/>
  <c r="E10" i="4"/>
  <c r="F9" i="4"/>
  <c r="D9" i="4"/>
  <c r="E9" i="4"/>
  <c r="C9" i="4"/>
  <c r="L9" i="4"/>
  <c r="D5" i="4"/>
  <c r="E5" i="4"/>
  <c r="F36" i="4"/>
  <c r="L36" i="4"/>
  <c r="D36" i="4"/>
  <c r="E36" i="4"/>
  <c r="D21" i="4"/>
  <c r="E21" i="4"/>
  <c r="L15" i="4"/>
  <c r="L16" i="4"/>
  <c r="C15" i="4"/>
  <c r="F15" i="4"/>
  <c r="D15" i="4"/>
  <c r="E15" i="4"/>
  <c r="F16" i="4"/>
  <c r="D16" i="4"/>
  <c r="E16" i="4"/>
  <c r="A74" i="2" a="1"/>
  <c r="A74" i="2"/>
  <c r="A75" i="2" a="1"/>
  <c r="A75" i="2"/>
  <c r="A83" i="1" a="1"/>
  <c r="A83" i="1"/>
  <c r="E93" i="1"/>
  <c r="E96" i="1"/>
  <c r="E99" i="1"/>
  <c r="E86" i="1"/>
  <c r="E84" i="1"/>
  <c r="E89" i="1"/>
  <c r="A84" i="1" a="1"/>
  <c r="A84" i="1"/>
  <c r="A85" i="1" a="1"/>
  <c r="A85" i="1"/>
  <c r="A86" i="1" a="1"/>
  <c r="A86" i="1"/>
  <c r="A87" i="1" a="1"/>
  <c r="A87" i="1"/>
  <c r="A88" i="1" a="1"/>
  <c r="A88" i="1"/>
  <c r="A89" i="1" a="1"/>
  <c r="A89" i="1"/>
  <c r="A90" i="1" a="1"/>
  <c r="A90" i="1"/>
  <c r="A91" i="1" a="1"/>
  <c r="A91" i="1"/>
  <c r="A92" i="1" a="1"/>
  <c r="A92" i="1"/>
  <c r="A93" i="1" a="1"/>
  <c r="A93" i="1"/>
  <c r="A94" i="1" a="1"/>
  <c r="A94" i="1"/>
  <c r="A95" i="1" a="1"/>
  <c r="A95" i="1"/>
  <c r="A96" i="1" a="1"/>
  <c r="A96" i="1"/>
  <c r="A97" i="1" a="1"/>
  <c r="A97" i="1"/>
  <c r="A98" i="1" a="1"/>
  <c r="A98" i="1"/>
  <c r="A99" i="1" a="1"/>
  <c r="A99" i="1"/>
  <c r="A100" i="1" a="1"/>
  <c r="A100" i="1"/>
  <c r="A101" i="1" a="1"/>
  <c r="A101" i="1"/>
  <c r="A102" i="1" a="1"/>
  <c r="A102" i="1"/>
  <c r="A103" i="1" a="1"/>
  <c r="A103" i="1"/>
  <c r="A104" i="1" a="1"/>
  <c r="A104" i="1"/>
  <c r="A105" i="1" a="1"/>
  <c r="A105" i="1"/>
  <c r="A106" i="1" a="1"/>
  <c r="A106" i="1"/>
  <c r="A107" i="1" a="1"/>
  <c r="A107" i="1"/>
  <c r="A108" i="1" a="1"/>
  <c r="A108" i="1"/>
  <c r="A109" i="1" a="1"/>
  <c r="A109" i="1"/>
  <c r="A110" i="1" a="1"/>
  <c r="A110" i="1"/>
  <c r="A111" i="1" a="1"/>
  <c r="A111" i="1"/>
  <c r="A112" i="1" a="1"/>
  <c r="A112" i="1"/>
  <c r="A113" i="1" a="1"/>
  <c r="A113" i="1"/>
  <c r="A114" i="1" a="1"/>
  <c r="A114" i="1"/>
  <c r="A115" i="1" a="1"/>
  <c r="A115" i="1"/>
  <c r="A116" i="1" a="1"/>
  <c r="A116" i="1"/>
  <c r="A117" i="1" a="1"/>
  <c r="A117" i="1"/>
  <c r="A118" i="1" a="1"/>
  <c r="A118" i="1"/>
  <c r="A119" i="1" a="1"/>
  <c r="A119" i="1"/>
  <c r="A120" i="1" a="1"/>
  <c r="A120" i="1"/>
  <c r="A121" i="1" a="1"/>
  <c r="A121" i="1"/>
  <c r="A122" i="1" a="1"/>
  <c r="A122" i="1"/>
  <c r="A123" i="1" a="1"/>
  <c r="A123" i="1"/>
  <c r="A124" i="1" a="1"/>
  <c r="A124" i="1"/>
  <c r="A125" i="1" a="1"/>
  <c r="A125" i="1"/>
  <c r="A126" i="1" a="1"/>
  <c r="A126" i="1"/>
  <c r="A127" i="1" a="1"/>
  <c r="A127" i="1"/>
  <c r="A128" i="1" a="1"/>
  <c r="A128" i="1"/>
  <c r="A129" i="1" a="1"/>
  <c r="A129" i="1"/>
  <c r="A130" i="1" a="1"/>
  <c r="A130" i="1"/>
  <c r="A131" i="1" a="1"/>
  <c r="A131" i="1"/>
  <c r="A132" i="1" a="1"/>
  <c r="A132" i="1"/>
  <c r="A133" i="1" a="1"/>
  <c r="A133" i="1"/>
  <c r="A134" i="1" a="1"/>
  <c r="A134" i="1"/>
  <c r="A135" i="1" a="1"/>
  <c r="A135" i="1"/>
  <c r="A136" i="1" a="1"/>
  <c r="A136" i="1"/>
  <c r="A137" i="1" a="1"/>
  <c r="A137" i="1"/>
  <c r="A138" i="1" a="1"/>
  <c r="A138" i="1"/>
  <c r="A139" i="1" a="1"/>
  <c r="A139" i="1"/>
  <c r="A140" i="1" a="1"/>
  <c r="A140" i="1"/>
  <c r="A141" i="1" a="1"/>
  <c r="A141" i="1"/>
  <c r="A142" i="1" a="1"/>
  <c r="A142" i="1"/>
  <c r="A143" i="1" a="1"/>
  <c r="A143" i="1"/>
  <c r="A144" i="1" a="1"/>
  <c r="A144" i="1"/>
  <c r="A145" i="1" a="1"/>
  <c r="A145" i="1"/>
  <c r="A146" i="1" a="1"/>
  <c r="A146" i="1"/>
  <c r="A147" i="1" a="1"/>
  <c r="A147" i="1"/>
  <c r="A148" i="1" a="1"/>
  <c r="A148" i="1"/>
  <c r="A149" i="1" a="1"/>
  <c r="A149" i="1"/>
  <c r="A150" i="1" a="1"/>
  <c r="A150" i="1"/>
  <c r="A151" i="1" a="1"/>
  <c r="A151" i="1"/>
  <c r="A152" i="1" a="1"/>
  <c r="A152" i="1"/>
  <c r="A153" i="1" a="1"/>
  <c r="A153" i="1"/>
  <c r="A154" i="1" a="1"/>
  <c r="A154" i="1"/>
  <c r="A155" i="1" a="1"/>
  <c r="A155" i="1"/>
  <c r="A156" i="1" a="1"/>
  <c r="A156" i="1"/>
  <c r="A157" i="1" a="1"/>
  <c r="A157" i="1"/>
  <c r="A158" i="1" a="1"/>
  <c r="A158" i="1"/>
  <c r="A159" i="1" a="1"/>
  <c r="A159" i="1"/>
  <c r="A160" i="1" a="1"/>
  <c r="A160" i="1"/>
  <c r="A161" i="1" a="1"/>
  <c r="A161" i="1"/>
  <c r="A162" i="1" a="1"/>
  <c r="A162" i="1"/>
  <c r="A163" i="1" a="1"/>
  <c r="A163" i="1"/>
  <c r="A164" i="1" a="1"/>
  <c r="A164" i="1"/>
  <c r="A165" i="1" a="1"/>
  <c r="A165" i="1"/>
  <c r="A166" i="1" a="1"/>
  <c r="A166" i="1"/>
  <c r="A167" i="1" a="1"/>
  <c r="A167" i="1"/>
  <c r="A168" i="1" a="1"/>
  <c r="A168" i="1"/>
  <c r="A169" i="1" a="1"/>
  <c r="A169" i="1"/>
  <c r="A170" i="1" a="1"/>
  <c r="A170" i="1"/>
  <c r="A171" i="1" a="1"/>
  <c r="A171" i="1"/>
  <c r="A172" i="1" a="1"/>
  <c r="A172" i="1"/>
  <c r="A173" i="1" a="1"/>
  <c r="A173" i="1"/>
  <c r="A174" i="1" a="1"/>
  <c r="A174" i="1"/>
  <c r="A76" i="2" a="1"/>
  <c r="A76" i="2"/>
  <c r="A77" i="2" a="1"/>
  <c r="A77" i="2"/>
  <c r="A78" i="2" a="1"/>
  <c r="A78" i="2"/>
  <c r="A79" i="2" a="1"/>
  <c r="A79" i="2"/>
  <c r="A80" i="2" a="1"/>
  <c r="A80" i="2"/>
  <c r="A81" i="2" a="1"/>
  <c r="A81" i="2"/>
  <c r="A82" i="2" a="1"/>
  <c r="A82" i="2"/>
  <c r="A83" i="2" a="1"/>
  <c r="A83" i="2"/>
  <c r="A84" i="2" a="1"/>
  <c r="A84" i="2"/>
  <c r="A85" i="2" a="1"/>
  <c r="A85" i="2"/>
  <c r="A86" i="2" a="1"/>
  <c r="A86" i="2"/>
  <c r="A87" i="2" a="1"/>
  <c r="A87" i="2"/>
  <c r="A88" i="2" a="1"/>
  <c r="A88" i="2"/>
  <c r="A89" i="2" a="1"/>
  <c r="A89" i="2"/>
  <c r="A90" i="2" a="1"/>
  <c r="A90" i="2"/>
  <c r="A91" i="2" a="1"/>
  <c r="A91" i="2"/>
  <c r="A92" i="2" a="1"/>
  <c r="A92" i="2"/>
  <c r="A93" i="2" a="1"/>
  <c r="A93" i="2"/>
  <c r="A94" i="2" a="1"/>
  <c r="A94" i="2"/>
  <c r="A95" i="2" a="1"/>
  <c r="A95" i="2"/>
  <c r="A96" i="2" a="1"/>
  <c r="A96" i="2"/>
  <c r="A97" i="2" a="1"/>
  <c r="A97" i="2"/>
  <c r="A98" i="2" a="1"/>
  <c r="A98" i="2"/>
  <c r="A99" i="2" a="1"/>
  <c r="A99" i="2"/>
  <c r="A100" i="2" a="1"/>
  <c r="A100" i="2"/>
  <c r="A101" i="2" a="1"/>
  <c r="A101" i="2"/>
  <c r="A102" i="2" a="1"/>
  <c r="A102" i="2"/>
  <c r="A103" i="2" a="1"/>
  <c r="A103" i="2"/>
  <c r="A104" i="2" a="1"/>
  <c r="A104" i="2"/>
  <c r="A105" i="2" a="1"/>
  <c r="A105" i="2"/>
  <c r="A106" i="2" a="1"/>
  <c r="A106" i="2"/>
  <c r="A107" i="2" a="1"/>
  <c r="A107" i="2"/>
  <c r="A108" i="2" a="1"/>
  <c r="A108" i="2"/>
  <c r="A109" i="2" a="1"/>
  <c r="A109" i="2"/>
  <c r="A110" i="2" a="1"/>
  <c r="A110" i="2"/>
  <c r="A111" i="2" a="1"/>
  <c r="A111" i="2"/>
  <c r="A112" i="2" a="1"/>
  <c r="A112" i="2"/>
  <c r="A113" i="2" a="1"/>
  <c r="A113" i="2"/>
  <c r="A114" i="2" a="1"/>
  <c r="A114" i="2"/>
  <c r="A115" i="2" a="1"/>
  <c r="A115" i="2"/>
  <c r="A116" i="2" a="1"/>
  <c r="A116" i="2"/>
  <c r="A117" i="2" a="1"/>
  <c r="A117" i="2"/>
  <c r="A118" i="2" a="1"/>
  <c r="A118" i="2"/>
  <c r="A119" i="2" a="1"/>
  <c r="A119" i="2"/>
  <c r="A120" i="2" a="1"/>
  <c r="A120" i="2"/>
  <c r="A121" i="2" a="1"/>
  <c r="A121" i="2"/>
  <c r="A122" i="2" a="1"/>
  <c r="A122" i="2"/>
  <c r="A123" i="2" a="1"/>
  <c r="A123" i="2"/>
  <c r="A124" i="2" a="1"/>
  <c r="A124" i="2"/>
  <c r="A125" i="2" a="1"/>
  <c r="A125" i="2"/>
  <c r="A126" i="2" a="1"/>
  <c r="A126" i="2"/>
  <c r="A127" i="2" a="1"/>
  <c r="A127" i="2"/>
  <c r="A128" i="2" a="1"/>
  <c r="A128" i="2"/>
  <c r="A129" i="2" a="1"/>
  <c r="A129" i="2"/>
  <c r="A130" i="2" a="1"/>
  <c r="A130" i="2"/>
  <c r="A131" i="2" a="1"/>
  <c r="A131" i="2"/>
  <c r="A132" i="2" a="1"/>
  <c r="A132" i="2"/>
  <c r="A133" i="2" a="1"/>
  <c r="A133" i="2"/>
  <c r="A134" i="2" a="1"/>
  <c r="A134" i="2"/>
  <c r="A135" i="2" a="1"/>
  <c r="A135" i="2"/>
  <c r="A136" i="2" a="1"/>
  <c r="A136" i="2"/>
  <c r="A137" i="2" a="1"/>
  <c r="A137" i="2"/>
  <c r="A138" i="2" a="1"/>
  <c r="A138" i="2"/>
  <c r="A139" i="2" a="1"/>
  <c r="A139" i="2"/>
  <c r="A140" i="2" a="1"/>
  <c r="A140" i="2"/>
  <c r="A141" i="2" a="1"/>
  <c r="A141" i="2"/>
  <c r="A142" i="2" a="1"/>
  <c r="A142" i="2"/>
  <c r="A143" i="2" a="1"/>
  <c r="A143" i="2"/>
  <c r="A144" i="2" a="1"/>
  <c r="A144" i="2"/>
  <c r="A145" i="2" a="1"/>
  <c r="A145" i="2"/>
  <c r="A146" i="2" a="1"/>
  <c r="A146" i="2"/>
  <c r="A147" i="2" a="1"/>
  <c r="A147" i="2"/>
  <c r="A148" i="2" a="1"/>
  <c r="A148" i="2"/>
  <c r="A149" i="2" a="1"/>
  <c r="A149" i="2"/>
  <c r="A150" i="2" a="1"/>
  <c r="A150" i="2"/>
  <c r="A151" i="2" a="1"/>
  <c r="A151" i="2"/>
  <c r="A152" i="2" a="1"/>
  <c r="A152" i="2"/>
  <c r="A153" i="2" a="1"/>
  <c r="A153" i="2"/>
  <c r="A154" i="2" a="1"/>
  <c r="A154" i="2"/>
  <c r="A155" i="2" a="1"/>
  <c r="A155" i="2"/>
  <c r="A156" i="2" a="1"/>
  <c r="A156" i="2"/>
  <c r="A157" i="2" a="1"/>
  <c r="A157" i="2"/>
  <c r="A158" i="2" a="1"/>
  <c r="A158" i="2"/>
  <c r="A159" i="2" a="1"/>
  <c r="A159" i="2"/>
  <c r="A160" i="2" a="1"/>
  <c r="A160" i="2"/>
  <c r="A161" i="2" a="1"/>
  <c r="A161" i="2"/>
  <c r="A162" i="2" a="1"/>
  <c r="A162" i="2"/>
  <c r="A163" i="2" a="1"/>
  <c r="A163" i="2"/>
  <c r="A164" i="2" a="1"/>
  <c r="A164" i="2"/>
  <c r="A165" i="2" a="1"/>
  <c r="A165" i="2"/>
  <c r="A166" i="2" a="1"/>
  <c r="A166" i="2"/>
  <c r="A167" i="2" a="1"/>
  <c r="A167" i="2"/>
  <c r="A168" i="2" a="1"/>
  <c r="A168" i="2"/>
  <c r="A169" i="2" a="1"/>
  <c r="A169" i="2"/>
  <c r="A170" i="2" a="1"/>
  <c r="A170" i="2"/>
  <c r="A171" i="2" a="1"/>
  <c r="A171" i="2"/>
  <c r="A172" i="2" a="1"/>
  <c r="A172" i="2"/>
  <c r="A173" i="2" a="1"/>
  <c r="A173" i="2"/>
  <c r="A174" i="2" a="1"/>
  <c r="A174" i="2"/>
  <c r="A175" i="2" a="1"/>
  <c r="A175" i="2"/>
  <c r="A176" i="2" a="1"/>
  <c r="A176" i="2"/>
  <c r="N1" i="2"/>
  <c r="N1" i="1"/>
  <c r="L51" i="3"/>
  <c r="K51" i="3"/>
  <c r="E51" i="3"/>
  <c r="J51" i="3"/>
  <c r="J52" i="3"/>
  <c r="L52" i="3"/>
  <c r="K52" i="3"/>
  <c r="E52" i="3"/>
  <c r="L53" i="3"/>
  <c r="K53" i="3"/>
  <c r="E53" i="3"/>
  <c r="J53" i="3"/>
  <c r="K54" i="3"/>
  <c r="E54" i="3"/>
  <c r="J54" i="3"/>
  <c r="L54" i="3"/>
  <c r="K55" i="3"/>
  <c r="E55" i="3"/>
  <c r="J55" i="3"/>
  <c r="L55" i="3"/>
  <c r="L56" i="3"/>
  <c r="K56" i="3"/>
  <c r="E56" i="3"/>
  <c r="J56" i="3"/>
  <c r="J57" i="3"/>
  <c r="K57" i="3"/>
  <c r="E57" i="3"/>
  <c r="L57" i="3"/>
  <c r="L58" i="3"/>
  <c r="K58" i="3"/>
  <c r="E58" i="3"/>
  <c r="J58" i="3"/>
  <c r="L59" i="3"/>
  <c r="K59" i="3"/>
  <c r="E59" i="3"/>
  <c r="J59" i="3"/>
  <c r="K60" i="3"/>
  <c r="E60" i="3"/>
  <c r="L60" i="3"/>
  <c r="J60" i="3"/>
  <c r="L61" i="3"/>
  <c r="K61" i="3"/>
  <c r="E61" i="3"/>
  <c r="J61" i="3"/>
  <c r="K62" i="3"/>
  <c r="E62" i="3"/>
  <c r="J62" i="3"/>
  <c r="L62" i="3"/>
  <c r="K63" i="3"/>
  <c r="E63" i="3"/>
  <c r="L63" i="3"/>
  <c r="J63" i="3"/>
  <c r="L64" i="3"/>
  <c r="K64" i="3"/>
  <c r="E64" i="3"/>
  <c r="J64" i="3"/>
  <c r="J65" i="3"/>
  <c r="L65" i="3"/>
  <c r="K65" i="3"/>
  <c r="E65" i="3"/>
  <c r="J66" i="3"/>
  <c r="L66" i="3"/>
  <c r="K66" i="3"/>
  <c r="E66" i="3"/>
  <c r="L67" i="3"/>
  <c r="K67" i="3"/>
  <c r="E67" i="3"/>
  <c r="J67" i="3"/>
  <c r="J68" i="3"/>
  <c r="L68" i="3"/>
  <c r="K68" i="3"/>
  <c r="E68" i="3"/>
  <c r="L69" i="3"/>
  <c r="K69" i="3"/>
  <c r="E69" i="3"/>
  <c r="J69" i="3"/>
  <c r="K70" i="3"/>
  <c r="E70" i="3"/>
  <c r="L70" i="3"/>
  <c r="J70" i="3"/>
  <c r="J71" i="3"/>
  <c r="L71" i="3"/>
  <c r="K71" i="3"/>
  <c r="E71" i="3"/>
  <c r="L72" i="3"/>
  <c r="K72" i="3"/>
  <c r="E72" i="3"/>
  <c r="J72" i="3"/>
  <c r="J73" i="3"/>
  <c r="K73" i="3"/>
  <c r="E73" i="3"/>
  <c r="L73" i="3"/>
  <c r="J74" i="3"/>
  <c r="L74" i="3"/>
  <c r="K74" i="3"/>
  <c r="E74" i="3"/>
  <c r="A74" i="3" a="1"/>
  <c r="A74" i="3"/>
  <c r="L75" i="3"/>
  <c r="K75" i="3"/>
  <c r="E75" i="3"/>
  <c r="A75" i="3" a="1"/>
  <c r="A75" i="3"/>
  <c r="J75" i="3"/>
  <c r="K76" i="3"/>
  <c r="E76" i="3"/>
  <c r="A76" i="3" a="1"/>
  <c r="A76" i="3"/>
  <c r="L76" i="3"/>
  <c r="J76" i="3"/>
  <c r="L77" i="3"/>
  <c r="K77" i="3"/>
  <c r="E77" i="3"/>
  <c r="A77" i="3" a="1"/>
  <c r="A77" i="3"/>
  <c r="J77" i="3"/>
  <c r="K78" i="3"/>
  <c r="E78" i="3"/>
  <c r="A78" i="3" a="1"/>
  <c r="A78" i="3"/>
  <c r="J78" i="3"/>
  <c r="L78" i="3"/>
  <c r="J79" i="3"/>
  <c r="K79" i="3"/>
  <c r="E79" i="3"/>
  <c r="A79" i="3" a="1"/>
  <c r="A79" i="3"/>
  <c r="L79" i="3"/>
  <c r="L80" i="3"/>
  <c r="K80" i="3"/>
  <c r="E80" i="3"/>
  <c r="A80" i="3" a="1"/>
  <c r="A80" i="3"/>
  <c r="J80" i="3"/>
  <c r="J81" i="3"/>
  <c r="K81" i="3"/>
  <c r="E81" i="3"/>
  <c r="A81" i="3" a="1"/>
  <c r="A81" i="3"/>
  <c r="L81" i="3"/>
  <c r="L82" i="3"/>
  <c r="J82" i="3"/>
  <c r="K82" i="3"/>
  <c r="E82" i="3"/>
  <c r="A82" i="3" a="1"/>
  <c r="A82" i="3"/>
  <c r="L83" i="3"/>
  <c r="K83" i="3"/>
  <c r="E83" i="3"/>
  <c r="A83" i="3" a="1"/>
  <c r="A83" i="3"/>
  <c r="J83" i="3"/>
  <c r="J84" i="3"/>
  <c r="K84" i="3"/>
  <c r="E84" i="3"/>
  <c r="A84" i="3" a="1"/>
  <c r="A84" i="3"/>
  <c r="L84" i="3"/>
  <c r="L85" i="3"/>
  <c r="K85" i="3"/>
  <c r="E85" i="3"/>
  <c r="A85" i="3" a="1"/>
  <c r="A85" i="3"/>
  <c r="J85" i="3"/>
  <c r="K86" i="3"/>
  <c r="E86" i="3"/>
  <c r="A86" i="3" a="1"/>
  <c r="A86" i="3"/>
  <c r="J86" i="3"/>
  <c r="L86" i="3"/>
  <c r="K87" i="3"/>
  <c r="E87" i="3"/>
  <c r="A87" i="3" a="1"/>
  <c r="A87" i="3"/>
  <c r="J87" i="3"/>
  <c r="L87" i="3"/>
  <c r="L88" i="3"/>
  <c r="K88" i="3"/>
  <c r="E88" i="3"/>
  <c r="A88" i="3" a="1"/>
  <c r="A88" i="3"/>
  <c r="J88" i="3"/>
  <c r="J89" i="3"/>
  <c r="L89" i="3"/>
  <c r="K89" i="3"/>
  <c r="E89" i="3"/>
  <c r="A89" i="3" a="1"/>
  <c r="A89" i="3"/>
  <c r="L90" i="3"/>
  <c r="K90" i="3"/>
  <c r="E90" i="3"/>
  <c r="A90" i="3" a="1"/>
  <c r="A90" i="3"/>
  <c r="J90" i="3"/>
  <c r="L91" i="3"/>
  <c r="K91" i="3"/>
  <c r="E91" i="3"/>
  <c r="A91" i="3" a="1"/>
  <c r="A91" i="3"/>
  <c r="J91" i="3"/>
  <c r="L92" i="3"/>
  <c r="J92" i="3"/>
  <c r="K92" i="3"/>
  <c r="E92" i="3"/>
  <c r="A92" i="3" a="1"/>
  <c r="A92" i="3"/>
  <c r="L93" i="3"/>
  <c r="K93" i="3"/>
  <c r="E93" i="3"/>
  <c r="A93" i="3" a="1"/>
  <c r="A93" i="3"/>
  <c r="J93" i="3"/>
  <c r="K94" i="3"/>
  <c r="E94" i="3"/>
  <c r="A94" i="3" a="1"/>
  <c r="A94" i="3"/>
  <c r="J94" i="3"/>
  <c r="L94" i="3"/>
  <c r="J95" i="3"/>
  <c r="K95" i="3"/>
  <c r="E95" i="3"/>
  <c r="A95" i="3" a="1"/>
  <c r="A95" i="3"/>
  <c r="L95" i="3"/>
  <c r="L96" i="3"/>
  <c r="K96" i="3"/>
  <c r="E96" i="3"/>
  <c r="A96" i="3" a="1"/>
  <c r="A96" i="3"/>
  <c r="J96" i="3"/>
  <c r="J97" i="3"/>
  <c r="K97" i="3"/>
  <c r="E97" i="3"/>
  <c r="A97" i="3" a="1"/>
  <c r="A97" i="3"/>
  <c r="L97" i="3"/>
  <c r="L98" i="3"/>
  <c r="J98" i="3"/>
  <c r="K98" i="3"/>
  <c r="E98" i="3"/>
  <c r="A98" i="3" a="1"/>
  <c r="A98" i="3"/>
  <c r="L99" i="3"/>
  <c r="K99" i="3"/>
  <c r="E99" i="3"/>
  <c r="A99" i="3" a="1"/>
  <c r="A99" i="3"/>
  <c r="J99" i="3"/>
  <c r="K100" i="3"/>
  <c r="E100" i="3"/>
  <c r="A100" i="3" a="1"/>
  <c r="A100" i="3"/>
  <c r="J100" i="3"/>
  <c r="L100" i="3"/>
  <c r="L101" i="3"/>
  <c r="K101" i="3"/>
  <c r="E101" i="3"/>
  <c r="A101" i="3" a="1"/>
  <c r="A101" i="3"/>
  <c r="J101" i="3"/>
  <c r="K102" i="3"/>
  <c r="E102" i="3"/>
  <c r="A102" i="3" a="1"/>
  <c r="A102" i="3"/>
  <c r="J102" i="3"/>
  <c r="L102" i="3"/>
  <c r="J103" i="3"/>
  <c r="K103" i="3"/>
  <c r="E103" i="3"/>
  <c r="A103" i="3" a="1"/>
  <c r="A103" i="3"/>
  <c r="L103" i="3"/>
  <c r="L104" i="3"/>
  <c r="K104" i="3"/>
  <c r="E104" i="3"/>
  <c r="A104" i="3" a="1"/>
  <c r="A104" i="3"/>
  <c r="J104" i="3"/>
  <c r="J105" i="3"/>
  <c r="L105" i="3"/>
  <c r="K105" i="3"/>
  <c r="E105" i="3"/>
  <c r="A105" i="3" a="1"/>
  <c r="A105" i="3"/>
  <c r="J106" i="3"/>
  <c r="L106" i="3"/>
  <c r="K106" i="3"/>
  <c r="E106" i="3"/>
  <c r="A106" i="3" a="1"/>
  <c r="A106" i="3"/>
  <c r="L107" i="3"/>
  <c r="K107" i="3"/>
  <c r="E107" i="3"/>
  <c r="A107" i="3" a="1"/>
  <c r="A107" i="3"/>
  <c r="J107" i="3"/>
  <c r="J108" i="3"/>
  <c r="L108" i="3"/>
  <c r="K108" i="3"/>
  <c r="E108" i="3"/>
  <c r="A108" i="3" a="1"/>
  <c r="A108" i="3"/>
  <c r="L109" i="3"/>
  <c r="K109" i="3"/>
  <c r="E109" i="3"/>
  <c r="A109" i="3" a="1"/>
  <c r="A109" i="3"/>
  <c r="J109" i="3"/>
  <c r="K110" i="3"/>
  <c r="E110" i="3"/>
  <c r="A110" i="3" a="1"/>
  <c r="A110" i="3"/>
  <c r="L110" i="3"/>
  <c r="J110" i="3"/>
  <c r="J111" i="3"/>
  <c r="L112" i="3"/>
  <c r="K112" i="3"/>
  <c r="E112" i="3"/>
  <c r="J112" i="3"/>
  <c r="K111" i="3"/>
  <c r="E111" i="3"/>
  <c r="A111" i="3" a="1"/>
  <c r="A111" i="3"/>
  <c r="A112" i="3" a="1"/>
  <c r="A112" i="3"/>
  <c r="A113" i="3" a="1"/>
  <c r="A113" i="3"/>
  <c r="A114" i="3" a="1"/>
  <c r="A114" i="3"/>
  <c r="A115" i="3" a="1"/>
  <c r="A115" i="3"/>
  <c r="A116" i="3" a="1"/>
  <c r="A116" i="3"/>
  <c r="A117" i="3" a="1"/>
  <c r="A117" i="3"/>
  <c r="A118" i="3" a="1"/>
  <c r="A118" i="3"/>
  <c r="A119" i="3" a="1"/>
  <c r="A119" i="3"/>
  <c r="A120" i="3" a="1"/>
  <c r="A120" i="3"/>
  <c r="A121" i="3" a="1"/>
  <c r="A121" i="3"/>
  <c r="A122" i="3" a="1"/>
  <c r="A122" i="3"/>
  <c r="A123" i="3" a="1"/>
  <c r="A123" i="3"/>
  <c r="A124" i="3" a="1"/>
  <c r="A124" i="3"/>
  <c r="A125" i="3" a="1"/>
  <c r="A125" i="3"/>
  <c r="A126" i="3" a="1"/>
  <c r="A126" i="3"/>
  <c r="A127" i="3" a="1"/>
  <c r="A127" i="3"/>
  <c r="A128" i="3" a="1"/>
  <c r="A128" i="3"/>
  <c r="A129" i="3" a="1"/>
  <c r="A129" i="3"/>
  <c r="A130" i="3" a="1"/>
  <c r="A130" i="3"/>
  <c r="A131" i="3" a="1"/>
  <c r="A131" i="3"/>
  <c r="A132" i="3" a="1"/>
  <c r="A132" i="3"/>
  <c r="A133" i="3" a="1"/>
  <c r="A133" i="3"/>
  <c r="A134" i="3" a="1"/>
  <c r="A134" i="3"/>
  <c r="A135" i="3" a="1"/>
  <c r="A135" i="3"/>
  <c r="A136" i="3" a="1"/>
  <c r="A136" i="3"/>
  <c r="A137" i="3" a="1"/>
  <c r="A137" i="3"/>
  <c r="A138" i="3" a="1"/>
  <c r="A138" i="3"/>
  <c r="A139" i="3" a="1"/>
  <c r="A139" i="3"/>
  <c r="A140" i="3" a="1"/>
  <c r="A140" i="3"/>
  <c r="A141" i="3" a="1"/>
  <c r="A141" i="3"/>
  <c r="A142" i="3" a="1"/>
  <c r="A142" i="3"/>
  <c r="A143" i="3" a="1"/>
  <c r="A143" i="3"/>
  <c r="A144" i="3" a="1"/>
  <c r="A144" i="3"/>
  <c r="A145" i="3" a="1"/>
  <c r="A145" i="3"/>
  <c r="A146" i="3" a="1"/>
  <c r="A146" i="3"/>
  <c r="A147" i="3" a="1"/>
  <c r="A147" i="3"/>
  <c r="A148" i="3" a="1"/>
  <c r="A148" i="3"/>
  <c r="A149" i="3" a="1"/>
  <c r="A149" i="3"/>
  <c r="A150" i="3" a="1"/>
  <c r="A150" i="3"/>
  <c r="A151" i="3" a="1"/>
  <c r="A151" i="3"/>
  <c r="A152" i="3" a="1"/>
  <c r="A152" i="3"/>
  <c r="A153" i="3" a="1"/>
  <c r="A153" i="3"/>
  <c r="A154" i="3" a="1"/>
  <c r="A154" i="3"/>
  <c r="A155" i="3" a="1"/>
  <c r="A155" i="3"/>
  <c r="A156" i="3" a="1"/>
  <c r="A156" i="3"/>
  <c r="A157" i="3" a="1"/>
  <c r="A157" i="3"/>
  <c r="A158" i="3" a="1"/>
  <c r="A158" i="3"/>
  <c r="A159" i="3" a="1"/>
  <c r="A159" i="3"/>
  <c r="A160" i="3" a="1"/>
  <c r="A160" i="3"/>
  <c r="A161" i="3" a="1"/>
  <c r="A161" i="3"/>
  <c r="A162" i="3" a="1"/>
  <c r="A162" i="3"/>
  <c r="A163" i="3" a="1"/>
  <c r="A163" i="3"/>
  <c r="A164" i="3" a="1"/>
  <c r="A164" i="3"/>
  <c r="A165" i="3" a="1"/>
  <c r="A165" i="3"/>
  <c r="A166" i="3" a="1"/>
  <c r="A166" i="3"/>
  <c r="A167" i="3" a="1"/>
  <c r="A167" i="3"/>
  <c r="A168" i="3" a="1"/>
  <c r="A168" i="3"/>
  <c r="A169" i="3" a="1"/>
  <c r="A169" i="3"/>
  <c r="A170" i="3" a="1"/>
  <c r="A170" i="3"/>
  <c r="A171" i="3" a="1"/>
  <c r="A171" i="3"/>
  <c r="A172" i="3" a="1"/>
  <c r="A172" i="3"/>
  <c r="A173" i="3" a="1"/>
  <c r="A173" i="3"/>
  <c r="A174" i="3" a="1"/>
  <c r="A174" i="3"/>
  <c r="A175" i="3" a="1"/>
  <c r="A175" i="3"/>
  <c r="A176" i="3" a="1"/>
  <c r="A176" i="3"/>
  <c r="N1" i="3"/>
  <c r="L111" i="3"/>
  <c r="L160" i="4"/>
  <c r="J160" i="4"/>
  <c r="K160" i="4"/>
  <c r="E160" i="4"/>
  <c r="K161" i="4"/>
  <c r="E161" i="4"/>
  <c r="K165" i="4"/>
  <c r="E165" i="4"/>
  <c r="J164" i="4"/>
  <c r="L164" i="4"/>
  <c r="K164" i="4"/>
  <c r="E164" i="4"/>
  <c r="K162" i="4"/>
  <c r="E162" i="4"/>
  <c r="K166" i="4"/>
  <c r="E166" i="4"/>
  <c r="J163" i="4"/>
  <c r="L163" i="4"/>
  <c r="J162" i="4"/>
  <c r="L162" i="4"/>
  <c r="L166" i="4"/>
  <c r="J166" i="4"/>
  <c r="J165" i="4"/>
  <c r="L165" i="4"/>
  <c r="J161" i="4"/>
  <c r="L161" i="4"/>
  <c r="K163" i="4"/>
  <c r="E163" i="4"/>
  <c r="N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Illinois" description="Connection to the 'Illinois' query in the workbook." type="5" refreshedVersion="6" background="1" saveData="1">
    <dbPr connection="Provider=Microsoft.Mashup.OleDb.1;Data Source=$Workbook$;Location=Illinois;Extended Properties=&quot;&quot;" command="SELECT * FROM [Illinoi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<sst xmlns="http://schemas.openxmlformats.org/spreadsheetml/2006/main" count="68" uniqueCount="21">
  <si>
    <t>positive</t>
  </si>
  <si>
    <t>deaths</t>
  </si>
  <si>
    <t>positive rate</t>
  </si>
  <si>
    <t>positive rate deriv.</t>
  </si>
  <si>
    <t>total positive</t>
  </si>
  <si>
    <t>new cases</t>
  </si>
  <si>
    <t>total tests</t>
  </si>
  <si>
    <t>new tests</t>
  </si>
  <si>
    <t>arbitrary "zero day"</t>
  </si>
  <si>
    <t>percent increase</t>
  </si>
  <si>
    <t>quarantine day</t>
  </si>
  <si>
    <t>percent positive</t>
  </si>
  <si>
    <t>percent new tests</t>
  </si>
  <si>
    <t>relative test rate indicator</t>
  </si>
  <si>
    <t>new deaths</t>
  </si>
  <si>
    <t>unk.</t>
  </si>
  <si>
    <t>from ccdph, not idph</t>
  </si>
  <si>
    <t>doesn't make sense</t>
  </si>
  <si>
    <t>x</t>
  </si>
  <si>
    <t>tests were listed as 0</t>
  </si>
  <si>
    <t>missed this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</si>
</sst>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">
    <xf numFmtId="0" fontId="0" fillId="0" borderId="0" xfId="0"/>
    <xf numFmtId="14" fontId="0" fillId="0" borderId="0" xfId="0" applyNumberFormat="1"/>
    <xf numFmtId="164" fontId="0" fillId="0" borderId="0" xfId="1" applyNumberFormat="1" applyFont="1"/>
    <xf numFmtId="14" fontId="0" fillId="0" borderId="1" xfId="0" applyNumberFormat="1" applyBorder="1"/>
    <xf numFmtId="0" fontId="0" fillId="0" borderId="1" xfId="0" applyBorder="1"/>
    <xf numFmtId="164" fontId="0" fillId="0" borderId="1" xfId="1" applyNumberFormat="1" applyFont="1" applyBorder="1"/>
    <xf numFmtId="0" fontId="2" fillId="0" borderId="0" xfId="0" applyFont="1"/>
    <xf numFmtId="164" fontId="2" fillId="0" borderId="0" xfId="1" applyNumberFormat="1" applyFont="1"/>
    <xf numFmtId="164" fontId="3" fillId="0" borderId="0" xfId="1" applyNumberFormat="1" applyFont="1"/>
    <xf numFmtId="0" fontId="3" fillId="0" borderId="0" xfId="0" applyFont="1"/>
    <xf numFmtId="0" fontId="0" fillId="0" borderId="0" xfId="0" applyBorder="1"/>
    <xf numFmtId="165" fontId="0" fillId="0" borderId="0" xfId="1" applyNumberFormat="1" applyFont="1"/>
    <xf numFmtId="165" fontId="0" fillId="0" borderId="1" xfId="1" applyNumberFormat="1" applyFont="1" applyBorder="1"/>
    <xf numFmtId="165" fontId="2" fillId="0" borderId="0" xfId="1" applyNumberFormat="1" applyFont="1"/>
    <xf numFmtId="165" fontId="3" fillId="0" borderId="0" xfId="1" applyNumberFormat="1" applyFont="1"/>
    <xf numFmtId="2" fontId="0" fillId="0" borderId="0" xfId="1" applyNumberFormat="1" applyFont="1"/>
    <xf numFmtId="2" fontId="0" fillId="0" borderId="1" xfId="1" applyNumberFormat="1" applyFont="1" applyBorder="1"/>
    <xf numFmtId="2" fontId="2" fillId="0" borderId="0" xfId="1" applyNumberFormat="1" applyFont="1"/>
    <xf numFmtId="2" fontId="3" fillId="0" borderId="0" xfId="1" applyNumberFormat="1" applyFont="1"/>
    <xf numFmtId="0" fontId="0" fillId="0" borderId="0" xfId="0" applyNumberFormat="1"/>
    <xf numFmtId="0" fontId="0" fillId="0" borderId="0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CFCFF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positives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Illinois!$B$1</c:f>
              <c:strCache>
                <c:ptCount val="1"/>
                <c:pt idx="0">
                  <c:v>total positive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[0]!date</c:f>
              <c:numCache>
                <c:formatCode>m/d/yyyy</c:formatCode>
                <c:ptCount val="283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</c:numCache>
            </c:numRef>
          </c:xVal>
          <c:yVal>
            <c:numRef>
              <c:f>[0]!total_positives</c:f>
              <c:numCache>
                <c:formatCode>General</c:formatCode>
                <c:ptCount val="283"/>
                <c:pt idx="0">
                  <c:v>11</c:v>
                </c:pt>
                <c:pt idx="1">
                  <c:v>19</c:v>
                </c:pt>
                <c:pt idx="2">
                  <c:v>25</c:v>
                </c:pt>
                <c:pt idx="3">
                  <c:v>32</c:v>
                </c:pt>
                <c:pt idx="4">
                  <c:v>46</c:v>
                </c:pt>
                <c:pt idx="5">
                  <c:v>64</c:v>
                </c:pt>
                <c:pt idx="6">
                  <c:v>93</c:v>
                </c:pt>
                <c:pt idx="7">
                  <c:v>105</c:v>
                </c:pt>
                <c:pt idx="8">
                  <c:v>161</c:v>
                </c:pt>
                <c:pt idx="9">
                  <c:v>289</c:v>
                </c:pt>
                <c:pt idx="10">
                  <c:v>426</c:v>
                </c:pt>
                <c:pt idx="11">
                  <c:v>590</c:v>
                </c:pt>
                <c:pt idx="12">
                  <c:v>759</c:v>
                </c:pt>
                <c:pt idx="13">
                  <c:v>1058</c:v>
                </c:pt>
                <c:pt idx="14">
                  <c:v>1297</c:v>
                </c:pt>
                <c:pt idx="15">
                  <c:v>1551</c:v>
                </c:pt>
                <c:pt idx="16">
                  <c:v>1884</c:v>
                </c:pt>
                <c:pt idx="17">
                  <c:v>2564</c:v>
                </c:pt>
                <c:pt idx="18">
                  <c:v>3060</c:v>
                </c:pt>
                <c:pt idx="19">
                  <c:v>3538</c:v>
                </c:pt>
                <c:pt idx="20">
                  <c:v>4661</c:v>
                </c:pt>
                <c:pt idx="21">
                  <c:v>5130</c:v>
                </c:pt>
                <c:pt idx="22">
                  <c:v>6093</c:v>
                </c:pt>
                <c:pt idx="23">
                  <c:v>7121</c:v>
                </c:pt>
                <c:pt idx="24">
                  <c:v>7852</c:v>
                </c:pt>
                <c:pt idx="25">
                  <c:v>9114</c:v>
                </c:pt>
                <c:pt idx="26">
                  <c:v>10600</c:v>
                </c:pt>
                <c:pt idx="27">
                  <c:v>11530</c:v>
                </c:pt>
                <c:pt idx="28">
                  <c:v>12569</c:v>
                </c:pt>
                <c:pt idx="29">
                  <c:v>13929</c:v>
                </c:pt>
                <c:pt idx="30">
                  <c:v>15540</c:v>
                </c:pt>
                <c:pt idx="31">
                  <c:v>16950</c:v>
                </c:pt>
                <c:pt idx="32">
                  <c:v>18483</c:v>
                </c:pt>
                <c:pt idx="33">
                  <c:v>19857</c:v>
                </c:pt>
                <c:pt idx="34">
                  <c:v>21572</c:v>
                </c:pt>
                <c:pt idx="35">
                  <c:v>22819</c:v>
                </c:pt>
                <c:pt idx="36">
                  <c:v>24115</c:v>
                </c:pt>
                <c:pt idx="37">
                  <c:v>25541</c:v>
                </c:pt>
                <c:pt idx="38">
                  <c:v>26805</c:v>
                </c:pt>
                <c:pt idx="39">
                  <c:v>28709</c:v>
                </c:pt>
                <c:pt idx="40">
                  <c:v>30419</c:v>
                </c:pt>
                <c:pt idx="41">
                  <c:v>31647</c:v>
                </c:pt>
                <c:pt idx="42">
                  <c:v>32857</c:v>
                </c:pt>
                <c:pt idx="43">
                  <c:v>34527</c:v>
                </c:pt>
                <c:pt idx="44">
                  <c:v>36673</c:v>
                </c:pt>
                <c:pt idx="45">
                  <c:v>38622</c:v>
                </c:pt>
                <c:pt idx="46">
                  <c:v>41453</c:v>
                </c:pt>
                <c:pt idx="47">
                  <c:v>43651</c:v>
                </c:pt>
                <c:pt idx="48">
                  <c:v>45836</c:v>
                </c:pt>
                <c:pt idx="49">
                  <c:v>47866</c:v>
                </c:pt>
                <c:pt idx="50">
                  <c:v>50227</c:v>
                </c:pt>
                <c:pt idx="51">
                  <c:v>52570</c:v>
                </c:pt>
                <c:pt idx="52">
                  <c:v>55273</c:v>
                </c:pt>
                <c:pt idx="53">
                  <c:v>58512</c:v>
                </c:pt>
                <c:pt idx="54">
                  <c:v>61064</c:v>
                </c:pt>
                <c:pt idx="55">
                  <c:v>64117</c:v>
                </c:pt>
                <c:pt idx="56">
                  <c:v>66502</c:v>
                </c:pt>
                <c:pt idx="57">
                  <c:v>68800</c:v>
                </c:pt>
                <c:pt idx="58">
                  <c:v>71206</c:v>
                </c:pt>
                <c:pt idx="59">
                  <c:v>73984</c:v>
                </c:pt>
                <c:pt idx="60">
                  <c:v>77001</c:v>
                </c:pt>
                <c:pt idx="61">
                  <c:v>79434</c:v>
                </c:pt>
                <c:pt idx="62">
                  <c:v>81147</c:v>
                </c:pt>
                <c:pt idx="63">
                  <c:v>82466</c:v>
                </c:pt>
                <c:pt idx="64">
                  <c:v>86622</c:v>
                </c:pt>
                <c:pt idx="65">
                  <c:v>88490</c:v>
                </c:pt>
                <c:pt idx="66">
                  <c:v>91865</c:v>
                </c:pt>
                <c:pt idx="67">
                  <c:v>94427</c:v>
                </c:pt>
                <c:pt idx="68">
                  <c:v>96586</c:v>
                </c:pt>
                <c:pt idx="69">
                  <c:v>98368</c:v>
                </c:pt>
                <c:pt idx="70">
                  <c:v>100719</c:v>
                </c:pt>
                <c:pt idx="71">
                  <c:v>102409</c:v>
                </c:pt>
                <c:pt idx="72">
                  <c:v>104943</c:v>
                </c:pt>
                <c:pt idx="73">
                  <c:v>107293</c:v>
                </c:pt>
                <c:pt idx="74">
                  <c:v>110159</c:v>
                </c:pt>
                <c:pt idx="75">
                  <c:v>112586</c:v>
                </c:pt>
                <c:pt idx="76">
                  <c:v>115160</c:v>
                </c:pt>
                <c:pt idx="77">
                  <c:v>116901</c:v>
                </c:pt>
                <c:pt idx="78">
                  <c:v>118118</c:v>
                </c:pt>
                <c:pt idx="79">
                  <c:v>119389</c:v>
                </c:pt>
                <c:pt idx="80">
                  <c:v>121019</c:v>
                </c:pt>
                <c:pt idx="81">
                  <c:v>122725</c:v>
                </c:pt>
                <c:pt idx="82">
                  <c:v>124247</c:v>
                </c:pt>
                <c:pt idx="83">
                  <c:v>125650</c:v>
                </c:pt>
                <c:pt idx="84">
                  <c:v>126646</c:v>
                </c:pt>
                <c:pt idx="85">
                  <c:v>128373</c:v>
                </c:pt>
                <c:pt idx="86">
                  <c:v>129451</c:v>
                </c:pt>
                <c:pt idx="87">
                  <c:v>130495</c:v>
                </c:pt>
                <c:pt idx="88">
                  <c:v>131710</c:v>
                </c:pt>
                <c:pt idx="89">
                  <c:v>132754</c:v>
                </c:pt>
                <c:pt idx="90">
                  <c:v>133661</c:v>
                </c:pt>
                <c:pt idx="91">
                  <c:v>134339</c:v>
                </c:pt>
                <c:pt idx="92">
                  <c:v>135230</c:v>
                </c:pt>
                <c:pt idx="93">
                  <c:v>135932</c:v>
                </c:pt>
                <c:pt idx="94">
                  <c:v>136788</c:v>
                </c:pt>
                <c:pt idx="95">
                  <c:v>137458</c:v>
                </c:pt>
                <c:pt idx="96">
                  <c:v>138160</c:v>
                </c:pt>
                <c:pt idx="97">
                  <c:v>138851</c:v>
                </c:pt>
                <c:pt idx="98">
                  <c:v>139342</c:v>
                </c:pt>
                <c:pt idx="99">
                  <c:v>140037</c:v>
                </c:pt>
                <c:pt idx="100">
                  <c:v>140670</c:v>
                </c:pt>
                <c:pt idx="101">
                  <c:v>141315</c:v>
                </c:pt>
                <c:pt idx="102">
                  <c:v>142050</c:v>
                </c:pt>
                <c:pt idx="103">
                  <c:v>142729</c:v>
                </c:pt>
                <c:pt idx="104">
                  <c:v>143409</c:v>
                </c:pt>
                <c:pt idx="105">
                  <c:v>143895</c:v>
                </c:pt>
                <c:pt idx="106">
                  <c:v>144532</c:v>
                </c:pt>
                <c:pt idx="107">
                  <c:v>145310</c:v>
                </c:pt>
                <c:pt idx="108">
                  <c:v>146244</c:v>
                </c:pt>
                <c:pt idx="109">
                  <c:v>147138</c:v>
                </c:pt>
                <c:pt idx="110">
                  <c:v>147950</c:v>
                </c:pt>
                <c:pt idx="111">
                  <c:v>148611</c:v>
                </c:pt>
                <c:pt idx="112">
                  <c:v>149363</c:v>
                </c:pt>
                <c:pt idx="113">
                  <c:v>150108</c:v>
                </c:pt>
                <c:pt idx="114">
                  <c:v>150964</c:v>
                </c:pt>
                <c:pt idx="115">
                  <c:v>151869</c:v>
                </c:pt>
                <c:pt idx="116">
                  <c:v>152755</c:v>
                </c:pt>
                <c:pt idx="117">
                  <c:v>153626</c:v>
                </c:pt>
                <c:pt idx="118">
                  <c:v>154271</c:v>
                </c:pt>
                <c:pt idx="119">
                  <c:v>154891</c:v>
                </c:pt>
                <c:pt idx="120">
                  <c:v>155515</c:v>
                </c:pt>
                <c:pt idx="121">
                  <c:v>156531</c:v>
                </c:pt>
                <c:pt idx="122">
                  <c:v>157569</c:v>
                </c:pt>
                <c:pt idx="123">
                  <c:v>158911</c:v>
                </c:pt>
                <c:pt idx="124">
                  <c:v>160130</c:v>
                </c:pt>
                <c:pt idx="125">
                  <c:v>161103</c:v>
                </c:pt>
                <c:pt idx="126">
                  <c:v>161992</c:v>
                </c:pt>
                <c:pt idx="127">
                  <c:v>162724</c:v>
                </c:pt>
                <c:pt idx="128">
                  <c:v>163919</c:v>
                </c:pt>
                <c:pt idx="129">
                  <c:v>165201</c:v>
                </c:pt>
                <c:pt idx="130">
                  <c:v>166606</c:v>
                </c:pt>
                <c:pt idx="131">
                  <c:v>167900</c:v>
                </c:pt>
                <c:pt idx="132">
                  <c:v>168870</c:v>
                </c:pt>
                <c:pt idx="133">
                  <c:v>170049</c:v>
                </c:pt>
                <c:pt idx="134">
                  <c:v>171027</c:v>
                </c:pt>
                <c:pt idx="135">
                  <c:v>172648</c:v>
                </c:pt>
                <c:pt idx="136">
                  <c:v>174292</c:v>
                </c:pt>
                <c:pt idx="137">
                  <c:v>175842</c:v>
                </c:pt>
                <c:pt idx="138">
                  <c:v>177280</c:v>
                </c:pt>
                <c:pt idx="139">
                  <c:v>178822</c:v>
                </c:pt>
                <c:pt idx="140">
                  <c:v>180071</c:v>
                </c:pt>
                <c:pt idx="141">
                  <c:v>181177</c:v>
                </c:pt>
                <c:pt idx="142">
                  <c:v>182586</c:v>
                </c:pt>
                <c:pt idx="143">
                  <c:v>184374</c:v>
                </c:pt>
                <c:pt idx="144">
                  <c:v>186332</c:v>
                </c:pt>
                <c:pt idx="145">
                  <c:v>187979</c:v>
                </c:pt>
                <c:pt idx="146">
                  <c:v>189460</c:v>
                </c:pt>
                <c:pt idx="147">
                  <c:v>190767</c:v>
                </c:pt>
                <c:pt idx="148">
                  <c:v>192257</c:v>
                </c:pt>
                <c:pt idx="149">
                  <c:v>194044</c:v>
                </c:pt>
                <c:pt idx="150">
                  <c:v>196018</c:v>
                </c:pt>
                <c:pt idx="151">
                  <c:v>198121</c:v>
                </c:pt>
                <c:pt idx="152">
                  <c:v>200329</c:v>
                </c:pt>
                <c:pt idx="153">
                  <c:v>201716</c:v>
                </c:pt>
                <c:pt idx="154">
                  <c:v>203036</c:v>
                </c:pt>
                <c:pt idx="155">
                  <c:v>204605</c:v>
                </c:pt>
                <c:pt idx="156">
                  <c:v>206265</c:v>
                </c:pt>
                <c:pt idx="157">
                  <c:v>208123</c:v>
                </c:pt>
                <c:pt idx="158">
                  <c:v>210412</c:v>
                </c:pt>
                <c:pt idx="159">
                  <c:v>212245</c:v>
                </c:pt>
                <c:pt idx="160">
                  <c:v>213825</c:v>
                </c:pt>
                <c:pt idx="161">
                  <c:v>215610</c:v>
                </c:pt>
                <c:pt idx="162">
                  <c:v>217375</c:v>
                </c:pt>
                <c:pt idx="163">
                  <c:v>219695</c:v>
                </c:pt>
                <c:pt idx="164">
                  <c:v>221554</c:v>
                </c:pt>
                <c:pt idx="165">
                  <c:v>223786</c:v>
                </c:pt>
                <c:pt idx="166">
                  <c:v>226159</c:v>
                </c:pt>
                <c:pt idx="167">
                  <c:v>228058</c:v>
                </c:pt>
                <c:pt idx="168">
                  <c:v>229678</c:v>
                </c:pt>
                <c:pt idx="169">
                  <c:v>231387</c:v>
                </c:pt>
                <c:pt idx="170">
                  <c:v>233581</c:v>
                </c:pt>
                <c:pt idx="171">
                  <c:v>235311</c:v>
                </c:pt>
                <c:pt idx="172">
                  <c:v>237480</c:v>
                </c:pt>
                <c:pt idx="173">
                  <c:v>239371</c:v>
                </c:pt>
                <c:pt idx="174">
                  <c:v>241374</c:v>
                </c:pt>
                <c:pt idx="175">
                  <c:v>243049</c:v>
                </c:pt>
                <c:pt idx="176">
                  <c:v>244579</c:v>
                </c:pt>
                <c:pt idx="177">
                  <c:v>246734</c:v>
                </c:pt>
                <c:pt idx="178">
                  <c:v>248118</c:v>
                </c:pt>
                <c:pt idx="179">
                  <c:v>253514</c:v>
                </c:pt>
                <c:pt idx="180">
                  <c:v>256343</c:v>
                </c:pt>
                <c:pt idx="181">
                  <c:v>257751</c:v>
                </c:pt>
                <c:pt idx="182">
                  <c:v>259140</c:v>
                </c:pt>
                <c:pt idx="183">
                  <c:v>260539</c:v>
                </c:pt>
                <c:pt idx="184">
                  <c:v>261904</c:v>
                </c:pt>
                <c:pt idx="185">
                  <c:v>263885</c:v>
                </c:pt>
                <c:pt idx="186">
                  <c:v>266061</c:v>
                </c:pt>
                <c:pt idx="187">
                  <c:v>268204</c:v>
                </c:pt>
                <c:pt idx="188">
                  <c:v>269680</c:v>
                </c:pt>
                <c:pt idx="189">
                  <c:v>271058</c:v>
                </c:pt>
                <c:pt idx="190">
                  <c:v>272542</c:v>
                </c:pt>
                <c:pt idx="191">
                  <c:v>274518</c:v>
                </c:pt>
                <c:pt idx="192">
                  <c:v>276599</c:v>
                </c:pt>
                <c:pt idx="193">
                  <c:v>278738</c:v>
                </c:pt>
                <c:pt idx="194">
                  <c:v>281292</c:v>
                </c:pt>
                <c:pt idx="195">
                  <c:v>282708</c:v>
                </c:pt>
                <c:pt idx="196">
                  <c:v>284192</c:v>
                </c:pt>
                <c:pt idx="197">
                  <c:v>285752</c:v>
                </c:pt>
                <c:pt idx="198">
                  <c:v>287622</c:v>
                </c:pt>
                <c:pt idx="199">
                  <c:v>289909</c:v>
                </c:pt>
                <c:pt idx="200">
                  <c:v>292448</c:v>
                </c:pt>
                <c:pt idx="201">
                  <c:v>294914</c:v>
                </c:pt>
                <c:pt idx="202">
                  <c:v>296531</c:v>
                </c:pt>
                <c:pt idx="203">
                  <c:v>298253</c:v>
                </c:pt>
                <c:pt idx="204">
                  <c:v>299638</c:v>
                </c:pt>
                <c:pt idx="205">
                  <c:v>301946</c:v>
                </c:pt>
                <c:pt idx="206">
                  <c:v>304136</c:v>
                </c:pt>
                <c:pt idx="207">
                  <c:v>306389</c:v>
                </c:pt>
                <c:pt idx="208">
                  <c:v>308862</c:v>
                </c:pt>
                <c:pt idx="209">
                  <c:v>310332</c:v>
                </c:pt>
                <c:pt idx="210">
                  <c:v>312199</c:v>
                </c:pt>
                <c:pt idx="211">
                  <c:v>313847</c:v>
                </c:pt>
                <c:pt idx="212">
                  <c:v>316519</c:v>
                </c:pt>
                <c:pt idx="213">
                  <c:v>319610</c:v>
                </c:pt>
                <c:pt idx="214">
                  <c:v>322463</c:v>
                </c:pt>
                <c:pt idx="215">
                  <c:v>325398</c:v>
                </c:pt>
                <c:pt idx="216">
                  <c:v>328134</c:v>
                </c:pt>
                <c:pt idx="217">
                  <c:v>330889</c:v>
                </c:pt>
                <c:pt idx="218">
                  <c:v>333769</c:v>
                </c:pt>
                <c:pt idx="219">
                  <c:v>336679</c:v>
                </c:pt>
                <c:pt idx="220">
                  <c:v>340747</c:v>
                </c:pt>
                <c:pt idx="221">
                  <c:v>345339</c:v>
                </c:pt>
                <c:pt idx="222">
                  <c:v>348995</c:v>
                </c:pt>
                <c:pt idx="223">
                  <c:v>353262</c:v>
                </c:pt>
                <c:pt idx="224">
                  <c:v>356397</c:v>
                </c:pt>
                <c:pt idx="225">
                  <c:v>360152</c:v>
                </c:pt>
                <c:pt idx="226">
                  <c:v>364562</c:v>
                </c:pt>
                <c:pt idx="227">
                  <c:v>369546</c:v>
                </c:pt>
                <c:pt idx="228">
                  <c:v>373451</c:v>
                </c:pt>
                <c:pt idx="229">
                  <c:v>379675</c:v>
                </c:pt>
                <c:pt idx="230">
                  <c:v>383761</c:v>
                </c:pt>
                <c:pt idx="231">
                  <c:v>388507</c:v>
                </c:pt>
                <c:pt idx="232">
                  <c:v>392553</c:v>
                </c:pt>
                <c:pt idx="233">
                  <c:v>398714</c:v>
                </c:pt>
                <c:pt idx="234">
                  <c:v>405133</c:v>
                </c:pt>
                <c:pt idx="235">
                  <c:v>412112</c:v>
                </c:pt>
                <c:pt idx="236">
                  <c:v>420057</c:v>
                </c:pt>
                <c:pt idx="237">
                  <c:v>427072</c:v>
                </c:pt>
                <c:pt idx="238">
                  <c:v>433312</c:v>
                </c:pt>
                <c:pt idx="239">
                  <c:v>439896</c:v>
                </c:pt>
                <c:pt idx="240">
                  <c:v>447489</c:v>
                </c:pt>
                <c:pt idx="241">
                  <c:v>457521</c:v>
                </c:pt>
                <c:pt idx="242">
                  <c:v>475619</c:v>
                </c:pt>
                <c:pt idx="243">
                  <c:v>488132</c:v>
                </c:pt>
                <c:pt idx="244">
                  <c:v>498183</c:v>
                </c:pt>
                <c:pt idx="245">
                  <c:v>508770</c:v>
                </c:pt>
                <c:pt idx="246">
                  <c:v>521472</c:v>
                </c:pt>
                <c:pt idx="247">
                  <c:v>534274</c:v>
                </c:pt>
                <c:pt idx="248">
                  <c:v>547019</c:v>
                </c:pt>
                <c:pt idx="249">
                  <c:v>562461</c:v>
                </c:pt>
                <c:pt idx="250">
                  <c:v>573655</c:v>
                </c:pt>
                <c:pt idx="251">
                  <c:v>584358</c:v>
                </c:pt>
                <c:pt idx="252">
                  <c:v>596027</c:v>
                </c:pt>
                <c:pt idx="253">
                  <c:v>608724</c:v>
                </c:pt>
                <c:pt idx="254">
                  <c:v>617785</c:v>
                </c:pt>
                <c:pt idx="255">
                  <c:v>632561</c:v>
                </c:pt>
                <c:pt idx="256">
                  <c:v>645699</c:v>
                </c:pt>
                <c:pt idx="257">
                  <c:v>657716</c:v>
                </c:pt>
                <c:pt idx="258">
                  <c:v>667804</c:v>
                </c:pt>
                <c:pt idx="259">
                  <c:v>676172</c:v>
                </c:pt>
                <c:pt idx="260">
                  <c:v>685766</c:v>
                </c:pt>
                <c:pt idx="261">
                  <c:v>697299</c:v>
                </c:pt>
                <c:pt idx="262">
                  <c:v>709452</c:v>
                </c:pt>
                <c:pt idx="263">
                  <c:v>717092</c:v>
                </c:pt>
                <c:pt idx="264">
                  <c:v>725073</c:v>
                </c:pt>
                <c:pt idx="265">
                  <c:v>732307</c:v>
                </c:pt>
                <c:pt idx="266">
                  <c:v>738582</c:v>
                </c:pt>
                <c:pt idx="267">
                  <c:v>751249</c:v>
                </c:pt>
                <c:pt idx="268">
                  <c:v>761242</c:v>
                </c:pt>
                <c:pt idx="269">
                  <c:v>772392</c:v>
                </c:pt>
                <c:pt idx="270">
                  <c:v>783062</c:v>
                </c:pt>
                <c:pt idx="271">
                  <c:v>793154</c:v>
                </c:pt>
                <c:pt idx="272">
                  <c:v>800828</c:v>
                </c:pt>
                <c:pt idx="273">
                  <c:v>809607</c:v>
                </c:pt>
                <c:pt idx="274">
                  <c:v>817661</c:v>
                </c:pt>
                <c:pt idx="275">
                  <c:v>826096</c:v>
                </c:pt>
                <c:pt idx="276">
                  <c:v>837392</c:v>
                </c:pt>
                <c:pt idx="277">
                  <c:v>847001</c:v>
                </c:pt>
                <c:pt idx="278">
                  <c:v>855864</c:v>
                </c:pt>
                <c:pt idx="279">
                  <c:v>863195</c:v>
                </c:pt>
                <c:pt idx="280">
                  <c:v>870512</c:v>
                </c:pt>
                <c:pt idx="281">
                  <c:v>877986</c:v>
                </c:pt>
                <c:pt idx="282">
                  <c:v>885255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A-4FF6-89DC-52AD36A36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058304"/>
        <c:axId val="960942688"/>
      </c:scatterChart>
      <c:valAx>
        <c:axId val="1083058304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942688"/>
        <c:crosses val="autoZero"/>
        <c:crossBetween val="midCat"/>
      </c:valAx>
      <c:valAx>
        <c:axId val="960942688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305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283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</c:numCache>
            </c:numRef>
          </c:xVal>
          <c:yVal>
            <c:numRef>
              <c:f>[0]!positive_rate_deriv.</c:f>
              <c:numCache>
                <c:formatCode>0.0%</c:formatCode>
                <c:ptCount val="283"/>
                <c:pt idx="1">
                  <c:v>0.12698412698412698</c:v>
                </c:pt>
                <c:pt idx="2">
                  <c:v>0.14634146341463414</c:v>
                </c:pt>
                <c:pt idx="3">
                  <c:v>0.13725490196078433</c:v>
                </c:pt>
                <c:pt idx="4">
                  <c:v>0.53846153846153844</c:v>
                </c:pt>
                <c:pt idx="5">
                  <c:v>6.8181818181818177E-2</c:v>
                </c:pt>
                <c:pt idx="6">
                  <c:v>9.1482649842271294E-2</c:v>
                </c:pt>
                <c:pt idx="7">
                  <c:v>0.10169491525423729</c:v>
                </c:pt>
                <c:pt idx="8">
                  <c:v>0.15686274509803921</c:v>
                </c:pt>
                <c:pt idx="9">
                  <c:v>0.2318840579710145</c:v>
                </c:pt>
                <c:pt idx="10">
                  <c:v>0.12465878070973613</c:v>
                </c:pt>
                <c:pt idx="11">
                  <c:v>0.14449339207048459</c:v>
                </c:pt>
                <c:pt idx="12">
                  <c:v>8.6180520142784295E-2</c:v>
                </c:pt>
                <c:pt idx="13">
                  <c:v>0.14057357780912083</c:v>
                </c:pt>
                <c:pt idx="14">
                  <c:v>0.15997322623828647</c:v>
                </c:pt>
                <c:pt idx="15">
                  <c:v>0.15708101422387136</c:v>
                </c:pt>
                <c:pt idx="16">
                  <c:v>0.1222466960352423</c:v>
                </c:pt>
                <c:pt idx="17">
                  <c:v>0.28075970272502065</c:v>
                </c:pt>
                <c:pt idx="18">
                  <c:v>0.10099776013031969</c:v>
                </c:pt>
                <c:pt idx="19">
                  <c:v>0.12297401595060457</c:v>
                </c:pt>
                <c:pt idx="20">
                  <c:v>0.48135447921131591</c:v>
                </c:pt>
                <c:pt idx="21">
                  <c:v>0.17473919523099851</c:v>
                </c:pt>
                <c:pt idx="22">
                  <c:v>0.20150659133709981</c:v>
                </c:pt>
                <c:pt idx="23">
                  <c:v>0.19926342314402015</c:v>
                </c:pt>
                <c:pt idx="24">
                  <c:v>0.22341075794621026</c:v>
                </c:pt>
                <c:pt idx="25">
                  <c:v>0.28734061930783245</c:v>
                </c:pt>
                <c:pt idx="26">
                  <c:v>0.26857039580697634</c:v>
                </c:pt>
                <c:pt idx="27">
                  <c:v>0.17215845982969272</c:v>
                </c:pt>
                <c:pt idx="28">
                  <c:v>0.26244001010356149</c:v>
                </c:pt>
                <c:pt idx="29">
                  <c:v>0.23488773747841105</c:v>
                </c:pt>
                <c:pt idx="30">
                  <c:v>0.2543416482475529</c:v>
                </c:pt>
                <c:pt idx="31">
                  <c:v>0.243481264030392</c:v>
                </c:pt>
                <c:pt idx="32">
                  <c:v>0.2298350824587706</c:v>
                </c:pt>
                <c:pt idx="33">
                  <c:v>0.2616146230007616</c:v>
                </c:pt>
                <c:pt idx="34">
                  <c:v>0.21556058320764204</c:v>
                </c:pt>
                <c:pt idx="35">
                  <c:v>0.24776475263262468</c:v>
                </c:pt>
                <c:pt idx="36">
                  <c:v>0.26732673267326734</c:v>
                </c:pt>
                <c:pt idx="37">
                  <c:v>0.22588309836844606</c:v>
                </c:pt>
                <c:pt idx="38">
                  <c:v>0.22332155477031801</c:v>
                </c:pt>
                <c:pt idx="39">
                  <c:v>0.25138632162661739</c:v>
                </c:pt>
                <c:pt idx="40">
                  <c:v>0.23615522717856649</c:v>
                </c:pt>
                <c:pt idx="41">
                  <c:v>0.20764288129861347</c:v>
                </c:pt>
                <c:pt idx="42">
                  <c:v>0.24007936507936509</c:v>
                </c:pt>
                <c:pt idx="43">
                  <c:v>0.25154390721494202</c:v>
                </c:pt>
                <c:pt idx="44">
                  <c:v>0.22954326665953578</c:v>
                </c:pt>
                <c:pt idx="45">
                  <c:v>0.21727982162764772</c:v>
                </c:pt>
                <c:pt idx="46">
                  <c:v>0.17351066437852414</c:v>
                </c:pt>
                <c:pt idx="47">
                  <c:v>0.18339591155611182</c:v>
                </c:pt>
                <c:pt idx="48">
                  <c:v>0.16385451818522684</c:v>
                </c:pt>
                <c:pt idx="49">
                  <c:v>0.16014515620069422</c:v>
                </c:pt>
                <c:pt idx="50">
                  <c:v>0.16214545704278552</c:v>
                </c:pt>
                <c:pt idx="51">
                  <c:v>0.16183174471612102</c:v>
                </c:pt>
                <c:pt idx="52">
                  <c:v>0.20477272727272727</c:v>
                </c:pt>
                <c:pt idx="53">
                  <c:v>0.21854125902435734</c:v>
                </c:pt>
                <c:pt idx="54">
                  <c:v>0.16780641767490795</c:v>
                </c:pt>
                <c:pt idx="55">
                  <c:v>0.15723335221712931</c:v>
                </c:pt>
                <c:pt idx="56">
                  <c:v>0.17240133005638283</c:v>
                </c:pt>
                <c:pt idx="57">
                  <c:v>0.17489915518684832</c:v>
                </c:pt>
                <c:pt idx="58">
                  <c:v>0.16067850941632161</c:v>
                </c:pt>
                <c:pt idx="59">
                  <c:v>0.15621661137040993</c:v>
                </c:pt>
                <c:pt idx="60">
                  <c:v>0.14595326786318999</c:v>
                </c:pt>
                <c:pt idx="61">
                  <c:v>0.14641632063549379</c:v>
                </c:pt>
                <c:pt idx="62">
                  <c:v>0.12546693034497913</c:v>
                </c:pt>
                <c:pt idx="63">
                  <c:v>0.10602041636524395</c:v>
                </c:pt>
                <c:pt idx="64">
                  <c:v>0.14200779061026447</c:v>
                </c:pt>
                <c:pt idx="65">
                  <c:v>0.10572786959474757</c:v>
                </c:pt>
                <c:pt idx="66">
                  <c:v>0.14882264749977953</c:v>
                </c:pt>
                <c:pt idx="67">
                  <c:v>9.6442687747035571E-2</c:v>
                </c:pt>
                <c:pt idx="68">
                  <c:v>9.3678135982991281E-2</c:v>
                </c:pt>
                <c:pt idx="69">
                  <c:v>8.7804878048780483E-2</c:v>
                </c:pt>
                <c:pt idx="70">
                  <c:v>0.11039113490162934</c:v>
                </c:pt>
                <c:pt idx="71">
                  <c:v>9.1633682155831481E-2</c:v>
                </c:pt>
                <c:pt idx="72">
                  <c:v>0.12050026154358268</c:v>
                </c:pt>
                <c:pt idx="73">
                  <c:v>8.0185621182652614E-2</c:v>
                </c:pt>
                <c:pt idx="74">
                  <c:v>0.11412415880221399</c:v>
                </c:pt>
                <c:pt idx="75">
                  <c:v>9.6639324679461652E-2</c:v>
                </c:pt>
                <c:pt idx="76">
                  <c:v>0.10025706940874037</c:v>
                </c:pt>
                <c:pt idx="77">
                  <c:v>8.0441713256018108E-2</c:v>
                </c:pt>
                <c:pt idx="78">
                  <c:v>7.0632617527568192E-2</c:v>
                </c:pt>
                <c:pt idx="79">
                  <c:v>7.3985680190930783E-2</c:v>
                </c:pt>
                <c:pt idx="80">
                  <c:v>6.2709190936021231E-2</c:v>
                </c:pt>
                <c:pt idx="81">
                  <c:v>7.8271242429803628E-2</c:v>
                </c:pt>
                <c:pt idx="82">
                  <c:v>6.0056031251233079E-2</c:v>
                </c:pt>
                <c:pt idx="83">
                  <c:v>6.6323154013425353E-2</c:v>
                </c:pt>
                <c:pt idx="84">
                  <c:v>4.9765164384930546E-2</c:v>
                </c:pt>
                <c:pt idx="85">
                  <c:v>0.10510620169192381</c:v>
                </c:pt>
                <c:pt idx="86">
                  <c:v>4.4052143353357033E-2</c:v>
                </c:pt>
                <c:pt idx="87">
                  <c:v>4.5707280767041725E-2</c:v>
                </c:pt>
                <c:pt idx="88">
                  <c:v>6.4275511823520079E-2</c:v>
                </c:pt>
                <c:pt idx="89">
                  <c:v>4.9350035452611678E-2</c:v>
                </c:pt>
                <c:pt idx="90">
                  <c:v>4.3816425120772946E-2</c:v>
                </c:pt>
                <c:pt idx="91">
                  <c:v>4.2114417044536931E-2</c:v>
                </c:pt>
                <c:pt idx="92">
                  <c:v>4.3872174897828548E-2</c:v>
                </c:pt>
                <c:pt idx="93">
                  <c:v>3.3717579250720463E-2</c:v>
                </c:pt>
                <c:pt idx="94">
                  <c:v>3.8342665173572231E-2</c:v>
                </c:pt>
                <c:pt idx="95">
                  <c:v>2.7044482118349884E-2</c:v>
                </c:pt>
                <c:pt idx="96">
                  <c:v>3.2136971250686687E-2</c:v>
                </c:pt>
                <c:pt idx="97">
                  <c:v>3.1352087114337568E-2</c:v>
                </c:pt>
                <c:pt idx="98">
                  <c:v>2.6359585547860633E-2</c:v>
                </c:pt>
                <c:pt idx="99">
                  <c:v>3.7108227881894391E-2</c:v>
                </c:pt>
                <c:pt idx="100">
                  <c:v>2.1109147297162102E-2</c:v>
                </c:pt>
                <c:pt idx="101">
                  <c:v>2.5290150564617316E-2</c:v>
                </c:pt>
                <c:pt idx="102">
                  <c:v>2.7050899856464614E-2</c:v>
                </c:pt>
                <c:pt idx="103">
                  <c:v>2.615058732909686E-2</c:v>
                </c:pt>
                <c:pt idx="104">
                  <c:v>2.8552233792408465E-2</c:v>
                </c:pt>
                <c:pt idx="105">
                  <c:v>2.6675448707393381E-2</c:v>
                </c:pt>
                <c:pt idx="106">
                  <c:v>3.1062564002535719E-2</c:v>
                </c:pt>
                <c:pt idx="107">
                  <c:v>2.6524837202959325E-2</c:v>
                </c:pt>
                <c:pt idx="108">
                  <c:v>2.9476740516316356E-2</c:v>
                </c:pt>
                <c:pt idx="109">
                  <c:v>2.9383730484798684E-2</c:v>
                </c:pt>
                <c:pt idx="110">
                  <c:v>2.6854515990342956E-2</c:v>
                </c:pt>
                <c:pt idx="111">
                  <c:v>2.7785951490184538E-2</c:v>
                </c:pt>
                <c:pt idx="112">
                  <c:v>2.7936696634222453E-2</c:v>
                </c:pt>
                <c:pt idx="113">
                  <c:v>2.3978885706009204E-2</c:v>
                </c:pt>
                <c:pt idx="114">
                  <c:v>2.5868842550619522E-2</c:v>
                </c:pt>
                <c:pt idx="115">
                  <c:v>2.9905492036217039E-2</c:v>
                </c:pt>
                <c:pt idx="116">
                  <c:v>2.5817355323736815E-2</c:v>
                </c:pt>
                <c:pt idx="117">
                  <c:v>2.5741813453126847E-2</c:v>
                </c:pt>
                <c:pt idx="118">
                  <c:v>2.3682761152928219E-2</c:v>
                </c:pt>
                <c:pt idx="119">
                  <c:v>2.9336613986940475E-2</c:v>
                </c:pt>
                <c:pt idx="120">
                  <c:v>2.311624805512336E-2</c:v>
                </c:pt>
                <c:pt idx="121">
                  <c:v>3.1030480728116792E-2</c:v>
                </c:pt>
                <c:pt idx="122">
                  <c:v>2.8689883913764511E-2</c:v>
                </c:pt>
                <c:pt idx="123">
                  <c:v>4.0682693182162673E-2</c:v>
                </c:pt>
                <c:pt idx="124">
                  <c:v>3.7687432369763491E-2</c:v>
                </c:pt>
                <c:pt idx="125">
                  <c:v>2.5016712089268266E-2</c:v>
                </c:pt>
                <c:pt idx="126">
                  <c:v>2.962148473943756E-2</c:v>
                </c:pt>
                <c:pt idx="127">
                  <c:v>2.5732967728327356E-2</c:v>
                </c:pt>
                <c:pt idx="128">
                  <c:v>3.1314693011189436E-2</c:v>
                </c:pt>
                <c:pt idx="129">
                  <c:v>2.9809793982235037E-2</c:v>
                </c:pt>
                <c:pt idx="130">
                  <c:v>3.2156916598004209E-2</c:v>
                </c:pt>
                <c:pt idx="131">
                  <c:v>2.8070023210915639E-2</c:v>
                </c:pt>
                <c:pt idx="132">
                  <c:v>3.0205835642886057E-2</c:v>
                </c:pt>
                <c:pt idx="133">
                  <c:v>3.4077114284062661E-2</c:v>
                </c:pt>
                <c:pt idx="134">
                  <c:v>3.2879475542107919E-2</c:v>
                </c:pt>
                <c:pt idx="135">
                  <c:v>4.0900259884439738E-2</c:v>
                </c:pt>
                <c:pt idx="136">
                  <c:v>4.1404321764972551E-2</c:v>
                </c:pt>
                <c:pt idx="137">
                  <c:v>3.4965034965034968E-2</c:v>
                </c:pt>
                <c:pt idx="138">
                  <c:v>3.764397905759162E-2</c:v>
                </c:pt>
                <c:pt idx="139">
                  <c:v>3.7753403192635392E-2</c:v>
                </c:pt>
                <c:pt idx="140">
                  <c:v>4.0861059312330292E-2</c:v>
                </c:pt>
                <c:pt idx="141">
                  <c:v>3.9038509053686776E-2</c:v>
                </c:pt>
                <c:pt idx="142">
                  <c:v>3.6897373451698225E-2</c:v>
                </c:pt>
                <c:pt idx="143">
                  <c:v>4.3467690961248605E-2</c:v>
                </c:pt>
                <c:pt idx="144">
                  <c:v>3.9331485275802498E-2</c:v>
                </c:pt>
                <c:pt idx="145">
                  <c:v>4.1372553945087792E-2</c:v>
                </c:pt>
                <c:pt idx="146">
                  <c:v>3.8027988188470918E-2</c:v>
                </c:pt>
                <c:pt idx="147">
                  <c:v>4.5899912203687443E-2</c:v>
                </c:pt>
                <c:pt idx="148">
                  <c:v>3.4978167989107467E-2</c:v>
                </c:pt>
                <c:pt idx="149">
                  <c:v>3.8291763092483069E-2</c:v>
                </c:pt>
                <c:pt idx="150">
                  <c:v>4.7354027731132751E-2</c:v>
                </c:pt>
                <c:pt idx="151">
                  <c:v>4.4869743327145876E-2</c:v>
                </c:pt>
                <c:pt idx="152">
                  <c:v>4.598467177607464E-2</c:v>
                </c:pt>
                <c:pt idx="153">
                  <c:v>3.3539681772017216E-2</c:v>
                </c:pt>
                <c:pt idx="154">
                  <c:v>4.0799925818316693E-2</c:v>
                </c:pt>
                <c:pt idx="155">
                  <c:v>3.7933368792611576E-2</c:v>
                </c:pt>
                <c:pt idx="156">
                  <c:v>3.9431801985842556E-2</c:v>
                </c:pt>
                <c:pt idx="157">
                  <c:v>4.0386036603921226E-2</c:v>
                </c:pt>
                <c:pt idx="158">
                  <c:v>4.6204154134958923E-2</c:v>
                </c:pt>
                <c:pt idx="159">
                  <c:v>4.1270770477777274E-2</c:v>
                </c:pt>
                <c:pt idx="160">
                  <c:v>4.2600231874679824E-2</c:v>
                </c:pt>
                <c:pt idx="161">
                  <c:v>4.6671547351357007E-2</c:v>
                </c:pt>
                <c:pt idx="162">
                  <c:v>5.1645940014630576E-2</c:v>
                </c:pt>
                <c:pt idx="163">
                  <c:v>4.6124177419034178E-2</c:v>
                </c:pt>
                <c:pt idx="164">
                  <c:v>3.6018755328218244E-2</c:v>
                </c:pt>
                <c:pt idx="165">
                  <c:v>4.3142106077006338E-2</c:v>
                </c:pt>
                <c:pt idx="166">
                  <c:v>4.1803192051580174E-2</c:v>
                </c:pt>
                <c:pt idx="167">
                  <c:v>3.4939559529723462E-2</c:v>
                </c:pt>
                <c:pt idx="168">
                  <c:v>4.4807080625086433E-2</c:v>
                </c:pt>
                <c:pt idx="169">
                  <c:v>4.1826770111848065E-2</c:v>
                </c:pt>
                <c:pt idx="170">
                  <c:v>4.3564592351376039E-2</c:v>
                </c:pt>
                <c:pt idx="171">
                  <c:v>3.8867670186474947E-2</c:v>
                </c:pt>
                <c:pt idx="172">
                  <c:v>4.48297955893599E-2</c:v>
                </c:pt>
                <c:pt idx="173">
                  <c:v>3.8762709084945883E-2</c:v>
                </c:pt>
                <c:pt idx="174">
                  <c:v>4.5842583480191337E-2</c:v>
                </c:pt>
                <c:pt idx="175">
                  <c:v>3.5353215559636123E-2</c:v>
                </c:pt>
                <c:pt idx="176">
                  <c:v>6.6634728452593522E-2</c:v>
                </c:pt>
                <c:pt idx="177">
                  <c:v>6.5799517571982533E-2</c:v>
                </c:pt>
                <c:pt idx="178">
                  <c:v>3.3925726191935283E-2</c:v>
                </c:pt>
                <c:pt idx="179">
                  <c:v>3.6148533224360735E-2</c:v>
                </c:pt>
                <c:pt idx="180">
                  <c:v>4.5676919350932432E-2</c:v>
                </c:pt>
                <c:pt idx="181">
                  <c:v>3.0282174810736407E-2</c:v>
                </c:pt>
                <c:pt idx="182">
                  <c:v>4.7937877480586713E-2</c:v>
                </c:pt>
                <c:pt idx="183">
                  <c:v>4.4606702164971465E-2</c:v>
                </c:pt>
                <c:pt idx="184">
                  <c:v>2.8420329384330301E-2</c:v>
                </c:pt>
                <c:pt idx="185">
                  <c:v>4.0443428198113592E-2</c:v>
                </c:pt>
                <c:pt idx="186">
                  <c:v>3.8403840384038407E-2</c:v>
                </c:pt>
                <c:pt idx="187">
                  <c:v>3.7866204898045729E-2</c:v>
                </c:pt>
                <c:pt idx="188">
                  <c:v>3.1477927063339732E-2</c:v>
                </c:pt>
                <c:pt idx="189">
                  <c:v>3.8352351795157252E-2</c:v>
                </c:pt>
                <c:pt idx="190">
                  <c:v>3.8021060182931513E-2</c:v>
                </c:pt>
                <c:pt idx="191">
                  <c:v>3.7774081933054232E-2</c:v>
                </c:pt>
                <c:pt idx="192">
                  <c:v>3.6003460207612456E-2</c:v>
                </c:pt>
                <c:pt idx="193">
                  <c:v>3.4545689460253881E-2</c:v>
                </c:pt>
                <c:pt idx="194">
                  <c:v>3.4380636997550007E-2</c:v>
                </c:pt>
                <c:pt idx="195">
                  <c:v>2.9493241132240527E-2</c:v>
                </c:pt>
                <c:pt idx="196">
                  <c:v>3.8813621384108384E-2</c:v>
                </c:pt>
                <c:pt idx="197">
                  <c:v>3.7294699849386791E-2</c:v>
                </c:pt>
                <c:pt idx="198">
                  <c:v>4.0309542799249858E-2</c:v>
                </c:pt>
                <c:pt idx="199">
                  <c:v>3.684490341705466E-2</c:v>
                </c:pt>
                <c:pt idx="200">
                  <c:v>3.637900649062227E-2</c:v>
                </c:pt>
                <c:pt idx="201">
                  <c:v>3.7812226873361242E-2</c:v>
                </c:pt>
                <c:pt idx="202">
                  <c:v>3.1816929676124511E-2</c:v>
                </c:pt>
                <c:pt idx="203">
                  <c:v>4.1855038646638469E-2</c:v>
                </c:pt>
                <c:pt idx="204">
                  <c:v>3.0356829738733999E-2</c:v>
                </c:pt>
                <c:pt idx="205">
                  <c:v>3.9421992962798483E-2</c:v>
                </c:pt>
                <c:pt idx="206">
                  <c:v>3.337651451649775E-2</c:v>
                </c:pt>
                <c:pt idx="207">
                  <c:v>3.0994208361420257E-2</c:v>
                </c:pt>
                <c:pt idx="208">
                  <c:v>3.4522712678337106E-2</c:v>
                </c:pt>
                <c:pt idx="209">
                  <c:v>2.8457487997522068E-2</c:v>
                </c:pt>
                <c:pt idx="210">
                  <c:v>4.8445689968342934E-2</c:v>
                </c:pt>
                <c:pt idx="211">
                  <c:v>3.3284187991032659E-2</c:v>
                </c:pt>
                <c:pt idx="212">
                  <c:v>4.5426725603536215E-2</c:v>
                </c:pt>
                <c:pt idx="213">
                  <c:v>4.2639775972189653E-2</c:v>
                </c:pt>
                <c:pt idx="214">
                  <c:v>3.9846925236385985E-2</c:v>
                </c:pt>
                <c:pt idx="215">
                  <c:v>4.4297874909442161E-2</c:v>
                </c:pt>
                <c:pt idx="216">
                  <c:v>4.2718628507190035E-2</c:v>
                </c:pt>
                <c:pt idx="217">
                  <c:v>5.7903697009184726E-2</c:v>
                </c:pt>
                <c:pt idx="218">
                  <c:v>5.1435000803671888E-2</c:v>
                </c:pt>
                <c:pt idx="219">
                  <c:v>5.5250716740397575E-2</c:v>
                </c:pt>
                <c:pt idx="220">
                  <c:v>6.0638583310973972E-2</c:v>
                </c:pt>
                <c:pt idx="221">
                  <c:v>5.2325117651750817E-2</c:v>
                </c:pt>
                <c:pt idx="222">
                  <c:v>4.7180890190865798E-2</c:v>
                </c:pt>
                <c:pt idx="223">
                  <c:v>5.3811037126715096E-2</c:v>
                </c:pt>
                <c:pt idx="224">
                  <c:v>6.4394873058910521E-2</c:v>
                </c:pt>
                <c:pt idx="225">
                  <c:v>6.3561115154797981E-2</c:v>
                </c:pt>
                <c:pt idx="226">
                  <c:v>6.6026859906274799E-2</c:v>
                </c:pt>
                <c:pt idx="227">
                  <c:v>6.1548340886918511E-2</c:v>
                </c:pt>
                <c:pt idx="228">
                  <c:v>4.7473740517409067E-2</c:v>
                </c:pt>
                <c:pt idx="229">
                  <c:v>7.4523749655758711E-2</c:v>
                </c:pt>
                <c:pt idx="230">
                  <c:v>5.6673648001997312E-2</c:v>
                </c:pt>
                <c:pt idx="231">
                  <c:v>8.2879295892707455E-2</c:v>
                </c:pt>
                <c:pt idx="232">
                  <c:v>6.5180268711537842E-2</c:v>
                </c:pt>
                <c:pt idx="233">
                  <c:v>8.70788104929896E-2</c:v>
                </c:pt>
                <c:pt idx="234">
                  <c:v>7.7285205162781742E-2</c:v>
                </c:pt>
                <c:pt idx="235">
                  <c:v>7.3377422169885714E-2</c:v>
                </c:pt>
                <c:pt idx="236">
                  <c:v>8.5765792996243359E-2</c:v>
                </c:pt>
                <c:pt idx="237">
                  <c:v>8.9410895001147114E-2</c:v>
                </c:pt>
                <c:pt idx="238">
                  <c:v>9.1605742975424995E-2</c:v>
                </c:pt>
                <c:pt idx="239">
                  <c:v>7.9868987687268758E-2</c:v>
                </c:pt>
                <c:pt idx="240">
                  <c:v>0.10566820212366228</c:v>
                </c:pt>
                <c:pt idx="241">
                  <c:v>0.11663082020577806</c:v>
                </c:pt>
                <c:pt idx="242">
                  <c:v>0.18392089511285453</c:v>
                </c:pt>
                <c:pt idx="243">
                  <c:v>0.12714137657745533</c:v>
                </c:pt>
                <c:pt idx="244">
                  <c:v>0.11074627852397061</c:v>
                </c:pt>
                <c:pt idx="245">
                  <c:v>0.1634805435453984</c:v>
                </c:pt>
                <c:pt idx="246">
                  <c:v>0.12458437545976166</c:v>
                </c:pt>
                <c:pt idx="247">
                  <c:v>0.1369725241804331</c:v>
                </c:pt>
                <c:pt idx="248">
                  <c:v>0.12666845562877049</c:v>
                </c:pt>
                <c:pt idx="249">
                  <c:v>0.14494086727989489</c:v>
                </c:pt>
                <c:pt idx="250">
                  <c:v>9.7875316953746613E-2</c:v>
                </c:pt>
                <c:pt idx="251">
                  <c:v>0.12616849972297864</c:v>
                </c:pt>
                <c:pt idx="252">
                  <c:v>0.12877985255816007</c:v>
                </c:pt>
                <c:pt idx="253">
                  <c:v>0.13478053181890559</c:v>
                </c:pt>
                <c:pt idx="254">
                  <c:v>8.7487568674024074E-2</c:v>
                </c:pt>
                <c:pt idx="255">
                  <c:v>0.13024584167055983</c:v>
                </c:pt>
                <c:pt idx="256">
                  <c:v>0.11323519271874785</c:v>
                </c:pt>
                <c:pt idx="257">
                  <c:v>9.9905224302484122E-2</c:v>
                </c:pt>
                <c:pt idx="258">
                  <c:v>0.10913378841805771</c:v>
                </c:pt>
                <c:pt idx="259">
                  <c:v>9.139162534675957E-2</c:v>
                </c:pt>
                <c:pt idx="260">
                  <c:v>9.8578958725070123E-2</c:v>
                </c:pt>
                <c:pt idx="261">
                  <c:v>0.10096031794665289</c:v>
                </c:pt>
                <c:pt idx="262">
                  <c:v>0.11299230168470378</c:v>
                </c:pt>
                <c:pt idx="263">
                  <c:v>9.9053545961363926E-2</c:v>
                </c:pt>
                <c:pt idx="264">
                  <c:v>0.10095503130731769</c:v>
                </c:pt>
                <c:pt idx="265">
                  <c:v>0.11530124322601211</c:v>
                </c:pt>
                <c:pt idx="266">
                  <c:v>9.3684681994625263E-2</c:v>
                </c:pt>
                <c:pt idx="267">
                  <c:v>0.10912207854859969</c:v>
                </c:pt>
                <c:pt idx="268">
                  <c:v>0.11686762487281743</c:v>
                </c:pt>
                <c:pt idx="269">
                  <c:v>0.10442225926689018</c:v>
                </c:pt>
                <c:pt idx="270">
                  <c:v>9.4731608572899834E-2</c:v>
                </c:pt>
                <c:pt idx="271">
                  <c:v>9.8287851341085725E-2</c:v>
                </c:pt>
                <c:pt idx="272">
                  <c:v>9.6482184616158317E-2</c:v>
                </c:pt>
                <c:pt idx="273">
                  <c:v>0.11317665562273589</c:v>
                </c:pt>
                <c:pt idx="274">
                  <c:v>8.4049047743282021E-2</c:v>
                </c:pt>
                <c:pt idx="275">
                  <c:v>9.0956144796575267E-2</c:v>
                </c:pt>
                <c:pt idx="276">
                  <c:v>9.8652437054050982E-2</c:v>
                </c:pt>
                <c:pt idx="277">
                  <c:v>9.1997931985294115E-2</c:v>
                </c:pt>
                <c:pt idx="278">
                  <c:v>6.9849000693524996E-2</c:v>
                </c:pt>
                <c:pt idx="279">
                  <c:v>0.11518036701860231</c:v>
                </c:pt>
                <c:pt idx="280">
                  <c:v>7.9311914672216446E-2</c:v>
                </c:pt>
                <c:pt idx="281">
                  <c:v>8.0433051376423231E-2</c:v>
                </c:pt>
                <c:pt idx="282">
                  <c:v>7.7928343232059008E-2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45-44D2-A588-F7F6D0245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295216"/>
        <c:axId val="1727084592"/>
      </c:scatterChart>
      <c:valAx>
        <c:axId val="198229521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84592"/>
        <c:crosses val="autoZero"/>
        <c:crossBetween val="midCat"/>
      </c:valAx>
      <c:valAx>
        <c:axId val="17270845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29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283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</c:numCache>
            </c:numRef>
          </c:xVal>
          <c:yVal>
            <c:numRef>
              <c:f>[0]!new_tests</c:f>
              <c:numCache>
                <c:formatCode>General</c:formatCode>
                <c:ptCount val="283"/>
                <c:pt idx="1">
                  <c:v>63</c:v>
                </c:pt>
                <c:pt idx="2">
                  <c:v>41</c:v>
                </c:pt>
                <c:pt idx="3">
                  <c:v>51</c:v>
                </c:pt>
                <c:pt idx="4">
                  <c:v>26</c:v>
                </c:pt>
                <c:pt idx="5">
                  <c:v>264</c:v>
                </c:pt>
                <c:pt idx="6">
                  <c:v>317</c:v>
                </c:pt>
                <c:pt idx="7">
                  <c:v>118</c:v>
                </c:pt>
                <c:pt idx="8">
                  <c:v>357</c:v>
                </c:pt>
                <c:pt idx="9">
                  <c:v>552</c:v>
                </c:pt>
                <c:pt idx="10">
                  <c:v>1099</c:v>
                </c:pt>
                <c:pt idx="11">
                  <c:v>1135</c:v>
                </c:pt>
                <c:pt idx="12">
                  <c:v>1961</c:v>
                </c:pt>
                <c:pt idx="13">
                  <c:v>2127</c:v>
                </c:pt>
                <c:pt idx="14">
                  <c:v>1494</c:v>
                </c:pt>
                <c:pt idx="15">
                  <c:v>1617</c:v>
                </c:pt>
                <c:pt idx="16">
                  <c:v>2724</c:v>
                </c:pt>
                <c:pt idx="17">
                  <c:v>2422</c:v>
                </c:pt>
                <c:pt idx="18">
                  <c:v>4911</c:v>
                </c:pt>
                <c:pt idx="19">
                  <c:v>3887</c:v>
                </c:pt>
                <c:pt idx="20">
                  <c:v>2333</c:v>
                </c:pt>
                <c:pt idx="21">
                  <c:v>2684</c:v>
                </c:pt>
                <c:pt idx="22">
                  <c:v>4779</c:v>
                </c:pt>
                <c:pt idx="23">
                  <c:v>5159</c:v>
                </c:pt>
                <c:pt idx="24">
                  <c:v>3272</c:v>
                </c:pt>
                <c:pt idx="25">
                  <c:v>4392</c:v>
                </c:pt>
                <c:pt idx="26">
                  <c:v>5533</c:v>
                </c:pt>
                <c:pt idx="27">
                  <c:v>5402</c:v>
                </c:pt>
                <c:pt idx="28">
                  <c:v>3959</c:v>
                </c:pt>
                <c:pt idx="29">
                  <c:v>5790</c:v>
                </c:pt>
                <c:pt idx="30">
                  <c:v>6334</c:v>
                </c:pt>
                <c:pt idx="31">
                  <c:v>5791</c:v>
                </c:pt>
                <c:pt idx="32">
                  <c:v>6670</c:v>
                </c:pt>
                <c:pt idx="33">
                  <c:v>5252</c:v>
                </c:pt>
                <c:pt idx="34">
                  <c:v>7956</c:v>
                </c:pt>
                <c:pt idx="35">
                  <c:v>5033</c:v>
                </c:pt>
                <c:pt idx="36">
                  <c:v>4848</c:v>
                </c:pt>
                <c:pt idx="37">
                  <c:v>6313</c:v>
                </c:pt>
                <c:pt idx="38">
                  <c:v>5660</c:v>
                </c:pt>
                <c:pt idx="39">
                  <c:v>7574</c:v>
                </c:pt>
                <c:pt idx="40">
                  <c:v>7241</c:v>
                </c:pt>
                <c:pt idx="41">
                  <c:v>5914</c:v>
                </c:pt>
                <c:pt idx="42">
                  <c:v>5040</c:v>
                </c:pt>
                <c:pt idx="43">
                  <c:v>6639</c:v>
                </c:pt>
                <c:pt idx="44">
                  <c:v>9349</c:v>
                </c:pt>
                <c:pt idx="45">
                  <c:v>8970</c:v>
                </c:pt>
                <c:pt idx="46">
                  <c:v>16316</c:v>
                </c:pt>
                <c:pt idx="47">
                  <c:v>11985</c:v>
                </c:pt>
                <c:pt idx="48">
                  <c:v>13335</c:v>
                </c:pt>
                <c:pt idx="49">
                  <c:v>12676</c:v>
                </c:pt>
                <c:pt idx="50">
                  <c:v>14561</c:v>
                </c:pt>
                <c:pt idx="51">
                  <c:v>14478</c:v>
                </c:pt>
                <c:pt idx="52">
                  <c:v>13200</c:v>
                </c:pt>
                <c:pt idx="53">
                  <c:v>14821</c:v>
                </c:pt>
                <c:pt idx="54">
                  <c:v>15208</c:v>
                </c:pt>
                <c:pt idx="55">
                  <c:v>19417</c:v>
                </c:pt>
                <c:pt idx="56">
                  <c:v>13834</c:v>
                </c:pt>
                <c:pt idx="57">
                  <c:v>13139</c:v>
                </c:pt>
                <c:pt idx="58">
                  <c:v>14974</c:v>
                </c:pt>
                <c:pt idx="59">
                  <c:v>17783</c:v>
                </c:pt>
                <c:pt idx="60">
                  <c:v>20671</c:v>
                </c:pt>
                <c:pt idx="61">
                  <c:v>16617</c:v>
                </c:pt>
                <c:pt idx="62">
                  <c:v>13653</c:v>
                </c:pt>
                <c:pt idx="63">
                  <c:v>12441</c:v>
                </c:pt>
                <c:pt idx="64">
                  <c:v>29266</c:v>
                </c:pt>
                <c:pt idx="65">
                  <c:v>17668</c:v>
                </c:pt>
                <c:pt idx="66">
                  <c:v>22678</c:v>
                </c:pt>
                <c:pt idx="67">
                  <c:v>26565</c:v>
                </c:pt>
                <c:pt idx="68">
                  <c:v>23047</c:v>
                </c:pt>
                <c:pt idx="69">
                  <c:v>20295</c:v>
                </c:pt>
                <c:pt idx="70">
                  <c:v>21297</c:v>
                </c:pt>
                <c:pt idx="71">
                  <c:v>18443</c:v>
                </c:pt>
                <c:pt idx="72">
                  <c:v>21029</c:v>
                </c:pt>
                <c:pt idx="73">
                  <c:v>29307</c:v>
                </c:pt>
                <c:pt idx="74">
                  <c:v>25113</c:v>
                </c:pt>
                <c:pt idx="75">
                  <c:v>25114</c:v>
                </c:pt>
                <c:pt idx="76">
                  <c:v>25674</c:v>
                </c:pt>
                <c:pt idx="77">
                  <c:v>21643</c:v>
                </c:pt>
                <c:pt idx="78">
                  <c:v>17230</c:v>
                </c:pt>
                <c:pt idx="79">
                  <c:v>17179</c:v>
                </c:pt>
                <c:pt idx="80">
                  <c:v>25993</c:v>
                </c:pt>
                <c:pt idx="81">
                  <c:v>21796</c:v>
                </c:pt>
                <c:pt idx="82">
                  <c:v>25343</c:v>
                </c:pt>
                <c:pt idx="83">
                  <c:v>21154</c:v>
                </c:pt>
                <c:pt idx="84">
                  <c:v>20014</c:v>
                </c:pt>
                <c:pt idx="85">
                  <c:v>16431</c:v>
                </c:pt>
                <c:pt idx="86">
                  <c:v>24471</c:v>
                </c:pt>
                <c:pt idx="87">
                  <c:v>22841</c:v>
                </c:pt>
                <c:pt idx="88">
                  <c:v>18903</c:v>
                </c:pt>
                <c:pt idx="89">
                  <c:v>21155</c:v>
                </c:pt>
                <c:pt idx="90">
                  <c:v>20700</c:v>
                </c:pt>
                <c:pt idx="91">
                  <c:v>16099</c:v>
                </c:pt>
                <c:pt idx="92">
                  <c:v>20309</c:v>
                </c:pt>
                <c:pt idx="93">
                  <c:v>20820</c:v>
                </c:pt>
                <c:pt idx="94">
                  <c:v>22325</c:v>
                </c:pt>
                <c:pt idx="95">
                  <c:v>24774</c:v>
                </c:pt>
                <c:pt idx="96">
                  <c:v>21844</c:v>
                </c:pt>
                <c:pt idx="97">
                  <c:v>22040</c:v>
                </c:pt>
                <c:pt idx="98">
                  <c:v>18627</c:v>
                </c:pt>
                <c:pt idx="99">
                  <c:v>18729</c:v>
                </c:pt>
                <c:pt idx="100">
                  <c:v>29987</c:v>
                </c:pt>
                <c:pt idx="101">
                  <c:v>25504</c:v>
                </c:pt>
                <c:pt idx="102">
                  <c:v>27171</c:v>
                </c:pt>
                <c:pt idx="103">
                  <c:v>25965</c:v>
                </c:pt>
                <c:pt idx="104">
                  <c:v>23816</c:v>
                </c:pt>
                <c:pt idx="105">
                  <c:v>18219</c:v>
                </c:pt>
                <c:pt idx="106">
                  <c:v>20507</c:v>
                </c:pt>
                <c:pt idx="107">
                  <c:v>29331</c:v>
                </c:pt>
                <c:pt idx="108">
                  <c:v>31686</c:v>
                </c:pt>
                <c:pt idx="109">
                  <c:v>30425</c:v>
                </c:pt>
                <c:pt idx="110">
                  <c:v>30237</c:v>
                </c:pt>
                <c:pt idx="111">
                  <c:v>23789</c:v>
                </c:pt>
                <c:pt idx="112">
                  <c:v>26918</c:v>
                </c:pt>
                <c:pt idx="113">
                  <c:v>31069</c:v>
                </c:pt>
                <c:pt idx="114">
                  <c:v>33090</c:v>
                </c:pt>
                <c:pt idx="115">
                  <c:v>30262</c:v>
                </c:pt>
                <c:pt idx="116">
                  <c:v>34318</c:v>
                </c:pt>
                <c:pt idx="117">
                  <c:v>33836</c:v>
                </c:pt>
                <c:pt idx="118">
                  <c:v>27235</c:v>
                </c:pt>
                <c:pt idx="119">
                  <c:v>21134</c:v>
                </c:pt>
                <c:pt idx="120">
                  <c:v>26994</c:v>
                </c:pt>
                <c:pt idx="121">
                  <c:v>32742</c:v>
                </c:pt>
                <c:pt idx="122">
                  <c:v>36180</c:v>
                </c:pt>
                <c:pt idx="123">
                  <c:v>32987</c:v>
                </c:pt>
                <c:pt idx="124">
                  <c:v>32345</c:v>
                </c:pt>
                <c:pt idx="125">
                  <c:v>38894</c:v>
                </c:pt>
                <c:pt idx="126">
                  <c:v>30012</c:v>
                </c:pt>
                <c:pt idx="127">
                  <c:v>28446</c:v>
                </c:pt>
                <c:pt idx="128">
                  <c:v>38161</c:v>
                </c:pt>
                <c:pt idx="129">
                  <c:v>43006</c:v>
                </c:pt>
                <c:pt idx="130">
                  <c:v>43692</c:v>
                </c:pt>
                <c:pt idx="131">
                  <c:v>46099</c:v>
                </c:pt>
                <c:pt idx="132">
                  <c:v>32113</c:v>
                </c:pt>
                <c:pt idx="133">
                  <c:v>34598</c:v>
                </c:pt>
                <c:pt idx="134">
                  <c:v>29745</c:v>
                </c:pt>
                <c:pt idx="135">
                  <c:v>39633</c:v>
                </c:pt>
                <c:pt idx="136">
                  <c:v>39706</c:v>
                </c:pt>
                <c:pt idx="137">
                  <c:v>44330</c:v>
                </c:pt>
                <c:pt idx="138">
                  <c:v>38200</c:v>
                </c:pt>
                <c:pt idx="139">
                  <c:v>40844</c:v>
                </c:pt>
                <c:pt idx="140">
                  <c:v>30567</c:v>
                </c:pt>
                <c:pt idx="141">
                  <c:v>28331</c:v>
                </c:pt>
                <c:pt idx="142">
                  <c:v>38187</c:v>
                </c:pt>
                <c:pt idx="143">
                  <c:v>41134</c:v>
                </c:pt>
                <c:pt idx="144">
                  <c:v>49782</c:v>
                </c:pt>
                <c:pt idx="145">
                  <c:v>39809</c:v>
                </c:pt>
                <c:pt idx="146">
                  <c:v>38945</c:v>
                </c:pt>
                <c:pt idx="147">
                  <c:v>28475</c:v>
                </c:pt>
                <c:pt idx="148">
                  <c:v>42598</c:v>
                </c:pt>
                <c:pt idx="149">
                  <c:v>46668</c:v>
                </c:pt>
                <c:pt idx="150">
                  <c:v>41686</c:v>
                </c:pt>
                <c:pt idx="151">
                  <c:v>46869</c:v>
                </c:pt>
                <c:pt idx="152">
                  <c:v>48016</c:v>
                </c:pt>
                <c:pt idx="153">
                  <c:v>41354</c:v>
                </c:pt>
                <c:pt idx="154">
                  <c:v>32353</c:v>
                </c:pt>
                <c:pt idx="155">
                  <c:v>41362</c:v>
                </c:pt>
                <c:pt idx="156">
                  <c:v>42098</c:v>
                </c:pt>
                <c:pt idx="157">
                  <c:v>46006</c:v>
                </c:pt>
                <c:pt idx="158">
                  <c:v>49541</c:v>
                </c:pt>
                <c:pt idx="159">
                  <c:v>44414</c:v>
                </c:pt>
                <c:pt idx="160">
                  <c:v>37089</c:v>
                </c:pt>
                <c:pt idx="161">
                  <c:v>38246</c:v>
                </c:pt>
                <c:pt idx="162">
                  <c:v>34175</c:v>
                </c:pt>
                <c:pt idx="163">
                  <c:v>50299</c:v>
                </c:pt>
                <c:pt idx="164">
                  <c:v>51612</c:v>
                </c:pt>
                <c:pt idx="165">
                  <c:v>51736</c:v>
                </c:pt>
                <c:pt idx="166">
                  <c:v>56766</c:v>
                </c:pt>
                <c:pt idx="167">
                  <c:v>54351</c:v>
                </c:pt>
                <c:pt idx="168">
                  <c:v>36155</c:v>
                </c:pt>
                <c:pt idx="169">
                  <c:v>40859</c:v>
                </c:pt>
                <c:pt idx="170">
                  <c:v>50362</c:v>
                </c:pt>
                <c:pt idx="171">
                  <c:v>44510</c:v>
                </c:pt>
                <c:pt idx="172">
                  <c:v>48383</c:v>
                </c:pt>
                <c:pt idx="173">
                  <c:v>48784</c:v>
                </c:pt>
                <c:pt idx="174">
                  <c:v>43693</c:v>
                </c:pt>
                <c:pt idx="175">
                  <c:v>47379</c:v>
                </c:pt>
                <c:pt idx="176">
                  <c:v>22961</c:v>
                </c:pt>
                <c:pt idx="177">
                  <c:v>32751</c:v>
                </c:pt>
                <c:pt idx="178">
                  <c:v>40795</c:v>
                </c:pt>
                <c:pt idx="179">
                  <c:v>149273</c:v>
                </c:pt>
                <c:pt idx="180">
                  <c:v>61935</c:v>
                </c:pt>
                <c:pt idx="181">
                  <c:v>46496</c:v>
                </c:pt>
                <c:pt idx="182">
                  <c:v>28975</c:v>
                </c:pt>
                <c:pt idx="183">
                  <c:v>31363</c:v>
                </c:pt>
                <c:pt idx="184">
                  <c:v>48029</c:v>
                </c:pt>
                <c:pt idx="185">
                  <c:v>48982</c:v>
                </c:pt>
                <c:pt idx="186">
                  <c:v>56661</c:v>
                </c:pt>
                <c:pt idx="187">
                  <c:v>56594</c:v>
                </c:pt>
                <c:pt idx="188">
                  <c:v>46890</c:v>
                </c:pt>
                <c:pt idx="189">
                  <c:v>35930</c:v>
                </c:pt>
                <c:pt idx="190">
                  <c:v>39031</c:v>
                </c:pt>
                <c:pt idx="191">
                  <c:v>52311</c:v>
                </c:pt>
                <c:pt idx="192">
                  <c:v>57800</c:v>
                </c:pt>
                <c:pt idx="193">
                  <c:v>61918</c:v>
                </c:pt>
                <c:pt idx="194">
                  <c:v>74286</c:v>
                </c:pt>
                <c:pt idx="195">
                  <c:v>48011</c:v>
                </c:pt>
                <c:pt idx="196">
                  <c:v>38234</c:v>
                </c:pt>
                <c:pt idx="197">
                  <c:v>41829</c:v>
                </c:pt>
                <c:pt idx="198">
                  <c:v>46391</c:v>
                </c:pt>
                <c:pt idx="199">
                  <c:v>62071</c:v>
                </c:pt>
                <c:pt idx="200">
                  <c:v>69793</c:v>
                </c:pt>
                <c:pt idx="201">
                  <c:v>65217</c:v>
                </c:pt>
                <c:pt idx="202">
                  <c:v>50822</c:v>
                </c:pt>
                <c:pt idx="203">
                  <c:v>41142</c:v>
                </c:pt>
                <c:pt idx="204">
                  <c:v>45624</c:v>
                </c:pt>
                <c:pt idx="205">
                  <c:v>58546</c:v>
                </c:pt>
                <c:pt idx="206">
                  <c:v>65615</c:v>
                </c:pt>
                <c:pt idx="207">
                  <c:v>72691</c:v>
                </c:pt>
                <c:pt idx="208">
                  <c:v>71634</c:v>
                </c:pt>
                <c:pt idx="209">
                  <c:v>51656</c:v>
                </c:pt>
                <c:pt idx="210">
                  <c:v>38538</c:v>
                </c:pt>
                <c:pt idx="211">
                  <c:v>49513</c:v>
                </c:pt>
                <c:pt idx="212">
                  <c:v>58820</c:v>
                </c:pt>
                <c:pt idx="213">
                  <c:v>72491</c:v>
                </c:pt>
                <c:pt idx="214">
                  <c:v>71599</c:v>
                </c:pt>
                <c:pt idx="215">
                  <c:v>66256</c:v>
                </c:pt>
                <c:pt idx="216">
                  <c:v>64047</c:v>
                </c:pt>
                <c:pt idx="217">
                  <c:v>47579</c:v>
                </c:pt>
                <c:pt idx="218">
                  <c:v>55993</c:v>
                </c:pt>
                <c:pt idx="219">
                  <c:v>52669</c:v>
                </c:pt>
                <c:pt idx="220">
                  <c:v>67086</c:v>
                </c:pt>
                <c:pt idx="221">
                  <c:v>87759</c:v>
                </c:pt>
                <c:pt idx="222">
                  <c:v>77489</c:v>
                </c:pt>
                <c:pt idx="223">
                  <c:v>79296</c:v>
                </c:pt>
                <c:pt idx="224">
                  <c:v>48684</c:v>
                </c:pt>
                <c:pt idx="225">
                  <c:v>59077</c:v>
                </c:pt>
                <c:pt idx="226">
                  <c:v>66791</c:v>
                </c:pt>
                <c:pt idx="227">
                  <c:v>80977</c:v>
                </c:pt>
                <c:pt idx="228">
                  <c:v>82256</c:v>
                </c:pt>
                <c:pt idx="229">
                  <c:v>83517</c:v>
                </c:pt>
                <c:pt idx="230">
                  <c:v>72097</c:v>
                </c:pt>
                <c:pt idx="231">
                  <c:v>57264</c:v>
                </c:pt>
                <c:pt idx="232">
                  <c:v>62074</c:v>
                </c:pt>
                <c:pt idx="233">
                  <c:v>70752</c:v>
                </c:pt>
                <c:pt idx="234">
                  <c:v>83056</c:v>
                </c:pt>
                <c:pt idx="235">
                  <c:v>95111</c:v>
                </c:pt>
                <c:pt idx="236">
                  <c:v>92636</c:v>
                </c:pt>
                <c:pt idx="237">
                  <c:v>78458</c:v>
                </c:pt>
                <c:pt idx="238">
                  <c:v>68118</c:v>
                </c:pt>
                <c:pt idx="239">
                  <c:v>82435</c:v>
                </c:pt>
                <c:pt idx="240">
                  <c:v>71857</c:v>
                </c:pt>
                <c:pt idx="241">
                  <c:v>86015</c:v>
                </c:pt>
                <c:pt idx="242">
                  <c:v>98401</c:v>
                </c:pt>
                <c:pt idx="243">
                  <c:v>98418</c:v>
                </c:pt>
                <c:pt idx="244">
                  <c:v>90757</c:v>
                </c:pt>
                <c:pt idx="245">
                  <c:v>64760</c:v>
                </c:pt>
                <c:pt idx="246">
                  <c:v>101955</c:v>
                </c:pt>
                <c:pt idx="247">
                  <c:v>93464</c:v>
                </c:pt>
                <c:pt idx="248">
                  <c:v>100617</c:v>
                </c:pt>
                <c:pt idx="249">
                  <c:v>106540</c:v>
                </c:pt>
                <c:pt idx="250">
                  <c:v>114370</c:v>
                </c:pt>
                <c:pt idx="251">
                  <c:v>84831</c:v>
                </c:pt>
                <c:pt idx="252">
                  <c:v>90612</c:v>
                </c:pt>
                <c:pt idx="253">
                  <c:v>94205</c:v>
                </c:pt>
                <c:pt idx="254">
                  <c:v>103569</c:v>
                </c:pt>
                <c:pt idx="255">
                  <c:v>113447</c:v>
                </c:pt>
                <c:pt idx="256">
                  <c:v>116024</c:v>
                </c:pt>
                <c:pt idx="257">
                  <c:v>120284</c:v>
                </c:pt>
                <c:pt idx="258">
                  <c:v>92437</c:v>
                </c:pt>
                <c:pt idx="259">
                  <c:v>91562</c:v>
                </c:pt>
                <c:pt idx="260">
                  <c:v>97323</c:v>
                </c:pt>
                <c:pt idx="261">
                  <c:v>114233</c:v>
                </c:pt>
                <c:pt idx="262">
                  <c:v>107556</c:v>
                </c:pt>
                <c:pt idx="263">
                  <c:v>77130</c:v>
                </c:pt>
                <c:pt idx="264">
                  <c:v>79055</c:v>
                </c:pt>
                <c:pt idx="265">
                  <c:v>62740</c:v>
                </c:pt>
                <c:pt idx="266">
                  <c:v>66980</c:v>
                </c:pt>
                <c:pt idx="267">
                  <c:v>116081</c:v>
                </c:pt>
                <c:pt idx="268">
                  <c:v>85507</c:v>
                </c:pt>
                <c:pt idx="269">
                  <c:v>106778</c:v>
                </c:pt>
                <c:pt idx="270">
                  <c:v>112634</c:v>
                </c:pt>
                <c:pt idx="271">
                  <c:v>102678</c:v>
                </c:pt>
                <c:pt idx="272">
                  <c:v>79538</c:v>
                </c:pt>
                <c:pt idx="273">
                  <c:v>77569</c:v>
                </c:pt>
                <c:pt idx="274">
                  <c:v>95825</c:v>
                </c:pt>
                <c:pt idx="275">
                  <c:v>92737</c:v>
                </c:pt>
                <c:pt idx="276">
                  <c:v>114503</c:v>
                </c:pt>
                <c:pt idx="277">
                  <c:v>104448</c:v>
                </c:pt>
                <c:pt idx="278">
                  <c:v>126888</c:v>
                </c:pt>
                <c:pt idx="279">
                  <c:v>63648</c:v>
                </c:pt>
                <c:pt idx="280">
                  <c:v>92256</c:v>
                </c:pt>
                <c:pt idx="281">
                  <c:v>92922</c:v>
                </c:pt>
                <c:pt idx="282">
                  <c:v>93278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E-4DF8-B821-539CFD957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intercept val="11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Illinois!$V$2:$V$14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Illinois!$B$2:$B$14</c:f>
              <c:numCache>
                <c:formatCode>General</c:formatCode>
                <c:ptCount val="13"/>
                <c:pt idx="0">
                  <c:v>11</c:v>
                </c:pt>
                <c:pt idx="1">
                  <c:v>19</c:v>
                </c:pt>
                <c:pt idx="2">
                  <c:v>25</c:v>
                </c:pt>
                <c:pt idx="3">
                  <c:v>32</c:v>
                </c:pt>
                <c:pt idx="4">
                  <c:v>46</c:v>
                </c:pt>
                <c:pt idx="5">
                  <c:v>64</c:v>
                </c:pt>
                <c:pt idx="6">
                  <c:v>93</c:v>
                </c:pt>
                <c:pt idx="7">
                  <c:v>105</c:v>
                </c:pt>
                <c:pt idx="8">
                  <c:v>161</c:v>
                </c:pt>
                <c:pt idx="9">
                  <c:v>289</c:v>
                </c:pt>
                <c:pt idx="10">
                  <c:v>426</c:v>
                </c:pt>
                <c:pt idx="11">
                  <c:v>590</c:v>
                </c:pt>
                <c:pt idx="12">
                  <c:v>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47-40AC-B3C4-D74E39A31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728287"/>
        <c:axId val="136840975"/>
      </c:scatterChart>
      <c:valAx>
        <c:axId val="2125728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40975"/>
        <c:crosses val="autoZero"/>
        <c:crossBetween val="midCat"/>
      </c:valAx>
      <c:valAx>
        <c:axId val="136840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728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[0]!percent_positive</c:f>
              <c:numCache>
                <c:formatCode>0.0000%</c:formatCode>
                <c:ptCount val="283"/>
                <c:pt idx="0">
                  <c:v>8.6614173228346459E-7</c:v>
                </c:pt>
                <c:pt idx="1">
                  <c:v>1.4960629921259843E-6</c:v>
                </c:pt>
                <c:pt idx="2">
                  <c:v>1.9685039370078741E-6</c:v>
                </c:pt>
                <c:pt idx="3">
                  <c:v>2.5196850393700787E-6</c:v>
                </c:pt>
                <c:pt idx="4">
                  <c:v>3.6220472440944883E-6</c:v>
                </c:pt>
                <c:pt idx="5">
                  <c:v>5.0393700787401574E-6</c:v>
                </c:pt>
                <c:pt idx="6">
                  <c:v>7.3228346456692913E-6</c:v>
                </c:pt>
                <c:pt idx="7">
                  <c:v>8.267716535433071E-6</c:v>
                </c:pt>
                <c:pt idx="8">
                  <c:v>1.2677165354330709E-5</c:v>
                </c:pt>
                <c:pt idx="9">
                  <c:v>2.2755905511811022E-5</c:v>
                </c:pt>
                <c:pt idx="10">
                  <c:v>3.3543307086614174E-5</c:v>
                </c:pt>
                <c:pt idx="11">
                  <c:v>4.6456692913385825E-5</c:v>
                </c:pt>
                <c:pt idx="12">
                  <c:v>5.9763779527559056E-5</c:v>
                </c:pt>
                <c:pt idx="13">
                  <c:v>8.3307086614173225E-5</c:v>
                </c:pt>
                <c:pt idx="14">
                  <c:v>1.021259842519685E-4</c:v>
                </c:pt>
                <c:pt idx="15">
                  <c:v>1.221259842519685E-4</c:v>
                </c:pt>
                <c:pt idx="16">
                  <c:v>1.4834645669291338E-4</c:v>
                </c:pt>
                <c:pt idx="17">
                  <c:v>2.0188976377952757E-4</c:v>
                </c:pt>
                <c:pt idx="18">
                  <c:v>2.4094488188976379E-4</c:v>
                </c:pt>
                <c:pt idx="19">
                  <c:v>2.7858267716535432E-4</c:v>
                </c:pt>
                <c:pt idx="20">
                  <c:v>3.6700787401574805E-4</c:v>
                </c:pt>
                <c:pt idx="21">
                  <c:v>4.0393700787401572E-4</c:v>
                </c:pt>
                <c:pt idx="22">
                  <c:v>4.7976377952755906E-4</c:v>
                </c:pt>
                <c:pt idx="23">
                  <c:v>5.6070866141732286E-4</c:v>
                </c:pt>
                <c:pt idx="24">
                  <c:v>6.1826771653543302E-4</c:v>
                </c:pt>
                <c:pt idx="25">
                  <c:v>7.1763779527559053E-4</c:v>
                </c:pt>
                <c:pt idx="26">
                  <c:v>8.3464566929133857E-4</c:v>
                </c:pt>
                <c:pt idx="27">
                  <c:v>9.0787401574803149E-4</c:v>
                </c:pt>
                <c:pt idx="28">
                  <c:v>9.8968503937007873E-4</c:v>
                </c:pt>
                <c:pt idx="29">
                  <c:v>1.096771653543307E-3</c:v>
                </c:pt>
                <c:pt idx="30">
                  <c:v>1.2236220472440944E-3</c:v>
                </c:pt>
                <c:pt idx="31">
                  <c:v>1.3346456692913387E-3</c:v>
                </c:pt>
                <c:pt idx="32">
                  <c:v>1.4553543307086615E-3</c:v>
                </c:pt>
                <c:pt idx="33">
                  <c:v>1.5635433070866141E-3</c:v>
                </c:pt>
                <c:pt idx="34">
                  <c:v>1.6985826771653543E-3</c:v>
                </c:pt>
                <c:pt idx="35">
                  <c:v>1.7967716535433071E-3</c:v>
                </c:pt>
                <c:pt idx="36">
                  <c:v>1.8988188976377953E-3</c:v>
                </c:pt>
                <c:pt idx="37">
                  <c:v>2.0111023622047244E-3</c:v>
                </c:pt>
                <c:pt idx="38">
                  <c:v>2.1106299212598424E-3</c:v>
                </c:pt>
                <c:pt idx="39">
                  <c:v>2.2605511811023622E-3</c:v>
                </c:pt>
                <c:pt idx="40">
                  <c:v>2.3951968503937008E-3</c:v>
                </c:pt>
                <c:pt idx="41">
                  <c:v>2.4918897637795276E-3</c:v>
                </c:pt>
                <c:pt idx="42">
                  <c:v>2.5871653543307086E-3</c:v>
                </c:pt>
                <c:pt idx="43">
                  <c:v>2.7186614173228345E-3</c:v>
                </c:pt>
                <c:pt idx="44">
                  <c:v>2.8876377952755904E-3</c:v>
                </c:pt>
                <c:pt idx="45">
                  <c:v>3.0411023622047245E-3</c:v>
                </c:pt>
                <c:pt idx="46">
                  <c:v>3.264015748031496E-3</c:v>
                </c:pt>
                <c:pt idx="47">
                  <c:v>3.4370866141732286E-3</c:v>
                </c:pt>
                <c:pt idx="48">
                  <c:v>3.6091338582677165E-3</c:v>
                </c:pt>
                <c:pt idx="49">
                  <c:v>3.7689763779527557E-3</c:v>
                </c:pt>
                <c:pt idx="50">
                  <c:v>3.9548818897637795E-3</c:v>
                </c:pt>
                <c:pt idx="51">
                  <c:v>4.1393700787401575E-3</c:v>
                </c:pt>
                <c:pt idx="52">
                  <c:v>4.3522047244094492E-3</c:v>
                </c:pt>
                <c:pt idx="53">
                  <c:v>4.6072440944881889E-3</c:v>
                </c:pt>
                <c:pt idx="54">
                  <c:v>4.808188976377953E-3</c:v>
                </c:pt>
                <c:pt idx="55">
                  <c:v>5.0485826771653544E-3</c:v>
                </c:pt>
                <c:pt idx="56">
                  <c:v>5.2363779527559058E-3</c:v>
                </c:pt>
                <c:pt idx="57">
                  <c:v>5.417322834645669E-3</c:v>
                </c:pt>
                <c:pt idx="58">
                  <c:v>5.6067716535433071E-3</c:v>
                </c:pt>
                <c:pt idx="59">
                  <c:v>5.8255118110236218E-3</c:v>
                </c:pt>
                <c:pt idx="60">
                  <c:v>6.0630708661417324E-3</c:v>
                </c:pt>
                <c:pt idx="61">
                  <c:v>6.254645669291339E-3</c:v>
                </c:pt>
                <c:pt idx="62">
                  <c:v>6.3895275590551181E-3</c:v>
                </c:pt>
                <c:pt idx="63">
                  <c:v>6.4933858267716537E-3</c:v>
                </c:pt>
                <c:pt idx="64">
                  <c:v>6.8206299212598426E-3</c:v>
                </c:pt>
                <c:pt idx="65">
                  <c:v>6.9677165354330708E-3</c:v>
                </c:pt>
                <c:pt idx="66">
                  <c:v>7.2334645669291341E-3</c:v>
                </c:pt>
                <c:pt idx="67">
                  <c:v>7.4351968503937006E-3</c:v>
                </c:pt>
                <c:pt idx="68">
                  <c:v>7.6051968503937006E-3</c:v>
                </c:pt>
                <c:pt idx="69">
                  <c:v>7.7455118110236225E-3</c:v>
                </c:pt>
                <c:pt idx="70">
                  <c:v>7.9306299212598425E-3</c:v>
                </c:pt>
                <c:pt idx="71">
                  <c:v>8.0637007874015745E-3</c:v>
                </c:pt>
                <c:pt idx="72">
                  <c:v>8.2632283464566924E-3</c:v>
                </c:pt>
                <c:pt idx="73">
                  <c:v>8.4482677165354323E-3</c:v>
                </c:pt>
                <c:pt idx="74">
                  <c:v>8.6739370078740153E-3</c:v>
                </c:pt>
                <c:pt idx="75">
                  <c:v>8.8650393700787401E-3</c:v>
                </c:pt>
                <c:pt idx="76">
                  <c:v>9.0677165354330711E-3</c:v>
                </c:pt>
                <c:pt idx="77">
                  <c:v>9.2048031496062988E-3</c:v>
                </c:pt>
                <c:pt idx="78">
                  <c:v>9.3006299212598422E-3</c:v>
                </c:pt>
                <c:pt idx="79">
                  <c:v>9.4007086614173226E-3</c:v>
                </c:pt>
                <c:pt idx="80">
                  <c:v>9.5290551181102367E-3</c:v>
                </c:pt>
                <c:pt idx="81">
                  <c:v>9.6633858267716529E-3</c:v>
                </c:pt>
                <c:pt idx="82">
                  <c:v>9.7832283464566929E-3</c:v>
                </c:pt>
                <c:pt idx="83">
                  <c:v>9.8937007874015746E-3</c:v>
                </c:pt>
                <c:pt idx="84">
                  <c:v>9.9721259842519682E-3</c:v>
                </c:pt>
                <c:pt idx="85">
                  <c:v>1.0108110236220472E-2</c:v>
                </c:pt>
                <c:pt idx="86">
                  <c:v>1.0192992125984252E-2</c:v>
                </c:pt>
                <c:pt idx="87">
                  <c:v>1.02751968503937E-2</c:v>
                </c:pt>
                <c:pt idx="88">
                  <c:v>1.0370866141732283E-2</c:v>
                </c:pt>
                <c:pt idx="89">
                  <c:v>1.0453070866141733E-2</c:v>
                </c:pt>
                <c:pt idx="90">
                  <c:v>1.0524488188976378E-2</c:v>
                </c:pt>
                <c:pt idx="91">
                  <c:v>1.0577874015748032E-2</c:v>
                </c:pt>
                <c:pt idx="92">
                  <c:v>1.0648031496062992E-2</c:v>
                </c:pt>
                <c:pt idx="93">
                  <c:v>1.0703307086614173E-2</c:v>
                </c:pt>
                <c:pt idx="94">
                  <c:v>1.0770708661417322E-2</c:v>
                </c:pt>
                <c:pt idx="95">
                  <c:v>1.0823464566929134E-2</c:v>
                </c:pt>
                <c:pt idx="96">
                  <c:v>1.0878740157480315E-2</c:v>
                </c:pt>
                <c:pt idx="97">
                  <c:v>1.0933149606299212E-2</c:v>
                </c:pt>
                <c:pt idx="98">
                  <c:v>1.0971811023622047E-2</c:v>
                </c:pt>
                <c:pt idx="99">
                  <c:v>1.1026535433070866E-2</c:v>
                </c:pt>
                <c:pt idx="100">
                  <c:v>1.1076377952755906E-2</c:v>
                </c:pt>
                <c:pt idx="101">
                  <c:v>1.1127165354330708E-2</c:v>
                </c:pt>
                <c:pt idx="102">
                  <c:v>1.1185039370078741E-2</c:v>
                </c:pt>
                <c:pt idx="103">
                  <c:v>1.1238503937007874E-2</c:v>
                </c:pt>
                <c:pt idx="104">
                  <c:v>1.1292047244094489E-2</c:v>
                </c:pt>
                <c:pt idx="105">
                  <c:v>1.133031496062992E-2</c:v>
                </c:pt>
                <c:pt idx="106">
                  <c:v>1.1380472440944882E-2</c:v>
                </c:pt>
                <c:pt idx="107">
                  <c:v>1.1441732283464567E-2</c:v>
                </c:pt>
                <c:pt idx="108">
                  <c:v>1.1515275590551181E-2</c:v>
                </c:pt>
                <c:pt idx="109">
                  <c:v>1.1585669291338583E-2</c:v>
                </c:pt>
                <c:pt idx="110">
                  <c:v>1.1649606299212599E-2</c:v>
                </c:pt>
                <c:pt idx="111">
                  <c:v>1.1701653543307086E-2</c:v>
                </c:pt>
                <c:pt idx="112">
                  <c:v>1.1760866141732284E-2</c:v>
                </c:pt>
                <c:pt idx="113">
                  <c:v>1.1819527559055118E-2</c:v>
                </c:pt>
                <c:pt idx="114">
                  <c:v>1.1886929133858267E-2</c:v>
                </c:pt>
                <c:pt idx="115">
                  <c:v>1.1958188976377952E-2</c:v>
                </c:pt>
                <c:pt idx="116">
                  <c:v>1.2027952755905512E-2</c:v>
                </c:pt>
                <c:pt idx="117">
                  <c:v>1.2096535433070866E-2</c:v>
                </c:pt>
                <c:pt idx="118">
                  <c:v>1.2147322834645669E-2</c:v>
                </c:pt>
                <c:pt idx="119">
                  <c:v>1.2196141732283465E-2</c:v>
                </c:pt>
                <c:pt idx="120">
                  <c:v>1.2245275590551181E-2</c:v>
                </c:pt>
                <c:pt idx="121">
                  <c:v>1.2325275590551181E-2</c:v>
                </c:pt>
                <c:pt idx="122">
                  <c:v>1.2407007874015748E-2</c:v>
                </c:pt>
                <c:pt idx="123">
                  <c:v>1.2512677165354331E-2</c:v>
                </c:pt>
                <c:pt idx="124">
                  <c:v>1.2608661417322834E-2</c:v>
                </c:pt>
                <c:pt idx="125">
                  <c:v>1.2685275590551182E-2</c:v>
                </c:pt>
                <c:pt idx="126">
                  <c:v>1.2755275590551181E-2</c:v>
                </c:pt>
                <c:pt idx="127">
                  <c:v>1.2812913385826772E-2</c:v>
                </c:pt>
                <c:pt idx="128">
                  <c:v>1.2907007874015749E-2</c:v>
                </c:pt>
                <c:pt idx="129">
                  <c:v>1.3007952755905512E-2</c:v>
                </c:pt>
                <c:pt idx="130">
                  <c:v>1.3118582677165353E-2</c:v>
                </c:pt>
                <c:pt idx="131">
                  <c:v>1.3220472440944882E-2</c:v>
                </c:pt>
                <c:pt idx="132">
                  <c:v>1.3296850393700788E-2</c:v>
                </c:pt>
                <c:pt idx="133">
                  <c:v>1.3389685039370079E-2</c:v>
                </c:pt>
                <c:pt idx="134">
                  <c:v>1.3466692913385828E-2</c:v>
                </c:pt>
                <c:pt idx="135">
                  <c:v>1.3594330708661418E-2</c:v>
                </c:pt>
                <c:pt idx="136">
                  <c:v>1.3723779527559056E-2</c:v>
                </c:pt>
                <c:pt idx="137">
                  <c:v>1.3845826771653543E-2</c:v>
                </c:pt>
                <c:pt idx="138">
                  <c:v>1.3959055118110237E-2</c:v>
                </c:pt>
                <c:pt idx="139">
                  <c:v>1.4080472440944881E-2</c:v>
                </c:pt>
                <c:pt idx="140">
                  <c:v>1.4178818897637795E-2</c:v>
                </c:pt>
                <c:pt idx="141">
                  <c:v>1.4265905511811023E-2</c:v>
                </c:pt>
                <c:pt idx="142">
                  <c:v>1.4376850393700787E-2</c:v>
                </c:pt>
                <c:pt idx="143">
                  <c:v>1.451763779527559E-2</c:v>
                </c:pt>
                <c:pt idx="144">
                  <c:v>1.4671811023622047E-2</c:v>
                </c:pt>
                <c:pt idx="145">
                  <c:v>1.4801496062992126E-2</c:v>
                </c:pt>
                <c:pt idx="146">
                  <c:v>1.4918110236220472E-2</c:v>
                </c:pt>
                <c:pt idx="147">
                  <c:v>1.5021023622047243E-2</c:v>
                </c:pt>
                <c:pt idx="148">
                  <c:v>1.5138346456692913E-2</c:v>
                </c:pt>
                <c:pt idx="149">
                  <c:v>1.5279055118110237E-2</c:v>
                </c:pt>
                <c:pt idx="150">
                  <c:v>1.5434488188976378E-2</c:v>
                </c:pt>
                <c:pt idx="151">
                  <c:v>1.560007874015748E-2</c:v>
                </c:pt>
                <c:pt idx="152">
                  <c:v>1.5773937007874016E-2</c:v>
                </c:pt>
                <c:pt idx="153">
                  <c:v>1.5883149606299211E-2</c:v>
                </c:pt>
                <c:pt idx="154">
                  <c:v>1.5987086614173227E-2</c:v>
                </c:pt>
                <c:pt idx="155">
                  <c:v>1.6110629921259844E-2</c:v>
                </c:pt>
                <c:pt idx="156">
                  <c:v>1.6241338582677164E-2</c:v>
                </c:pt>
                <c:pt idx="157">
                  <c:v>1.6387637795275592E-2</c:v>
                </c:pt>
                <c:pt idx="158">
                  <c:v>1.6567874015748031E-2</c:v>
                </c:pt>
                <c:pt idx="159">
                  <c:v>1.671220472440945E-2</c:v>
                </c:pt>
                <c:pt idx="160">
                  <c:v>1.6836614173228348E-2</c:v>
                </c:pt>
                <c:pt idx="161">
                  <c:v>1.697716535433071E-2</c:v>
                </c:pt>
                <c:pt idx="162">
                  <c:v>1.7116141732283464E-2</c:v>
                </c:pt>
                <c:pt idx="163">
                  <c:v>1.7298818897637794E-2</c:v>
                </c:pt>
                <c:pt idx="164">
                  <c:v>1.74451968503937E-2</c:v>
                </c:pt>
                <c:pt idx="165">
                  <c:v>1.7620944881889762E-2</c:v>
                </c:pt>
                <c:pt idx="166">
                  <c:v>1.7807795275590552E-2</c:v>
                </c:pt>
                <c:pt idx="167">
                  <c:v>1.795732283464567E-2</c:v>
                </c:pt>
                <c:pt idx="168">
                  <c:v>1.8084881889763781E-2</c:v>
                </c:pt>
                <c:pt idx="169">
                  <c:v>1.8219448818897636E-2</c:v>
                </c:pt>
                <c:pt idx="170">
                  <c:v>1.8392204724409448E-2</c:v>
                </c:pt>
                <c:pt idx="171">
                  <c:v>1.8528425196850395E-2</c:v>
                </c:pt>
                <c:pt idx="172">
                  <c:v>1.8699212598425198E-2</c:v>
                </c:pt>
                <c:pt idx="173">
                  <c:v>1.8848110236220472E-2</c:v>
                </c:pt>
                <c:pt idx="174">
                  <c:v>1.9005826771653543E-2</c:v>
                </c:pt>
                <c:pt idx="175">
                  <c:v>1.9137716535433072E-2</c:v>
                </c:pt>
                <c:pt idx="176">
                  <c:v>1.9258188976377953E-2</c:v>
                </c:pt>
                <c:pt idx="177">
                  <c:v>1.9427874015748033E-2</c:v>
                </c:pt>
                <c:pt idx="178">
                  <c:v>1.9536850393700789E-2</c:v>
                </c:pt>
                <c:pt idx="179">
                  <c:v>1.9961732283464567E-2</c:v>
                </c:pt>
                <c:pt idx="180">
                  <c:v>2.0184488188976377E-2</c:v>
                </c:pt>
                <c:pt idx="181">
                  <c:v>2.029535433070866E-2</c:v>
                </c:pt>
                <c:pt idx="182">
                  <c:v>2.0404724409448818E-2</c:v>
                </c:pt>
                <c:pt idx="183">
                  <c:v>2.0514881889763779E-2</c:v>
                </c:pt>
                <c:pt idx="184">
                  <c:v>2.0622362204724409E-2</c:v>
                </c:pt>
                <c:pt idx="185">
                  <c:v>2.0778346456692912E-2</c:v>
                </c:pt>
                <c:pt idx="186">
                  <c:v>2.0949685039370079E-2</c:v>
                </c:pt>
                <c:pt idx="187">
                  <c:v>2.1118425196850393E-2</c:v>
                </c:pt>
                <c:pt idx="188">
                  <c:v>2.1234645669291338E-2</c:v>
                </c:pt>
                <c:pt idx="189">
                  <c:v>2.1343149606299211E-2</c:v>
                </c:pt>
                <c:pt idx="190">
                  <c:v>2.146E-2</c:v>
                </c:pt>
                <c:pt idx="191">
                  <c:v>2.1615590551181101E-2</c:v>
                </c:pt>
                <c:pt idx="192">
                  <c:v>2.1779448818897637E-2</c:v>
                </c:pt>
                <c:pt idx="193">
                  <c:v>2.1947874015748031E-2</c:v>
                </c:pt>
                <c:pt idx="194">
                  <c:v>2.2148976377952757E-2</c:v>
                </c:pt>
                <c:pt idx="195">
                  <c:v>2.2260472440944881E-2</c:v>
                </c:pt>
                <c:pt idx="196">
                  <c:v>2.237732283464567E-2</c:v>
                </c:pt>
                <c:pt idx="197">
                  <c:v>2.2500157480314961E-2</c:v>
                </c:pt>
                <c:pt idx="198">
                  <c:v>2.2647401574803151E-2</c:v>
                </c:pt>
                <c:pt idx="199">
                  <c:v>2.2827480314960631E-2</c:v>
                </c:pt>
                <c:pt idx="200">
                  <c:v>2.3027401574803149E-2</c:v>
                </c:pt>
                <c:pt idx="201">
                  <c:v>2.3221574803149608E-2</c:v>
                </c:pt>
                <c:pt idx="202">
                  <c:v>2.3348897637795275E-2</c:v>
                </c:pt>
                <c:pt idx="203">
                  <c:v>2.3484488188976377E-2</c:v>
                </c:pt>
                <c:pt idx="204">
                  <c:v>2.3593543307086615E-2</c:v>
                </c:pt>
                <c:pt idx="205">
                  <c:v>2.3775275590551183E-2</c:v>
                </c:pt>
                <c:pt idx="206">
                  <c:v>2.394771653543307E-2</c:v>
                </c:pt>
                <c:pt idx="207">
                  <c:v>2.412511811023622E-2</c:v>
                </c:pt>
                <c:pt idx="208">
                  <c:v>2.4319842519685039E-2</c:v>
                </c:pt>
                <c:pt idx="209">
                  <c:v>2.4435590551181101E-2</c:v>
                </c:pt>
                <c:pt idx="210">
                  <c:v>2.4582598425196851E-2</c:v>
                </c:pt>
                <c:pt idx="211">
                  <c:v>2.4712362204724409E-2</c:v>
                </c:pt>
                <c:pt idx="212">
                  <c:v>2.4922755905511813E-2</c:v>
                </c:pt>
                <c:pt idx="213">
                  <c:v>2.5166141732283466E-2</c:v>
                </c:pt>
                <c:pt idx="214">
                  <c:v>2.5390787401574803E-2</c:v>
                </c:pt>
                <c:pt idx="215">
                  <c:v>2.5621889763779528E-2</c:v>
                </c:pt>
                <c:pt idx="216">
                  <c:v>2.5837322834645668E-2</c:v>
                </c:pt>
                <c:pt idx="217">
                  <c:v>2.6054251968503937E-2</c:v>
                </c:pt>
                <c:pt idx="218">
                  <c:v>2.6281023622047244E-2</c:v>
                </c:pt>
                <c:pt idx="219">
                  <c:v>2.6510157480314961E-2</c:v>
                </c:pt>
                <c:pt idx="220">
                  <c:v>2.6830472440944882E-2</c:v>
                </c:pt>
                <c:pt idx="221">
                  <c:v>2.7192047244094488E-2</c:v>
                </c:pt>
                <c:pt idx="222">
                  <c:v>2.747992125984252E-2</c:v>
                </c:pt>
                <c:pt idx="223">
                  <c:v>2.7815905511811023E-2</c:v>
                </c:pt>
                <c:pt idx="224">
                  <c:v>2.806275590551181E-2</c:v>
                </c:pt>
                <c:pt idx="225">
                  <c:v>2.8358425196850393E-2</c:v>
                </c:pt>
                <c:pt idx="226">
                  <c:v>2.8705669291338581E-2</c:v>
                </c:pt>
                <c:pt idx="227">
                  <c:v>2.9098110236220474E-2</c:v>
                </c:pt>
                <c:pt idx="228">
                  <c:v>2.9405590551181103E-2</c:v>
                </c:pt>
                <c:pt idx="229">
                  <c:v>2.9895669291338581E-2</c:v>
                </c:pt>
                <c:pt idx="230">
                  <c:v>3.0217401574803151E-2</c:v>
                </c:pt>
                <c:pt idx="231">
                  <c:v>3.0591102362204723E-2</c:v>
                </c:pt>
                <c:pt idx="232">
                  <c:v>3.0909685039370079E-2</c:v>
                </c:pt>
                <c:pt idx="233">
                  <c:v>3.1394803149606298E-2</c:v>
                </c:pt>
                <c:pt idx="234">
                  <c:v>3.1900236220472444E-2</c:v>
                </c:pt>
                <c:pt idx="235">
                  <c:v>3.244976377952756E-2</c:v>
                </c:pt>
                <c:pt idx="236">
                  <c:v>3.3075354330708663E-2</c:v>
                </c:pt>
                <c:pt idx="237">
                  <c:v>3.3627716535433068E-2</c:v>
                </c:pt>
                <c:pt idx="238">
                  <c:v>3.4119055118110239E-2</c:v>
                </c:pt>
                <c:pt idx="239">
                  <c:v>3.4637480314960632E-2</c:v>
                </c:pt>
                <c:pt idx="240">
                  <c:v>3.5235354330708658E-2</c:v>
                </c:pt>
                <c:pt idx="241">
                  <c:v>3.602527559055118E-2</c:v>
                </c:pt>
                <c:pt idx="242">
                  <c:v>3.7450314960629921E-2</c:v>
                </c:pt>
                <c:pt idx="243">
                  <c:v>3.8435590551181099E-2</c:v>
                </c:pt>
                <c:pt idx="244">
                  <c:v>3.922700787401575E-2</c:v>
                </c:pt>
                <c:pt idx="245">
                  <c:v>4.006062992125984E-2</c:v>
                </c:pt>
                <c:pt idx="246">
                  <c:v>4.1060787401574803E-2</c:v>
                </c:pt>
                <c:pt idx="247">
                  <c:v>4.2068818897637798E-2</c:v>
                </c:pt>
                <c:pt idx="248">
                  <c:v>4.3072362204724407E-2</c:v>
                </c:pt>
                <c:pt idx="249">
                  <c:v>4.4288267716535434E-2</c:v>
                </c:pt>
                <c:pt idx="250">
                  <c:v>4.5169685039370078E-2</c:v>
                </c:pt>
                <c:pt idx="251">
                  <c:v>4.601244094488189E-2</c:v>
                </c:pt>
                <c:pt idx="252">
                  <c:v>4.6931259842519682E-2</c:v>
                </c:pt>
                <c:pt idx="253">
                  <c:v>4.7931023622047243E-2</c:v>
                </c:pt>
                <c:pt idx="254">
                  <c:v>4.8644488188976376E-2</c:v>
                </c:pt>
                <c:pt idx="255">
                  <c:v>4.9807952755905514E-2</c:v>
                </c:pt>
                <c:pt idx="256">
                  <c:v>5.0842440944881891E-2</c:v>
                </c:pt>
                <c:pt idx="257">
                  <c:v>5.1788661417322836E-2</c:v>
                </c:pt>
                <c:pt idx="258">
                  <c:v>5.2582992125984253E-2</c:v>
                </c:pt>
                <c:pt idx="259">
                  <c:v>5.3241889763779526E-2</c:v>
                </c:pt>
                <c:pt idx="260">
                  <c:v>5.3997322834645672E-2</c:v>
                </c:pt>
                <c:pt idx="261">
                  <c:v>5.4905433070866143E-2</c:v>
                </c:pt>
                <c:pt idx="262">
                  <c:v>5.586236220472441E-2</c:v>
                </c:pt>
                <c:pt idx="263">
                  <c:v>5.6463937007874013E-2</c:v>
                </c:pt>
                <c:pt idx="264">
                  <c:v>5.7092362204724412E-2</c:v>
                </c:pt>
                <c:pt idx="265">
                  <c:v>5.7661968503937011E-2</c:v>
                </c:pt>
                <c:pt idx="266">
                  <c:v>5.8156062992125987E-2</c:v>
                </c:pt>
                <c:pt idx="267">
                  <c:v>5.9153464566929131E-2</c:v>
                </c:pt>
                <c:pt idx="268">
                  <c:v>5.9940314960629924E-2</c:v>
                </c:pt>
                <c:pt idx="269">
                  <c:v>6.081826771653543E-2</c:v>
                </c:pt>
                <c:pt idx="270">
                  <c:v>6.1658425196850393E-2</c:v>
                </c:pt>
                <c:pt idx="271">
                  <c:v>6.2453070866141734E-2</c:v>
                </c:pt>
                <c:pt idx="272">
                  <c:v>6.3057322834645671E-2</c:v>
                </c:pt>
                <c:pt idx="273">
                  <c:v>6.374858267716535E-2</c:v>
                </c:pt>
                <c:pt idx="274">
                  <c:v>6.4382755905511804E-2</c:v>
                </c:pt>
                <c:pt idx="275">
                  <c:v>6.5046929133858261E-2</c:v>
                </c:pt>
                <c:pt idx="276">
                  <c:v>6.5936377952755906E-2</c:v>
                </c:pt>
                <c:pt idx="277">
                  <c:v>6.6692992125984257E-2</c:v>
                </c:pt>
                <c:pt idx="278">
                  <c:v>6.7390866141732286E-2</c:v>
                </c:pt>
                <c:pt idx="279">
                  <c:v>6.7968110236220472E-2</c:v>
                </c:pt>
                <c:pt idx="280">
                  <c:v>6.854425196850393E-2</c:v>
                </c:pt>
                <c:pt idx="281">
                  <c:v>6.9132755905511808E-2</c:v>
                </c:pt>
                <c:pt idx="282">
                  <c:v>6.9705118110236219E-2</c:v>
                </c:pt>
              </c:numCache>
            </c:numRef>
          </c:xVal>
          <c:yVal>
            <c:numRef>
              <c:f>[0]!percent_increase</c:f>
              <c:numCache>
                <c:formatCode>0.0%</c:formatCode>
                <c:ptCount val="283"/>
                <c:pt idx="1">
                  <c:v>0.72727272727272729</c:v>
                </c:pt>
                <c:pt idx="2">
                  <c:v>0.31578947368421062</c:v>
                </c:pt>
                <c:pt idx="3">
                  <c:v>0.28000000000000003</c:v>
                </c:pt>
                <c:pt idx="4">
                  <c:v>0.4375</c:v>
                </c:pt>
                <c:pt idx="5">
                  <c:v>0.39130434782608692</c:v>
                </c:pt>
                <c:pt idx="6">
                  <c:v>0.453125</c:v>
                </c:pt>
                <c:pt idx="7">
                  <c:v>0.12903225806451624</c:v>
                </c:pt>
                <c:pt idx="8">
                  <c:v>0.53333333333333344</c:v>
                </c:pt>
                <c:pt idx="9">
                  <c:v>0.79503105590062106</c:v>
                </c:pt>
                <c:pt idx="10">
                  <c:v>0.47404844290657433</c:v>
                </c:pt>
                <c:pt idx="11">
                  <c:v>0.38497652582159625</c:v>
                </c:pt>
                <c:pt idx="12">
                  <c:v>0.28644067796610173</c:v>
                </c:pt>
                <c:pt idx="13">
                  <c:v>0.39393939393939403</c:v>
                </c:pt>
                <c:pt idx="14">
                  <c:v>0.22589792060491498</c:v>
                </c:pt>
                <c:pt idx="15">
                  <c:v>0.19583654587509636</c:v>
                </c:pt>
                <c:pt idx="16">
                  <c:v>0.2147001934235977</c:v>
                </c:pt>
                <c:pt idx="17">
                  <c:v>0.36093418259023347</c:v>
                </c:pt>
                <c:pt idx="18">
                  <c:v>0.1934477379095163</c:v>
                </c:pt>
                <c:pt idx="19">
                  <c:v>0.15620915032679727</c:v>
                </c:pt>
                <c:pt idx="20">
                  <c:v>0.31741096664782353</c:v>
                </c:pt>
                <c:pt idx="21">
                  <c:v>0.10062218408066936</c:v>
                </c:pt>
                <c:pt idx="22">
                  <c:v>0.18771929824561395</c:v>
                </c:pt>
                <c:pt idx="23">
                  <c:v>0.16871820121450853</c:v>
                </c:pt>
                <c:pt idx="24">
                  <c:v>0.10265412161213305</c:v>
                </c:pt>
                <c:pt idx="25">
                  <c:v>0.16072338257768726</c:v>
                </c:pt>
                <c:pt idx="26">
                  <c:v>0.16304586350669292</c:v>
                </c:pt>
                <c:pt idx="27">
                  <c:v>8.773584905660381E-2</c:v>
                </c:pt>
                <c:pt idx="28">
                  <c:v>9.0112749349523069E-2</c:v>
                </c:pt>
                <c:pt idx="29">
                  <c:v>0.10820272098018946</c:v>
                </c:pt>
                <c:pt idx="30">
                  <c:v>0.11565797975446901</c:v>
                </c:pt>
                <c:pt idx="31">
                  <c:v>9.0733590733590663E-2</c:v>
                </c:pt>
                <c:pt idx="32">
                  <c:v>9.0442477876106153E-2</c:v>
                </c:pt>
                <c:pt idx="33">
                  <c:v>7.4338581399123527E-2</c:v>
                </c:pt>
                <c:pt idx="34">
                  <c:v>8.6367527823941082E-2</c:v>
                </c:pt>
                <c:pt idx="35">
                  <c:v>5.7806415724086735E-2</c:v>
                </c:pt>
                <c:pt idx="36">
                  <c:v>5.6794776282922177E-2</c:v>
                </c:pt>
                <c:pt idx="37">
                  <c:v>5.9133319510678017E-2</c:v>
                </c:pt>
                <c:pt idx="38">
                  <c:v>4.9489056810618326E-2</c:v>
                </c:pt>
                <c:pt idx="39">
                  <c:v>7.1031523969408594E-2</c:v>
                </c:pt>
                <c:pt idx="40">
                  <c:v>5.956320317670416E-2</c:v>
                </c:pt>
                <c:pt idx="41">
                  <c:v>4.0369505900917257E-2</c:v>
                </c:pt>
                <c:pt idx="42">
                  <c:v>3.82342718109141E-2</c:v>
                </c:pt>
                <c:pt idx="43">
                  <c:v>5.0826307940469384E-2</c:v>
                </c:pt>
                <c:pt idx="44">
                  <c:v>6.2154256089437254E-2</c:v>
                </c:pt>
                <c:pt idx="45">
                  <c:v>5.3145365800452593E-2</c:v>
                </c:pt>
                <c:pt idx="46">
                  <c:v>7.3300191600642162E-2</c:v>
                </c:pt>
                <c:pt idx="47">
                  <c:v>5.3023906593008929E-2</c:v>
                </c:pt>
                <c:pt idx="48">
                  <c:v>5.0056127007399587E-2</c:v>
                </c:pt>
                <c:pt idx="49">
                  <c:v>4.4288332315210788E-2</c:v>
                </c:pt>
                <c:pt idx="50">
                  <c:v>4.9325199515313667E-2</c:v>
                </c:pt>
                <c:pt idx="51">
                  <c:v>4.6648217094391375E-2</c:v>
                </c:pt>
                <c:pt idx="52">
                  <c:v>5.1417158074947622E-2</c:v>
                </c:pt>
                <c:pt idx="53">
                  <c:v>5.8600039802435111E-2</c:v>
                </c:pt>
                <c:pt idx="54">
                  <c:v>4.361498496034999E-2</c:v>
                </c:pt>
                <c:pt idx="55">
                  <c:v>4.9996724747805477E-2</c:v>
                </c:pt>
                <c:pt idx="56">
                  <c:v>3.7197623095278853E-2</c:v>
                </c:pt>
                <c:pt idx="57">
                  <c:v>3.4555351718745353E-2</c:v>
                </c:pt>
                <c:pt idx="58">
                  <c:v>3.497093023255804E-2</c:v>
                </c:pt>
                <c:pt idx="59">
                  <c:v>3.9013566272505074E-2</c:v>
                </c:pt>
                <c:pt idx="60">
                  <c:v>4.0779087370242273E-2</c:v>
                </c:pt>
                <c:pt idx="61">
                  <c:v>3.1596992246853972E-2</c:v>
                </c:pt>
                <c:pt idx="62">
                  <c:v>2.1565072890701753E-2</c:v>
                </c:pt>
                <c:pt idx="63">
                  <c:v>1.6254451797355518E-2</c:v>
                </c:pt>
                <c:pt idx="64">
                  <c:v>5.0396527053573559E-2</c:v>
                </c:pt>
                <c:pt idx="65">
                  <c:v>2.1564960402669087E-2</c:v>
                </c:pt>
                <c:pt idx="66">
                  <c:v>3.8139902813877358E-2</c:v>
                </c:pt>
                <c:pt idx="67">
                  <c:v>2.7888749795896173E-2</c:v>
                </c:pt>
                <c:pt idx="68">
                  <c:v>2.2864223156512375E-2</c:v>
                </c:pt>
                <c:pt idx="69">
                  <c:v>1.8449878864431613E-2</c:v>
                </c:pt>
                <c:pt idx="70">
                  <c:v>2.3900048796356543E-2</c:v>
                </c:pt>
                <c:pt idx="71">
                  <c:v>1.6779356427287784E-2</c:v>
                </c:pt>
                <c:pt idx="72">
                  <c:v>2.4743918991494862E-2</c:v>
                </c:pt>
                <c:pt idx="73">
                  <c:v>2.2393108639928272E-2</c:v>
                </c:pt>
                <c:pt idx="74">
                  <c:v>2.6711901055986864E-2</c:v>
                </c:pt>
                <c:pt idx="75">
                  <c:v>2.2031790412040841E-2</c:v>
                </c:pt>
                <c:pt idx="76">
                  <c:v>2.2862522871405E-2</c:v>
                </c:pt>
                <c:pt idx="77">
                  <c:v>1.5118096561306027E-2</c:v>
                </c:pt>
                <c:pt idx="78">
                  <c:v>1.0410518301810834E-2</c:v>
                </c:pt>
                <c:pt idx="79">
                  <c:v>1.0760426014663205E-2</c:v>
                </c:pt>
                <c:pt idx="80">
                  <c:v>1.3652849089949681E-2</c:v>
                </c:pt>
                <c:pt idx="81">
                  <c:v>1.4096959981490409E-2</c:v>
                </c:pt>
                <c:pt idx="82">
                  <c:v>1.2401711142798977E-2</c:v>
                </c:pt>
                <c:pt idx="83">
                  <c:v>1.1292023147440267E-2</c:v>
                </c:pt>
                <c:pt idx="84">
                  <c:v>7.9267807401512957E-3</c:v>
                </c:pt>
                <c:pt idx="85">
                  <c:v>1.363643541841042E-2</c:v>
                </c:pt>
                <c:pt idx="86">
                  <c:v>8.397404438628131E-3</c:v>
                </c:pt>
                <c:pt idx="87">
                  <c:v>8.0648276181720657E-3</c:v>
                </c:pt>
                <c:pt idx="88">
                  <c:v>9.310701559446688E-3</c:v>
                </c:pt>
                <c:pt idx="89">
                  <c:v>7.9265052008199444E-3</c:v>
                </c:pt>
                <c:pt idx="90">
                  <c:v>6.8321858475073327E-3</c:v>
                </c:pt>
                <c:pt idx="91">
                  <c:v>5.0725342470878676E-3</c:v>
                </c:pt>
                <c:pt idx="92">
                  <c:v>6.6324745606265445E-3</c:v>
                </c:pt>
                <c:pt idx="93">
                  <c:v>5.1911558086223941E-3</c:v>
                </c:pt>
                <c:pt idx="94">
                  <c:v>6.2972662801989987E-3</c:v>
                </c:pt>
                <c:pt idx="95">
                  <c:v>4.8980904757727206E-3</c:v>
                </c:pt>
                <c:pt idx="96">
                  <c:v>5.1070145062492855E-3</c:v>
                </c:pt>
                <c:pt idx="97">
                  <c:v>5.0014475969890615E-3</c:v>
                </c:pt>
                <c:pt idx="98">
                  <c:v>3.5361646657208201E-3</c:v>
                </c:pt>
                <c:pt idx="99">
                  <c:v>4.9877280360550724E-3</c:v>
                </c:pt>
                <c:pt idx="100">
                  <c:v>4.520233938173579E-3</c:v>
                </c:pt>
                <c:pt idx="101">
                  <c:v>4.5851994028578424E-3</c:v>
                </c:pt>
                <c:pt idx="102">
                  <c:v>5.2011463751193698E-3</c:v>
                </c:pt>
                <c:pt idx="103">
                  <c:v>4.7800070397747696E-3</c:v>
                </c:pt>
                <c:pt idx="104">
                  <c:v>4.764273553377274E-3</c:v>
                </c:pt>
                <c:pt idx="105">
                  <c:v>3.3889086459009121E-3</c:v>
                </c:pt>
                <c:pt idx="106">
                  <c:v>4.4268390145592029E-3</c:v>
                </c:pt>
                <c:pt idx="107">
                  <c:v>5.3828909860791363E-3</c:v>
                </c:pt>
                <c:pt idx="108">
                  <c:v>6.4276374647305179E-3</c:v>
                </c:pt>
                <c:pt idx="109">
                  <c:v>6.113071305489548E-3</c:v>
                </c:pt>
                <c:pt idx="110">
                  <c:v>5.5186287702699843E-3</c:v>
                </c:pt>
                <c:pt idx="111">
                  <c:v>4.4677255829672635E-3</c:v>
                </c:pt>
                <c:pt idx="112">
                  <c:v>5.0601906992080448E-3</c:v>
                </c:pt>
                <c:pt idx="113">
                  <c:v>4.987848396189154E-3</c:v>
                </c:pt>
                <c:pt idx="114">
                  <c:v>5.7025608228742364E-3</c:v>
                </c:pt>
                <c:pt idx="115">
                  <c:v>5.9948067088841928E-3</c:v>
                </c:pt>
                <c:pt idx="116">
                  <c:v>5.8339753340048706E-3</c:v>
                </c:pt>
                <c:pt idx="117">
                  <c:v>5.701941016660772E-3</c:v>
                </c:pt>
                <c:pt idx="118">
                  <c:v>4.1985080650410733E-3</c:v>
                </c:pt>
                <c:pt idx="119">
                  <c:v>4.0189018026719481E-3</c:v>
                </c:pt>
                <c:pt idx="120">
                  <c:v>4.028639494870534E-3</c:v>
                </c:pt>
                <c:pt idx="121">
                  <c:v>6.5331318522328097E-3</c:v>
                </c:pt>
                <c:pt idx="122">
                  <c:v>6.6312743162695309E-3</c:v>
                </c:pt>
                <c:pt idx="123">
                  <c:v>8.5169037056782582E-3</c:v>
                </c:pt>
                <c:pt idx="124">
                  <c:v>7.6709604747311477E-3</c:v>
                </c:pt>
                <c:pt idx="125">
                  <c:v>6.0763129956908912E-3</c:v>
                </c:pt>
                <c:pt idx="126">
                  <c:v>5.5182088477558899E-3</c:v>
                </c:pt>
                <c:pt idx="127">
                  <c:v>4.5187416662550994E-3</c:v>
                </c:pt>
                <c:pt idx="128">
                  <c:v>7.3437231139843462E-3</c:v>
                </c:pt>
                <c:pt idx="129">
                  <c:v>7.8209359500729381E-3</c:v>
                </c:pt>
                <c:pt idx="130">
                  <c:v>8.5047911332256643E-3</c:v>
                </c:pt>
                <c:pt idx="131">
                  <c:v>7.7668271250734833E-3</c:v>
                </c:pt>
                <c:pt idx="132">
                  <c:v>5.7772483621203463E-3</c:v>
                </c:pt>
                <c:pt idx="133">
                  <c:v>6.9817019008704406E-3</c:v>
                </c:pt>
                <c:pt idx="134">
                  <c:v>5.7512834535928814E-3</c:v>
                </c:pt>
                <c:pt idx="135">
                  <c:v>9.4780356318007186E-3</c:v>
                </c:pt>
                <c:pt idx="136">
                  <c:v>9.5222649552846317E-3</c:v>
                </c:pt>
                <c:pt idx="137">
                  <c:v>8.8931218874073181E-3</c:v>
                </c:pt>
                <c:pt idx="138">
                  <c:v>8.1777959759330443E-3</c:v>
                </c:pt>
                <c:pt idx="139">
                  <c:v>8.6981046931406958E-3</c:v>
                </c:pt>
                <c:pt idx="140">
                  <c:v>6.9845992103880761E-3</c:v>
                </c:pt>
                <c:pt idx="141">
                  <c:v>6.1420217580843151E-3</c:v>
                </c:pt>
                <c:pt idx="142">
                  <c:v>7.7769253271662286E-3</c:v>
                </c:pt>
                <c:pt idx="143">
                  <c:v>9.7926456573889098E-3</c:v>
                </c:pt>
                <c:pt idx="144">
                  <c:v>1.0619718615423102E-2</c:v>
                </c:pt>
                <c:pt idx="145">
                  <c:v>8.8390614601894235E-3</c:v>
                </c:pt>
                <c:pt idx="146">
                  <c:v>7.878539624107006E-3</c:v>
                </c:pt>
                <c:pt idx="147">
                  <c:v>6.8985537844399314E-3</c:v>
                </c:pt>
                <c:pt idx="148">
                  <c:v>7.8105752043067245E-3</c:v>
                </c:pt>
                <c:pt idx="149">
                  <c:v>9.2948501224923152E-3</c:v>
                </c:pt>
                <c:pt idx="150">
                  <c:v>1.0172950464843122E-2</c:v>
                </c:pt>
                <c:pt idx="151">
                  <c:v>1.0728606556540621E-2</c:v>
                </c:pt>
                <c:pt idx="152">
                  <c:v>1.1144704498765812E-2</c:v>
                </c:pt>
                <c:pt idx="153">
                  <c:v>6.9236106604635417E-3</c:v>
                </c:pt>
                <c:pt idx="154">
                  <c:v>6.5438537349540304E-3</c:v>
                </c:pt>
                <c:pt idx="155">
                  <c:v>7.7276936109853533E-3</c:v>
                </c:pt>
                <c:pt idx="156">
                  <c:v>8.1131937147185251E-3</c:v>
                </c:pt>
                <c:pt idx="157">
                  <c:v>9.0078297335951518E-3</c:v>
                </c:pt>
                <c:pt idx="158">
                  <c:v>1.0998303887604921E-2</c:v>
                </c:pt>
                <c:pt idx="159">
                  <c:v>8.7114803338212976E-3</c:v>
                </c:pt>
                <c:pt idx="160">
                  <c:v>7.4442271902754875E-3</c:v>
                </c:pt>
                <c:pt idx="161">
                  <c:v>8.3479480883901225E-3</c:v>
                </c:pt>
                <c:pt idx="162">
                  <c:v>8.1860767125829792E-3</c:v>
                </c:pt>
                <c:pt idx="163">
                  <c:v>1.0672800460034493E-2</c:v>
                </c:pt>
                <c:pt idx="164">
                  <c:v>8.4617310362093967E-3</c:v>
                </c:pt>
                <c:pt idx="165">
                  <c:v>1.0074293400254675E-2</c:v>
                </c:pt>
                <c:pt idx="166">
                  <c:v>1.0603880492970896E-2</c:v>
                </c:pt>
                <c:pt idx="167">
                  <c:v>8.3967474210622228E-3</c:v>
                </c:pt>
                <c:pt idx="168">
                  <c:v>7.1034561383507278E-3</c:v>
                </c:pt>
                <c:pt idx="169">
                  <c:v>7.4408519753741409E-3</c:v>
                </c:pt>
                <c:pt idx="170">
                  <c:v>9.48195015277431E-3</c:v>
                </c:pt>
                <c:pt idx="171">
                  <c:v>7.4064243238962657E-3</c:v>
                </c:pt>
                <c:pt idx="172">
                  <c:v>9.2175886380152505E-3</c:v>
                </c:pt>
                <c:pt idx="173">
                  <c:v>7.9627758127001069E-3</c:v>
                </c:pt>
                <c:pt idx="174">
                  <c:v>8.3677638477510641E-3</c:v>
                </c:pt>
                <c:pt idx="175">
                  <c:v>6.9394383819301186E-3</c:v>
                </c:pt>
                <c:pt idx="176">
                  <c:v>6.2950269287262994E-3</c:v>
                </c:pt>
                <c:pt idx="177">
                  <c:v>8.8110590034304881E-3</c:v>
                </c:pt>
                <c:pt idx="178">
                  <c:v>5.6092796290743152E-3</c:v>
                </c:pt>
                <c:pt idx="179">
                  <c:v>2.1747716812162032E-2</c:v>
                </c:pt>
                <c:pt idx="180">
                  <c:v>1.1159147029355276E-2</c:v>
                </c:pt>
                <c:pt idx="181">
                  <c:v>5.492640719660713E-3</c:v>
                </c:pt>
                <c:pt idx="182">
                  <c:v>5.3889218664524563E-3</c:v>
                </c:pt>
                <c:pt idx="183">
                  <c:v>5.398626225206371E-3</c:v>
                </c:pt>
                <c:pt idx="184">
                  <c:v>5.2391388621282342E-3</c:v>
                </c:pt>
                <c:pt idx="185">
                  <c:v>7.5638401857169857E-3</c:v>
                </c:pt>
                <c:pt idx="186">
                  <c:v>8.2460162570816564E-3</c:v>
                </c:pt>
                <c:pt idx="187">
                  <c:v>8.0545438827936966E-3</c:v>
                </c:pt>
                <c:pt idx="188">
                  <c:v>5.5032736275373306E-3</c:v>
                </c:pt>
                <c:pt idx="189">
                  <c:v>5.1097597152180985E-3</c:v>
                </c:pt>
                <c:pt idx="190">
                  <c:v>5.4748430225266542E-3</c:v>
                </c:pt>
                <c:pt idx="191">
                  <c:v>7.2502586757270393E-3</c:v>
                </c:pt>
                <c:pt idx="192">
                  <c:v>7.5805593804414428E-3</c:v>
                </c:pt>
                <c:pt idx="193">
                  <c:v>7.7332166782959622E-3</c:v>
                </c:pt>
                <c:pt idx="194">
                  <c:v>9.1627262877684856E-3</c:v>
                </c:pt>
                <c:pt idx="195">
                  <c:v>5.0339149353697543E-3</c:v>
                </c:pt>
                <c:pt idx="196">
                  <c:v>5.2492324235606791E-3</c:v>
                </c:pt>
                <c:pt idx="197">
                  <c:v>5.4892467064520112E-3</c:v>
                </c:pt>
                <c:pt idx="198">
                  <c:v>6.5441361740250503E-3</c:v>
                </c:pt>
                <c:pt idx="199">
                  <c:v>7.9514084458074397E-3</c:v>
                </c:pt>
                <c:pt idx="200">
                  <c:v>8.7579205888743683E-3</c:v>
                </c:pt>
                <c:pt idx="201">
                  <c:v>8.4322683006894383E-3</c:v>
                </c:pt>
                <c:pt idx="202">
                  <c:v>5.4829543527943336E-3</c:v>
                </c:pt>
                <c:pt idx="203">
                  <c:v>5.8071500112972796E-3</c:v>
                </c:pt>
                <c:pt idx="204">
                  <c:v>4.6437085293358216E-3</c:v>
                </c:pt>
                <c:pt idx="205">
                  <c:v>7.7026278375906809E-3</c:v>
                </c:pt>
                <c:pt idx="206">
                  <c:v>7.2529525146880491E-3</c:v>
                </c:pt>
                <c:pt idx="207">
                  <c:v>7.4078701633479849E-3</c:v>
                </c:pt>
                <c:pt idx="208">
                  <c:v>8.0714385960332091E-3</c:v>
                </c:pt>
                <c:pt idx="209">
                  <c:v>4.7594071138565841E-3</c:v>
                </c:pt>
                <c:pt idx="210">
                  <c:v>6.0161375559077968E-3</c:v>
                </c:pt>
                <c:pt idx="211">
                  <c:v>5.2786844288419399E-3</c:v>
                </c:pt>
                <c:pt idx="212">
                  <c:v>8.5137025365862318E-3</c:v>
                </c:pt>
                <c:pt idx="213">
                  <c:v>9.7656064880782267E-3</c:v>
                </c:pt>
                <c:pt idx="214">
                  <c:v>8.9265041769657216E-3</c:v>
                </c:pt>
                <c:pt idx="215">
                  <c:v>9.1018194335474867E-3</c:v>
                </c:pt>
                <c:pt idx="216">
                  <c:v>8.4081647705271934E-3</c:v>
                </c:pt>
                <c:pt idx="217">
                  <c:v>8.3959601869967315E-3</c:v>
                </c:pt>
                <c:pt idx="218">
                  <c:v>8.7038251498237074E-3</c:v>
                </c:pt>
                <c:pt idx="219">
                  <c:v>8.7186047835479119E-3</c:v>
                </c:pt>
                <c:pt idx="220">
                  <c:v>1.2082725682326378E-2</c:v>
                </c:pt>
                <c:pt idx="221">
                  <c:v>1.347627418583297E-2</c:v>
                </c:pt>
                <c:pt idx="222">
                  <c:v>1.0586698866910549E-2</c:v>
                </c:pt>
                <c:pt idx="223">
                  <c:v>1.2226536196793703E-2</c:v>
                </c:pt>
                <c:pt idx="224">
                  <c:v>8.8744331402754728E-3</c:v>
                </c:pt>
                <c:pt idx="225">
                  <c:v>1.0536003389478577E-2</c:v>
                </c:pt>
                <c:pt idx="226">
                  <c:v>1.2244829960683212E-2</c:v>
                </c:pt>
                <c:pt idx="227">
                  <c:v>1.3671199960500591E-2</c:v>
                </c:pt>
                <c:pt idx="228">
                  <c:v>1.0567020073279032E-2</c:v>
                </c:pt>
                <c:pt idx="229">
                  <c:v>1.6666175749964429E-2</c:v>
                </c:pt>
                <c:pt idx="230">
                  <c:v>1.0761835780601858E-2</c:v>
                </c:pt>
                <c:pt idx="231">
                  <c:v>1.2367072214216623E-2</c:v>
                </c:pt>
                <c:pt idx="232">
                  <c:v>1.0414226770688817E-2</c:v>
                </c:pt>
                <c:pt idx="233">
                  <c:v>1.5694696002832798E-2</c:v>
                </c:pt>
                <c:pt idx="234">
                  <c:v>1.6099259118064646E-2</c:v>
                </c:pt>
                <c:pt idx="235">
                  <c:v>1.7226441687050897E-2</c:v>
                </c:pt>
                <c:pt idx="236">
                  <c:v>1.9278739760065333E-2</c:v>
                </c:pt>
                <c:pt idx="237">
                  <c:v>1.6700114508269026E-2</c:v>
                </c:pt>
                <c:pt idx="238">
                  <c:v>1.4611119436535258E-2</c:v>
                </c:pt>
                <c:pt idx="239">
                  <c:v>1.5194594195406586E-2</c:v>
                </c:pt>
                <c:pt idx="240">
                  <c:v>1.7260898030443617E-2</c:v>
                </c:pt>
                <c:pt idx="241">
                  <c:v>2.2418428162479964E-2</c:v>
                </c:pt>
                <c:pt idx="242">
                  <c:v>3.9556654230079147E-2</c:v>
                </c:pt>
                <c:pt idx="243">
                  <c:v>2.630887327882192E-2</c:v>
                </c:pt>
                <c:pt idx="244">
                  <c:v>2.0590741848516281E-2</c:v>
                </c:pt>
                <c:pt idx="245">
                  <c:v>2.1251226958768132E-2</c:v>
                </c:pt>
                <c:pt idx="246">
                  <c:v>2.4966094698979813E-2</c:v>
                </c:pt>
                <c:pt idx="247">
                  <c:v>2.454973613156608E-2</c:v>
                </c:pt>
                <c:pt idx="248">
                  <c:v>2.3854801094569389E-2</c:v>
                </c:pt>
                <c:pt idx="249">
                  <c:v>2.8229366804443767E-2</c:v>
                </c:pt>
                <c:pt idx="250">
                  <c:v>1.9901824304262794E-2</c:v>
                </c:pt>
                <c:pt idx="251">
                  <c:v>1.8657555499385525E-2</c:v>
                </c:pt>
                <c:pt idx="252">
                  <c:v>1.9968923160117669E-2</c:v>
                </c:pt>
                <c:pt idx="253">
                  <c:v>2.13027262187786E-2</c:v>
                </c:pt>
                <c:pt idx="254">
                  <c:v>1.4885235344753944E-2</c:v>
                </c:pt>
                <c:pt idx="255">
                  <c:v>2.3917705998041328E-2</c:v>
                </c:pt>
                <c:pt idx="256">
                  <c:v>2.0769538431866685E-2</c:v>
                </c:pt>
                <c:pt idx="257">
                  <c:v>1.8610838796405238E-2</c:v>
                </c:pt>
                <c:pt idx="258">
                  <c:v>1.5337927008009622E-2</c:v>
                </c:pt>
                <c:pt idx="259">
                  <c:v>1.253062275757566E-2</c:v>
                </c:pt>
                <c:pt idx="260">
                  <c:v>1.4188697550327367E-2</c:v>
                </c:pt>
                <c:pt idx="261">
                  <c:v>1.6817689999212515E-2</c:v>
                </c:pt>
                <c:pt idx="262">
                  <c:v>1.7428678371831818E-2</c:v>
                </c:pt>
                <c:pt idx="263">
                  <c:v>1.0768875131791811E-2</c:v>
                </c:pt>
                <c:pt idx="264">
                  <c:v>1.1129673737818813E-2</c:v>
                </c:pt>
                <c:pt idx="265">
                  <c:v>9.9769264611977437E-3</c:v>
                </c:pt>
                <c:pt idx="266">
                  <c:v>8.5688106217747251E-3</c:v>
                </c:pt>
                <c:pt idx="267">
                  <c:v>1.7150431502527708E-2</c:v>
                </c:pt>
                <c:pt idx="268">
                  <c:v>1.3301847989148685E-2</c:v>
                </c:pt>
                <c:pt idx="269">
                  <c:v>1.4647116160169782E-2</c:v>
                </c:pt>
                <c:pt idx="270">
                  <c:v>1.3814229044319504E-2</c:v>
                </c:pt>
                <c:pt idx="271">
                  <c:v>1.2887868393562707E-2</c:v>
                </c:pt>
                <c:pt idx="272">
                  <c:v>9.6752963485022825E-3</c:v>
                </c:pt>
                <c:pt idx="273">
                  <c:v>1.0962403911951135E-2</c:v>
                </c:pt>
                <c:pt idx="274">
                  <c:v>9.9480365164827944E-3</c:v>
                </c:pt>
                <c:pt idx="275">
                  <c:v>1.0316011158658656E-2</c:v>
                </c:pt>
                <c:pt idx="276">
                  <c:v>1.36739555693286E-2</c:v>
                </c:pt>
                <c:pt idx="277">
                  <c:v>1.1474912585742292E-2</c:v>
                </c:pt>
                <c:pt idx="278">
                  <c:v>1.0463978200734081E-2</c:v>
                </c:pt>
                <c:pt idx="279">
                  <c:v>8.5656132282698749E-3</c:v>
                </c:pt>
                <c:pt idx="280">
                  <c:v>8.4766478026401249E-3</c:v>
                </c:pt>
                <c:pt idx="281">
                  <c:v>8.5857518334038208E-3</c:v>
                </c:pt>
                <c:pt idx="282">
                  <c:v>8.2791752943669472E-3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B6-4A8E-BF51-14782660D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9664448"/>
        <c:axId val="1432257360"/>
      </c:scatterChart>
      <c:valAx>
        <c:axId val="1339664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57360"/>
        <c:crosses val="autoZero"/>
        <c:crossBetween val="midCat"/>
      </c:valAx>
      <c:valAx>
        <c:axId val="14322573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66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283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</c:numCache>
            </c:numRef>
          </c:xVal>
          <c:yVal>
            <c:numRef>
              <c:f>[0]!new_cases</c:f>
              <c:numCache>
                <c:formatCode>General</c:formatCode>
                <c:ptCount val="283"/>
                <c:pt idx="1">
                  <c:v>8</c:v>
                </c:pt>
                <c:pt idx="2">
                  <c:v>6</c:v>
                </c:pt>
                <c:pt idx="3">
                  <c:v>7</c:v>
                </c:pt>
                <c:pt idx="4">
                  <c:v>14</c:v>
                </c:pt>
                <c:pt idx="5">
                  <c:v>18</c:v>
                </c:pt>
                <c:pt idx="6">
                  <c:v>29</c:v>
                </c:pt>
                <c:pt idx="7">
                  <c:v>12</c:v>
                </c:pt>
                <c:pt idx="8">
                  <c:v>56</c:v>
                </c:pt>
                <c:pt idx="9">
                  <c:v>128</c:v>
                </c:pt>
                <c:pt idx="10">
                  <c:v>137</c:v>
                </c:pt>
                <c:pt idx="11">
                  <c:v>164</c:v>
                </c:pt>
                <c:pt idx="12">
                  <c:v>169</c:v>
                </c:pt>
                <c:pt idx="13">
                  <c:v>299</c:v>
                </c:pt>
                <c:pt idx="14">
                  <c:v>239</c:v>
                </c:pt>
                <c:pt idx="15">
                  <c:v>254</c:v>
                </c:pt>
                <c:pt idx="16">
                  <c:v>333</c:v>
                </c:pt>
                <c:pt idx="17">
                  <c:v>680</c:v>
                </c:pt>
                <c:pt idx="18">
                  <c:v>496</c:v>
                </c:pt>
                <c:pt idx="19">
                  <c:v>478</c:v>
                </c:pt>
                <c:pt idx="20">
                  <c:v>1123</c:v>
                </c:pt>
                <c:pt idx="21">
                  <c:v>469</c:v>
                </c:pt>
                <c:pt idx="22">
                  <c:v>963</c:v>
                </c:pt>
                <c:pt idx="23">
                  <c:v>1028</c:v>
                </c:pt>
                <c:pt idx="24">
                  <c:v>731</c:v>
                </c:pt>
                <c:pt idx="25">
                  <c:v>1262</c:v>
                </c:pt>
                <c:pt idx="26">
                  <c:v>1486</c:v>
                </c:pt>
                <c:pt idx="27">
                  <c:v>930</c:v>
                </c:pt>
                <c:pt idx="28">
                  <c:v>1039</c:v>
                </c:pt>
                <c:pt idx="29">
                  <c:v>1360</c:v>
                </c:pt>
                <c:pt idx="30">
                  <c:v>1611</c:v>
                </c:pt>
                <c:pt idx="31">
                  <c:v>1410</c:v>
                </c:pt>
                <c:pt idx="32">
                  <c:v>1533</c:v>
                </c:pt>
                <c:pt idx="33">
                  <c:v>1374</c:v>
                </c:pt>
                <c:pt idx="34">
                  <c:v>1715</c:v>
                </c:pt>
                <c:pt idx="35">
                  <c:v>1247</c:v>
                </c:pt>
                <c:pt idx="36">
                  <c:v>1296</c:v>
                </c:pt>
                <c:pt idx="37">
                  <c:v>1426</c:v>
                </c:pt>
                <c:pt idx="38">
                  <c:v>1264</c:v>
                </c:pt>
                <c:pt idx="39">
                  <c:v>1904</c:v>
                </c:pt>
                <c:pt idx="40">
                  <c:v>1710</c:v>
                </c:pt>
                <c:pt idx="41">
                  <c:v>1228</c:v>
                </c:pt>
                <c:pt idx="42">
                  <c:v>1210</c:v>
                </c:pt>
                <c:pt idx="43">
                  <c:v>1670</c:v>
                </c:pt>
                <c:pt idx="44">
                  <c:v>2146</c:v>
                </c:pt>
                <c:pt idx="45">
                  <c:v>1949</c:v>
                </c:pt>
                <c:pt idx="46">
                  <c:v>2831</c:v>
                </c:pt>
                <c:pt idx="47">
                  <c:v>2198</c:v>
                </c:pt>
                <c:pt idx="48">
                  <c:v>2185</c:v>
                </c:pt>
                <c:pt idx="49">
                  <c:v>2030</c:v>
                </c:pt>
                <c:pt idx="50">
                  <c:v>2361</c:v>
                </c:pt>
                <c:pt idx="51">
                  <c:v>2343</c:v>
                </c:pt>
                <c:pt idx="52">
                  <c:v>2703</c:v>
                </c:pt>
                <c:pt idx="53">
                  <c:v>3239</c:v>
                </c:pt>
                <c:pt idx="54">
                  <c:v>2552</c:v>
                </c:pt>
                <c:pt idx="55">
                  <c:v>3053</c:v>
                </c:pt>
                <c:pt idx="56">
                  <c:v>2385</c:v>
                </c:pt>
                <c:pt idx="57">
                  <c:v>2298</c:v>
                </c:pt>
                <c:pt idx="58">
                  <c:v>2406</c:v>
                </c:pt>
                <c:pt idx="59">
                  <c:v>2778</c:v>
                </c:pt>
                <c:pt idx="60">
                  <c:v>3017</c:v>
                </c:pt>
                <c:pt idx="61">
                  <c:v>2433</c:v>
                </c:pt>
                <c:pt idx="62">
                  <c:v>1713</c:v>
                </c:pt>
                <c:pt idx="63">
                  <c:v>1319</c:v>
                </c:pt>
                <c:pt idx="64">
                  <c:v>4156</c:v>
                </c:pt>
                <c:pt idx="65">
                  <c:v>1868</c:v>
                </c:pt>
                <c:pt idx="66">
                  <c:v>3375</c:v>
                </c:pt>
                <c:pt idx="67">
                  <c:v>2562</c:v>
                </c:pt>
                <c:pt idx="68">
                  <c:v>2159</c:v>
                </c:pt>
                <c:pt idx="69">
                  <c:v>1782</c:v>
                </c:pt>
                <c:pt idx="70">
                  <c:v>2351</c:v>
                </c:pt>
                <c:pt idx="71">
                  <c:v>1690</c:v>
                </c:pt>
                <c:pt idx="72">
                  <c:v>2534</c:v>
                </c:pt>
                <c:pt idx="73">
                  <c:v>2350</c:v>
                </c:pt>
                <c:pt idx="74">
                  <c:v>2866</c:v>
                </c:pt>
                <c:pt idx="75">
                  <c:v>2427</c:v>
                </c:pt>
                <c:pt idx="76">
                  <c:v>2574</c:v>
                </c:pt>
                <c:pt idx="77">
                  <c:v>1741</c:v>
                </c:pt>
                <c:pt idx="78">
                  <c:v>1217</c:v>
                </c:pt>
                <c:pt idx="79">
                  <c:v>1271</c:v>
                </c:pt>
                <c:pt idx="80">
                  <c:v>1630</c:v>
                </c:pt>
                <c:pt idx="81">
                  <c:v>1706</c:v>
                </c:pt>
                <c:pt idx="82">
                  <c:v>1522</c:v>
                </c:pt>
                <c:pt idx="83">
                  <c:v>1403</c:v>
                </c:pt>
                <c:pt idx="84">
                  <c:v>996</c:v>
                </c:pt>
                <c:pt idx="85">
                  <c:v>1727</c:v>
                </c:pt>
                <c:pt idx="86">
                  <c:v>1078</c:v>
                </c:pt>
                <c:pt idx="87">
                  <c:v>1044</c:v>
                </c:pt>
                <c:pt idx="88">
                  <c:v>1215</c:v>
                </c:pt>
                <c:pt idx="89">
                  <c:v>1044</c:v>
                </c:pt>
                <c:pt idx="90">
                  <c:v>907</c:v>
                </c:pt>
                <c:pt idx="91">
                  <c:v>678</c:v>
                </c:pt>
                <c:pt idx="92">
                  <c:v>891</c:v>
                </c:pt>
                <c:pt idx="93">
                  <c:v>702</c:v>
                </c:pt>
                <c:pt idx="94">
                  <c:v>856</c:v>
                </c:pt>
                <c:pt idx="95">
                  <c:v>670</c:v>
                </c:pt>
                <c:pt idx="96">
                  <c:v>702</c:v>
                </c:pt>
                <c:pt idx="97">
                  <c:v>691</c:v>
                </c:pt>
                <c:pt idx="98">
                  <c:v>491</c:v>
                </c:pt>
                <c:pt idx="99">
                  <c:v>695</c:v>
                </c:pt>
                <c:pt idx="100">
                  <c:v>633</c:v>
                </c:pt>
                <c:pt idx="101">
                  <c:v>645</c:v>
                </c:pt>
                <c:pt idx="102">
                  <c:v>735</c:v>
                </c:pt>
                <c:pt idx="103">
                  <c:v>679</c:v>
                </c:pt>
                <c:pt idx="104">
                  <c:v>680</c:v>
                </c:pt>
                <c:pt idx="105">
                  <c:v>486</c:v>
                </c:pt>
                <c:pt idx="106">
                  <c:v>637</c:v>
                </c:pt>
                <c:pt idx="107">
                  <c:v>778</c:v>
                </c:pt>
                <c:pt idx="108">
                  <c:v>934</c:v>
                </c:pt>
                <c:pt idx="109">
                  <c:v>894</c:v>
                </c:pt>
                <c:pt idx="110">
                  <c:v>812</c:v>
                </c:pt>
                <c:pt idx="111">
                  <c:v>661</c:v>
                </c:pt>
                <c:pt idx="112">
                  <c:v>752</c:v>
                </c:pt>
                <c:pt idx="113">
                  <c:v>745</c:v>
                </c:pt>
                <c:pt idx="114">
                  <c:v>856</c:v>
                </c:pt>
                <c:pt idx="115">
                  <c:v>905</c:v>
                </c:pt>
                <c:pt idx="116">
                  <c:v>886</c:v>
                </c:pt>
                <c:pt idx="117">
                  <c:v>871</c:v>
                </c:pt>
                <c:pt idx="118">
                  <c:v>645</c:v>
                </c:pt>
                <c:pt idx="119">
                  <c:v>620</c:v>
                </c:pt>
                <c:pt idx="120">
                  <c:v>624</c:v>
                </c:pt>
                <c:pt idx="121">
                  <c:v>1016</c:v>
                </c:pt>
                <c:pt idx="122">
                  <c:v>1038</c:v>
                </c:pt>
                <c:pt idx="123">
                  <c:v>1342</c:v>
                </c:pt>
                <c:pt idx="124">
                  <c:v>1219</c:v>
                </c:pt>
                <c:pt idx="125">
                  <c:v>973</c:v>
                </c:pt>
                <c:pt idx="126">
                  <c:v>889</c:v>
                </c:pt>
                <c:pt idx="127">
                  <c:v>732</c:v>
                </c:pt>
                <c:pt idx="128">
                  <c:v>1195</c:v>
                </c:pt>
                <c:pt idx="129">
                  <c:v>1282</c:v>
                </c:pt>
                <c:pt idx="130">
                  <c:v>1405</c:v>
                </c:pt>
                <c:pt idx="131">
                  <c:v>1294</c:v>
                </c:pt>
                <c:pt idx="132">
                  <c:v>970</c:v>
                </c:pt>
                <c:pt idx="133">
                  <c:v>1179</c:v>
                </c:pt>
                <c:pt idx="134">
                  <c:v>978</c:v>
                </c:pt>
                <c:pt idx="135">
                  <c:v>1621</c:v>
                </c:pt>
                <c:pt idx="136">
                  <c:v>1644</c:v>
                </c:pt>
                <c:pt idx="137">
                  <c:v>1550</c:v>
                </c:pt>
                <c:pt idx="138">
                  <c:v>1438</c:v>
                </c:pt>
                <c:pt idx="139">
                  <c:v>1542</c:v>
                </c:pt>
                <c:pt idx="140">
                  <c:v>1249</c:v>
                </c:pt>
                <c:pt idx="141">
                  <c:v>1106</c:v>
                </c:pt>
                <c:pt idx="142">
                  <c:v>1409</c:v>
                </c:pt>
                <c:pt idx="143">
                  <c:v>1788</c:v>
                </c:pt>
                <c:pt idx="144">
                  <c:v>1958</c:v>
                </c:pt>
                <c:pt idx="145">
                  <c:v>1647</c:v>
                </c:pt>
                <c:pt idx="146">
                  <c:v>1481</c:v>
                </c:pt>
                <c:pt idx="147">
                  <c:v>1307</c:v>
                </c:pt>
                <c:pt idx="148">
                  <c:v>1490</c:v>
                </c:pt>
                <c:pt idx="149">
                  <c:v>1787</c:v>
                </c:pt>
                <c:pt idx="150">
                  <c:v>1974</c:v>
                </c:pt>
                <c:pt idx="151">
                  <c:v>2103</c:v>
                </c:pt>
                <c:pt idx="152">
                  <c:v>2208</c:v>
                </c:pt>
                <c:pt idx="153">
                  <c:v>1387</c:v>
                </c:pt>
                <c:pt idx="154">
                  <c:v>1320</c:v>
                </c:pt>
                <c:pt idx="155">
                  <c:v>1569</c:v>
                </c:pt>
                <c:pt idx="156">
                  <c:v>1660</c:v>
                </c:pt>
                <c:pt idx="157">
                  <c:v>1858</c:v>
                </c:pt>
                <c:pt idx="158">
                  <c:v>2289</c:v>
                </c:pt>
                <c:pt idx="159">
                  <c:v>1833</c:v>
                </c:pt>
                <c:pt idx="160">
                  <c:v>1580</c:v>
                </c:pt>
                <c:pt idx="161">
                  <c:v>1785</c:v>
                </c:pt>
                <c:pt idx="162">
                  <c:v>1765</c:v>
                </c:pt>
                <c:pt idx="163">
                  <c:v>2320</c:v>
                </c:pt>
                <c:pt idx="164">
                  <c:v>1859</c:v>
                </c:pt>
                <c:pt idx="165">
                  <c:v>2232</c:v>
                </c:pt>
                <c:pt idx="166">
                  <c:v>2373</c:v>
                </c:pt>
                <c:pt idx="167">
                  <c:v>1899</c:v>
                </c:pt>
                <c:pt idx="168">
                  <c:v>1620</c:v>
                </c:pt>
                <c:pt idx="169">
                  <c:v>1709</c:v>
                </c:pt>
                <c:pt idx="170">
                  <c:v>2194</c:v>
                </c:pt>
                <c:pt idx="171">
                  <c:v>1730</c:v>
                </c:pt>
                <c:pt idx="172">
                  <c:v>2169</c:v>
                </c:pt>
                <c:pt idx="173">
                  <c:v>1891</c:v>
                </c:pt>
                <c:pt idx="174">
                  <c:v>2003</c:v>
                </c:pt>
                <c:pt idx="175">
                  <c:v>1675</c:v>
                </c:pt>
                <c:pt idx="176">
                  <c:v>1530</c:v>
                </c:pt>
                <c:pt idx="177">
                  <c:v>2155</c:v>
                </c:pt>
                <c:pt idx="178">
                  <c:v>1384</c:v>
                </c:pt>
                <c:pt idx="179">
                  <c:v>5396</c:v>
                </c:pt>
                <c:pt idx="180">
                  <c:v>2829</c:v>
                </c:pt>
                <c:pt idx="181">
                  <c:v>1408</c:v>
                </c:pt>
                <c:pt idx="182">
                  <c:v>1389</c:v>
                </c:pt>
                <c:pt idx="183">
                  <c:v>1399</c:v>
                </c:pt>
                <c:pt idx="184">
                  <c:v>1365</c:v>
                </c:pt>
                <c:pt idx="185">
                  <c:v>1981</c:v>
                </c:pt>
                <c:pt idx="186">
                  <c:v>2176</c:v>
                </c:pt>
                <c:pt idx="187">
                  <c:v>2143</c:v>
                </c:pt>
                <c:pt idx="188">
                  <c:v>1476</c:v>
                </c:pt>
                <c:pt idx="189">
                  <c:v>1378</c:v>
                </c:pt>
                <c:pt idx="190">
                  <c:v>1484</c:v>
                </c:pt>
                <c:pt idx="191">
                  <c:v>1976</c:v>
                </c:pt>
                <c:pt idx="192">
                  <c:v>2081</c:v>
                </c:pt>
                <c:pt idx="193">
                  <c:v>2139</c:v>
                </c:pt>
                <c:pt idx="194">
                  <c:v>2554</c:v>
                </c:pt>
                <c:pt idx="195">
                  <c:v>1416</c:v>
                </c:pt>
                <c:pt idx="196">
                  <c:v>1484</c:v>
                </c:pt>
                <c:pt idx="197">
                  <c:v>1560</c:v>
                </c:pt>
                <c:pt idx="198">
                  <c:v>1870</c:v>
                </c:pt>
                <c:pt idx="199">
                  <c:v>2287</c:v>
                </c:pt>
                <c:pt idx="200">
                  <c:v>2539</c:v>
                </c:pt>
                <c:pt idx="201">
                  <c:v>2466</c:v>
                </c:pt>
                <c:pt idx="202">
                  <c:v>1617</c:v>
                </c:pt>
                <c:pt idx="203">
                  <c:v>1722</c:v>
                </c:pt>
                <c:pt idx="204">
                  <c:v>1385</c:v>
                </c:pt>
                <c:pt idx="205">
                  <c:v>2308</c:v>
                </c:pt>
                <c:pt idx="206">
                  <c:v>2190</c:v>
                </c:pt>
                <c:pt idx="207">
                  <c:v>2253</c:v>
                </c:pt>
                <c:pt idx="208">
                  <c:v>2473</c:v>
                </c:pt>
                <c:pt idx="209">
                  <c:v>1470</c:v>
                </c:pt>
                <c:pt idx="210">
                  <c:v>1867</c:v>
                </c:pt>
                <c:pt idx="211">
                  <c:v>1648</c:v>
                </c:pt>
                <c:pt idx="212">
                  <c:v>2672</c:v>
                </c:pt>
                <c:pt idx="213">
                  <c:v>3091</c:v>
                </c:pt>
                <c:pt idx="214">
                  <c:v>2853</c:v>
                </c:pt>
                <c:pt idx="215">
                  <c:v>2935</c:v>
                </c:pt>
                <c:pt idx="216">
                  <c:v>2736</c:v>
                </c:pt>
                <c:pt idx="217">
                  <c:v>2755</c:v>
                </c:pt>
                <c:pt idx="218">
                  <c:v>2880</c:v>
                </c:pt>
                <c:pt idx="219">
                  <c:v>2910</c:v>
                </c:pt>
                <c:pt idx="220">
                  <c:v>4068</c:v>
                </c:pt>
                <c:pt idx="221">
                  <c:v>4592</c:v>
                </c:pt>
                <c:pt idx="222">
                  <c:v>3656</c:v>
                </c:pt>
                <c:pt idx="223">
                  <c:v>4267</c:v>
                </c:pt>
                <c:pt idx="224">
                  <c:v>3135</c:v>
                </c:pt>
                <c:pt idx="225">
                  <c:v>3755</c:v>
                </c:pt>
                <c:pt idx="226">
                  <c:v>4410</c:v>
                </c:pt>
                <c:pt idx="227">
                  <c:v>4984</c:v>
                </c:pt>
                <c:pt idx="228">
                  <c:v>3905</c:v>
                </c:pt>
                <c:pt idx="229">
                  <c:v>6224</c:v>
                </c:pt>
                <c:pt idx="230">
                  <c:v>4086</c:v>
                </c:pt>
                <c:pt idx="231">
                  <c:v>4746</c:v>
                </c:pt>
                <c:pt idx="232">
                  <c:v>4046</c:v>
                </c:pt>
                <c:pt idx="233">
                  <c:v>6161</c:v>
                </c:pt>
                <c:pt idx="234">
                  <c:v>6419</c:v>
                </c:pt>
                <c:pt idx="235">
                  <c:v>6979</c:v>
                </c:pt>
                <c:pt idx="236">
                  <c:v>7945</c:v>
                </c:pt>
                <c:pt idx="237">
                  <c:v>7015</c:v>
                </c:pt>
                <c:pt idx="238">
                  <c:v>6240</c:v>
                </c:pt>
                <c:pt idx="239">
                  <c:v>6584</c:v>
                </c:pt>
                <c:pt idx="240">
                  <c:v>7593</c:v>
                </c:pt>
                <c:pt idx="241">
                  <c:v>10032</c:v>
                </c:pt>
                <c:pt idx="242">
                  <c:v>18098</c:v>
                </c:pt>
                <c:pt idx="243">
                  <c:v>12513</c:v>
                </c:pt>
                <c:pt idx="244">
                  <c:v>10051</c:v>
                </c:pt>
                <c:pt idx="245">
                  <c:v>10587</c:v>
                </c:pt>
                <c:pt idx="246">
                  <c:v>12702</c:v>
                </c:pt>
                <c:pt idx="247">
                  <c:v>12802</c:v>
                </c:pt>
                <c:pt idx="248">
                  <c:v>12745</c:v>
                </c:pt>
                <c:pt idx="249">
                  <c:v>15442</c:v>
                </c:pt>
                <c:pt idx="250">
                  <c:v>11194</c:v>
                </c:pt>
                <c:pt idx="251">
                  <c:v>10703</c:v>
                </c:pt>
                <c:pt idx="252">
                  <c:v>11669</c:v>
                </c:pt>
                <c:pt idx="253">
                  <c:v>12697</c:v>
                </c:pt>
                <c:pt idx="254">
                  <c:v>9061</c:v>
                </c:pt>
                <c:pt idx="255">
                  <c:v>14776</c:v>
                </c:pt>
                <c:pt idx="256">
                  <c:v>13138</c:v>
                </c:pt>
                <c:pt idx="257">
                  <c:v>12017</c:v>
                </c:pt>
                <c:pt idx="258">
                  <c:v>10088</c:v>
                </c:pt>
                <c:pt idx="259">
                  <c:v>8368</c:v>
                </c:pt>
                <c:pt idx="260">
                  <c:v>9594</c:v>
                </c:pt>
                <c:pt idx="261">
                  <c:v>11533</c:v>
                </c:pt>
                <c:pt idx="262">
                  <c:v>12153</c:v>
                </c:pt>
                <c:pt idx="263">
                  <c:v>7640</c:v>
                </c:pt>
                <c:pt idx="264">
                  <c:v>7981</c:v>
                </c:pt>
                <c:pt idx="265">
                  <c:v>7234</c:v>
                </c:pt>
                <c:pt idx="266">
                  <c:v>6275</c:v>
                </c:pt>
                <c:pt idx="267">
                  <c:v>12667</c:v>
                </c:pt>
                <c:pt idx="268">
                  <c:v>9993</c:v>
                </c:pt>
                <c:pt idx="269">
                  <c:v>11150</c:v>
                </c:pt>
                <c:pt idx="270">
                  <c:v>10670</c:v>
                </c:pt>
                <c:pt idx="271">
                  <c:v>10092</c:v>
                </c:pt>
                <c:pt idx="272">
                  <c:v>7674</c:v>
                </c:pt>
                <c:pt idx="273">
                  <c:v>8779</c:v>
                </c:pt>
                <c:pt idx="274">
                  <c:v>8054</c:v>
                </c:pt>
                <c:pt idx="275">
                  <c:v>8435</c:v>
                </c:pt>
                <c:pt idx="276">
                  <c:v>11296</c:v>
                </c:pt>
                <c:pt idx="277">
                  <c:v>9609</c:v>
                </c:pt>
                <c:pt idx="278">
                  <c:v>8863</c:v>
                </c:pt>
                <c:pt idx="279">
                  <c:v>7331</c:v>
                </c:pt>
                <c:pt idx="280">
                  <c:v>7317</c:v>
                </c:pt>
                <c:pt idx="281">
                  <c:v>7474</c:v>
                </c:pt>
                <c:pt idx="282">
                  <c:v>7269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16-4E62-982A-F0EBF043E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058304"/>
        <c:axId val="960942688"/>
      </c:scatterChart>
      <c:valAx>
        <c:axId val="1083058304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942688"/>
        <c:crosses val="autoZero"/>
        <c:crossBetween val="midCat"/>
      </c:valAx>
      <c:valAx>
        <c:axId val="96094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305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Illinois!$H$1</c:f>
              <c:strCache>
                <c:ptCount val="1"/>
                <c:pt idx="0">
                  <c:v>new deaths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283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</c:numCache>
            </c:numRef>
          </c:xVal>
          <c:yVal>
            <c:numRef>
              <c:f>[0]!new_deaths</c:f>
              <c:numCache>
                <c:formatCode>General</c:formatCode>
                <c:ptCount val="28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3</c:v>
                </c:pt>
                <c:pt idx="15">
                  <c:v>4</c:v>
                </c:pt>
                <c:pt idx="16">
                  <c:v>3</c:v>
                </c:pt>
                <c:pt idx="17">
                  <c:v>7</c:v>
                </c:pt>
                <c:pt idx="18">
                  <c:v>8</c:v>
                </c:pt>
                <c:pt idx="19">
                  <c:v>13</c:v>
                </c:pt>
                <c:pt idx="20">
                  <c:v>18</c:v>
                </c:pt>
                <c:pt idx="21">
                  <c:v>8</c:v>
                </c:pt>
                <c:pt idx="22">
                  <c:v>26</c:v>
                </c:pt>
                <c:pt idx="23">
                  <c:v>42</c:v>
                </c:pt>
                <c:pt idx="24">
                  <c:v>16</c:v>
                </c:pt>
                <c:pt idx="25">
                  <c:v>53</c:v>
                </c:pt>
                <c:pt idx="26">
                  <c:v>33</c:v>
                </c:pt>
                <c:pt idx="27">
                  <c:v>31</c:v>
                </c:pt>
                <c:pt idx="28">
                  <c:v>33</c:v>
                </c:pt>
                <c:pt idx="29">
                  <c:v>73</c:v>
                </c:pt>
                <c:pt idx="30">
                  <c:v>82</c:v>
                </c:pt>
                <c:pt idx="31">
                  <c:v>66</c:v>
                </c:pt>
                <c:pt idx="32">
                  <c:v>68</c:v>
                </c:pt>
                <c:pt idx="33">
                  <c:v>81</c:v>
                </c:pt>
                <c:pt idx="34">
                  <c:v>43</c:v>
                </c:pt>
                <c:pt idx="35">
                  <c:v>74</c:v>
                </c:pt>
                <c:pt idx="36">
                  <c:v>74</c:v>
                </c:pt>
                <c:pt idx="37">
                  <c:v>80</c:v>
                </c:pt>
                <c:pt idx="38">
                  <c:v>124</c:v>
                </c:pt>
                <c:pt idx="39">
                  <c:v>62</c:v>
                </c:pt>
                <c:pt idx="40">
                  <c:v>125</c:v>
                </c:pt>
                <c:pt idx="41">
                  <c:v>31</c:v>
                </c:pt>
                <c:pt idx="42">
                  <c:v>59</c:v>
                </c:pt>
                <c:pt idx="43">
                  <c:v>119</c:v>
                </c:pt>
                <c:pt idx="44">
                  <c:v>97</c:v>
                </c:pt>
                <c:pt idx="45">
                  <c:v>123</c:v>
                </c:pt>
                <c:pt idx="46">
                  <c:v>107</c:v>
                </c:pt>
                <c:pt idx="47">
                  <c:v>79</c:v>
                </c:pt>
                <c:pt idx="48">
                  <c:v>59</c:v>
                </c:pt>
                <c:pt idx="49">
                  <c:v>50</c:v>
                </c:pt>
                <c:pt idx="50">
                  <c:v>142</c:v>
                </c:pt>
                <c:pt idx="51">
                  <c:v>90</c:v>
                </c:pt>
                <c:pt idx="52">
                  <c:v>140</c:v>
                </c:pt>
                <c:pt idx="53">
                  <c:v>102</c:v>
                </c:pt>
                <c:pt idx="54">
                  <c:v>102</c:v>
                </c:pt>
                <c:pt idx="55">
                  <c:v>59</c:v>
                </c:pt>
                <c:pt idx="56">
                  <c:v>44</c:v>
                </c:pt>
                <c:pt idx="57">
                  <c:v>176</c:v>
                </c:pt>
                <c:pt idx="58">
                  <c:v>136</c:v>
                </c:pt>
                <c:pt idx="59">
                  <c:v>137</c:v>
                </c:pt>
                <c:pt idx="60">
                  <c:v>130</c:v>
                </c:pt>
                <c:pt idx="61">
                  <c:v>108</c:v>
                </c:pt>
                <c:pt idx="62">
                  <c:v>57</c:v>
                </c:pt>
                <c:pt idx="63">
                  <c:v>53</c:v>
                </c:pt>
                <c:pt idx="64">
                  <c:v>142</c:v>
                </c:pt>
                <c:pt idx="65">
                  <c:v>191</c:v>
                </c:pt>
                <c:pt idx="66">
                  <c:v>136</c:v>
                </c:pt>
                <c:pt idx="67">
                  <c:v>130</c:v>
                </c:pt>
                <c:pt idx="68">
                  <c:v>71</c:v>
                </c:pt>
                <c:pt idx="69">
                  <c:v>48</c:v>
                </c:pt>
                <c:pt idx="70">
                  <c:v>57</c:v>
                </c:pt>
                <c:pt idx="71">
                  <c:v>145</c:v>
                </c:pt>
                <c:pt idx="72">
                  <c:v>146</c:v>
                </c:pt>
                <c:pt idx="73">
                  <c:v>82</c:v>
                </c:pt>
                <c:pt idx="74">
                  <c:v>108</c:v>
                </c:pt>
                <c:pt idx="75">
                  <c:v>75</c:v>
                </c:pt>
                <c:pt idx="76">
                  <c:v>66</c:v>
                </c:pt>
                <c:pt idx="77">
                  <c:v>28</c:v>
                </c:pt>
                <c:pt idx="78">
                  <c:v>39</c:v>
                </c:pt>
                <c:pt idx="79">
                  <c:v>160</c:v>
                </c:pt>
                <c:pt idx="80">
                  <c:v>103</c:v>
                </c:pt>
                <c:pt idx="81">
                  <c:v>84</c:v>
                </c:pt>
                <c:pt idx="82">
                  <c:v>60</c:v>
                </c:pt>
                <c:pt idx="83">
                  <c:v>60</c:v>
                </c:pt>
                <c:pt idx="84">
                  <c:v>22</c:v>
                </c:pt>
                <c:pt idx="85">
                  <c:v>113</c:v>
                </c:pt>
                <c:pt idx="86">
                  <c:v>96</c:v>
                </c:pt>
                <c:pt idx="87">
                  <c:v>115</c:v>
                </c:pt>
                <c:pt idx="88">
                  <c:v>59</c:v>
                </c:pt>
                <c:pt idx="89">
                  <c:v>69</c:v>
                </c:pt>
                <c:pt idx="90">
                  <c:v>40</c:v>
                </c:pt>
                <c:pt idx="91">
                  <c:v>20</c:v>
                </c:pt>
                <c:pt idx="92">
                  <c:v>94</c:v>
                </c:pt>
                <c:pt idx="93">
                  <c:v>77</c:v>
                </c:pt>
                <c:pt idx="94">
                  <c:v>90</c:v>
                </c:pt>
                <c:pt idx="95">
                  <c:v>75</c:v>
                </c:pt>
                <c:pt idx="96">
                  <c:v>29</c:v>
                </c:pt>
                <c:pt idx="97">
                  <c:v>19</c:v>
                </c:pt>
                <c:pt idx="98">
                  <c:v>18</c:v>
                </c:pt>
                <c:pt idx="99">
                  <c:v>72</c:v>
                </c:pt>
                <c:pt idx="100">
                  <c:v>87</c:v>
                </c:pt>
                <c:pt idx="101">
                  <c:v>52</c:v>
                </c:pt>
                <c:pt idx="102">
                  <c:v>43</c:v>
                </c:pt>
                <c:pt idx="103">
                  <c:v>45</c:v>
                </c:pt>
                <c:pt idx="104">
                  <c:v>22</c:v>
                </c:pt>
                <c:pt idx="105">
                  <c:v>24</c:v>
                </c:pt>
                <c:pt idx="106">
                  <c:v>36</c:v>
                </c:pt>
                <c:pt idx="107">
                  <c:v>63</c:v>
                </c:pt>
                <c:pt idx="108">
                  <c:v>40</c:v>
                </c:pt>
                <c:pt idx="109">
                  <c:v>37</c:v>
                </c:pt>
                <c:pt idx="110">
                  <c:v>26</c:v>
                </c:pt>
                <c:pt idx="111">
                  <c:v>15</c:v>
                </c:pt>
                <c:pt idx="112">
                  <c:v>14</c:v>
                </c:pt>
                <c:pt idx="113">
                  <c:v>21</c:v>
                </c:pt>
                <c:pt idx="114">
                  <c:v>28</c:v>
                </c:pt>
                <c:pt idx="115">
                  <c:v>36</c:v>
                </c:pt>
                <c:pt idx="116">
                  <c:v>18</c:v>
                </c:pt>
                <c:pt idx="117">
                  <c:v>9</c:v>
                </c:pt>
                <c:pt idx="118">
                  <c:v>6</c:v>
                </c:pt>
                <c:pt idx="119">
                  <c:v>6</c:v>
                </c:pt>
                <c:pt idx="120">
                  <c:v>37</c:v>
                </c:pt>
                <c:pt idx="121">
                  <c:v>36</c:v>
                </c:pt>
                <c:pt idx="122">
                  <c:v>20</c:v>
                </c:pt>
                <c:pt idx="123">
                  <c:v>25</c:v>
                </c:pt>
                <c:pt idx="124">
                  <c:v>24</c:v>
                </c:pt>
                <c:pt idx="125">
                  <c:v>19</c:v>
                </c:pt>
                <c:pt idx="126">
                  <c:v>6</c:v>
                </c:pt>
                <c:pt idx="127">
                  <c:v>25</c:v>
                </c:pt>
                <c:pt idx="128">
                  <c:v>8</c:v>
                </c:pt>
                <c:pt idx="129">
                  <c:v>25</c:v>
                </c:pt>
                <c:pt idx="130">
                  <c:v>21</c:v>
                </c:pt>
                <c:pt idx="131">
                  <c:v>18</c:v>
                </c:pt>
                <c:pt idx="132">
                  <c:v>5</c:v>
                </c:pt>
                <c:pt idx="133">
                  <c:v>6</c:v>
                </c:pt>
                <c:pt idx="134">
                  <c:v>23</c:v>
                </c:pt>
                <c:pt idx="135">
                  <c:v>23</c:v>
                </c:pt>
                <c:pt idx="136">
                  <c:v>20</c:v>
                </c:pt>
                <c:pt idx="137">
                  <c:v>18</c:v>
                </c:pt>
                <c:pt idx="138">
                  <c:v>12</c:v>
                </c:pt>
                <c:pt idx="139">
                  <c:v>1</c:v>
                </c:pt>
                <c:pt idx="140">
                  <c:v>18</c:v>
                </c:pt>
                <c:pt idx="141">
                  <c:v>30</c:v>
                </c:pt>
                <c:pt idx="142">
                  <c:v>16</c:v>
                </c:pt>
                <c:pt idx="143">
                  <c:v>16</c:v>
                </c:pt>
                <c:pt idx="144">
                  <c:v>17</c:v>
                </c:pt>
                <c:pt idx="145">
                  <c:v>8</c:v>
                </c:pt>
                <c:pt idx="146">
                  <c:v>14</c:v>
                </c:pt>
                <c:pt idx="147">
                  <c:v>9</c:v>
                </c:pt>
                <c:pt idx="148">
                  <c:v>19</c:v>
                </c:pt>
                <c:pt idx="149">
                  <c:v>28</c:v>
                </c:pt>
                <c:pt idx="150">
                  <c:v>21</c:v>
                </c:pt>
                <c:pt idx="151">
                  <c:v>19</c:v>
                </c:pt>
                <c:pt idx="152">
                  <c:v>18</c:v>
                </c:pt>
                <c:pt idx="153">
                  <c:v>5</c:v>
                </c:pt>
                <c:pt idx="154">
                  <c:v>1</c:v>
                </c:pt>
                <c:pt idx="155">
                  <c:v>20</c:v>
                </c:pt>
                <c:pt idx="156">
                  <c:v>15</c:v>
                </c:pt>
                <c:pt idx="157">
                  <c:v>24</c:v>
                </c:pt>
                <c:pt idx="158">
                  <c:v>25</c:v>
                </c:pt>
                <c:pt idx="159">
                  <c:v>5</c:v>
                </c:pt>
                <c:pt idx="160">
                  <c:v>18</c:v>
                </c:pt>
                <c:pt idx="161">
                  <c:v>12</c:v>
                </c:pt>
                <c:pt idx="162">
                  <c:v>25</c:v>
                </c:pt>
                <c:pt idx="163">
                  <c:v>25</c:v>
                </c:pt>
                <c:pt idx="164">
                  <c:v>27</c:v>
                </c:pt>
                <c:pt idx="165">
                  <c:v>24</c:v>
                </c:pt>
                <c:pt idx="166">
                  <c:v>17</c:v>
                </c:pt>
                <c:pt idx="167">
                  <c:v>6</c:v>
                </c:pt>
                <c:pt idx="168">
                  <c:v>8</c:v>
                </c:pt>
                <c:pt idx="169">
                  <c:v>29</c:v>
                </c:pt>
                <c:pt idx="170">
                  <c:v>37</c:v>
                </c:pt>
                <c:pt idx="171">
                  <c:v>23</c:v>
                </c:pt>
                <c:pt idx="172">
                  <c:v>20</c:v>
                </c:pt>
                <c:pt idx="173">
                  <c:v>11</c:v>
                </c:pt>
                <c:pt idx="174">
                  <c:v>11</c:v>
                </c:pt>
                <c:pt idx="175">
                  <c:v>7</c:v>
                </c:pt>
                <c:pt idx="176">
                  <c:v>38</c:v>
                </c:pt>
                <c:pt idx="177">
                  <c:v>27</c:v>
                </c:pt>
                <c:pt idx="178">
                  <c:v>24</c:v>
                </c:pt>
                <c:pt idx="179">
                  <c:v>28</c:v>
                </c:pt>
                <c:pt idx="180">
                  <c:v>23</c:v>
                </c:pt>
                <c:pt idx="181">
                  <c:v>5</c:v>
                </c:pt>
                <c:pt idx="182">
                  <c:v>8</c:v>
                </c:pt>
                <c:pt idx="183">
                  <c:v>7</c:v>
                </c:pt>
                <c:pt idx="184">
                  <c:v>28</c:v>
                </c:pt>
                <c:pt idx="185">
                  <c:v>28</c:v>
                </c:pt>
                <c:pt idx="186">
                  <c:v>31</c:v>
                </c:pt>
                <c:pt idx="187">
                  <c:v>22</c:v>
                </c:pt>
                <c:pt idx="188">
                  <c:v>14</c:v>
                </c:pt>
                <c:pt idx="189">
                  <c:v>5</c:v>
                </c:pt>
                <c:pt idx="190">
                  <c:v>18</c:v>
                </c:pt>
                <c:pt idx="191">
                  <c:v>35</c:v>
                </c:pt>
                <c:pt idx="192">
                  <c:v>25</c:v>
                </c:pt>
                <c:pt idx="193">
                  <c:v>19</c:v>
                </c:pt>
                <c:pt idx="194">
                  <c:v>25</c:v>
                </c:pt>
                <c:pt idx="195">
                  <c:v>14</c:v>
                </c:pt>
                <c:pt idx="196">
                  <c:v>7</c:v>
                </c:pt>
                <c:pt idx="197">
                  <c:v>29</c:v>
                </c:pt>
                <c:pt idx="198">
                  <c:v>22</c:v>
                </c:pt>
                <c:pt idx="199">
                  <c:v>30</c:v>
                </c:pt>
                <c:pt idx="200">
                  <c:v>25</c:v>
                </c:pt>
                <c:pt idx="201">
                  <c:v>25</c:v>
                </c:pt>
                <c:pt idx="202">
                  <c:v>13</c:v>
                </c:pt>
                <c:pt idx="203">
                  <c:v>13</c:v>
                </c:pt>
                <c:pt idx="204">
                  <c:v>23</c:v>
                </c:pt>
                <c:pt idx="205">
                  <c:v>35</c:v>
                </c:pt>
                <c:pt idx="206">
                  <c:v>24</c:v>
                </c:pt>
                <c:pt idx="207">
                  <c:v>47</c:v>
                </c:pt>
                <c:pt idx="208">
                  <c:v>31</c:v>
                </c:pt>
                <c:pt idx="209">
                  <c:v>17</c:v>
                </c:pt>
                <c:pt idx="210">
                  <c:v>14</c:v>
                </c:pt>
                <c:pt idx="211">
                  <c:v>31</c:v>
                </c:pt>
                <c:pt idx="212">
                  <c:v>42</c:v>
                </c:pt>
                <c:pt idx="213">
                  <c:v>32</c:v>
                </c:pt>
                <c:pt idx="214">
                  <c:v>35</c:v>
                </c:pt>
                <c:pt idx="215">
                  <c:v>30</c:v>
                </c:pt>
                <c:pt idx="216">
                  <c:v>9</c:v>
                </c:pt>
                <c:pt idx="217">
                  <c:v>13</c:v>
                </c:pt>
                <c:pt idx="218">
                  <c:v>29</c:v>
                </c:pt>
                <c:pt idx="219">
                  <c:v>48</c:v>
                </c:pt>
                <c:pt idx="220">
                  <c:v>53</c:v>
                </c:pt>
                <c:pt idx="221">
                  <c:v>38</c:v>
                </c:pt>
                <c:pt idx="222">
                  <c:v>27</c:v>
                </c:pt>
                <c:pt idx="223">
                  <c:v>22</c:v>
                </c:pt>
                <c:pt idx="224">
                  <c:v>22</c:v>
                </c:pt>
                <c:pt idx="225">
                  <c:v>41</c:v>
                </c:pt>
                <c:pt idx="226">
                  <c:v>68</c:v>
                </c:pt>
                <c:pt idx="227">
                  <c:v>42</c:v>
                </c:pt>
                <c:pt idx="228">
                  <c:v>31</c:v>
                </c:pt>
                <c:pt idx="229">
                  <c:v>63</c:v>
                </c:pt>
                <c:pt idx="230">
                  <c:v>24</c:v>
                </c:pt>
                <c:pt idx="231">
                  <c:v>17</c:v>
                </c:pt>
                <c:pt idx="232">
                  <c:v>46</c:v>
                </c:pt>
                <c:pt idx="233">
                  <c:v>51</c:v>
                </c:pt>
                <c:pt idx="234">
                  <c:v>56</c:v>
                </c:pt>
                <c:pt idx="235">
                  <c:v>36</c:v>
                </c:pt>
                <c:pt idx="236">
                  <c:v>46</c:v>
                </c:pt>
                <c:pt idx="237">
                  <c:v>35</c:v>
                </c:pt>
                <c:pt idx="238">
                  <c:v>18</c:v>
                </c:pt>
                <c:pt idx="239">
                  <c:v>68</c:v>
                </c:pt>
                <c:pt idx="240">
                  <c:v>55</c:v>
                </c:pt>
                <c:pt idx="241">
                  <c:v>97</c:v>
                </c:pt>
                <c:pt idx="242">
                  <c:v>49</c:v>
                </c:pt>
                <c:pt idx="243">
                  <c:v>75</c:v>
                </c:pt>
                <c:pt idx="244">
                  <c:v>42</c:v>
                </c:pt>
                <c:pt idx="245">
                  <c:v>14</c:v>
                </c:pt>
                <c:pt idx="246">
                  <c:v>79</c:v>
                </c:pt>
                <c:pt idx="247">
                  <c:v>145</c:v>
                </c:pt>
                <c:pt idx="248">
                  <c:v>43</c:v>
                </c:pt>
                <c:pt idx="249">
                  <c:v>27</c:v>
                </c:pt>
                <c:pt idx="250">
                  <c:v>166</c:v>
                </c:pt>
                <c:pt idx="251">
                  <c:v>72</c:v>
                </c:pt>
                <c:pt idx="252">
                  <c:v>37</c:v>
                </c:pt>
                <c:pt idx="253">
                  <c:v>96</c:v>
                </c:pt>
                <c:pt idx="254">
                  <c:v>139</c:v>
                </c:pt>
                <c:pt idx="255">
                  <c:v>164</c:v>
                </c:pt>
                <c:pt idx="256">
                  <c:v>126</c:v>
                </c:pt>
                <c:pt idx="257">
                  <c:v>126</c:v>
                </c:pt>
                <c:pt idx="258">
                  <c:v>76</c:v>
                </c:pt>
                <c:pt idx="259">
                  <c:v>46</c:v>
                </c:pt>
                <c:pt idx="260">
                  <c:v>125</c:v>
                </c:pt>
                <c:pt idx="261">
                  <c:v>155</c:v>
                </c:pt>
                <c:pt idx="262">
                  <c:v>131</c:v>
                </c:pt>
                <c:pt idx="263">
                  <c:v>66</c:v>
                </c:pt>
                <c:pt idx="264">
                  <c:v>108</c:v>
                </c:pt>
                <c:pt idx="265">
                  <c:v>56</c:v>
                </c:pt>
                <c:pt idx="266">
                  <c:v>85</c:v>
                </c:pt>
                <c:pt idx="267">
                  <c:v>125</c:v>
                </c:pt>
                <c:pt idx="268">
                  <c:v>236</c:v>
                </c:pt>
                <c:pt idx="269">
                  <c:v>191</c:v>
                </c:pt>
                <c:pt idx="270">
                  <c:v>144</c:v>
                </c:pt>
                <c:pt idx="271">
                  <c:v>205</c:v>
                </c:pt>
                <c:pt idx="272">
                  <c:v>76</c:v>
                </c:pt>
                <c:pt idx="273">
                  <c:v>88</c:v>
                </c:pt>
                <c:pt idx="274">
                  <c:v>144</c:v>
                </c:pt>
                <c:pt idx="275">
                  <c:v>179</c:v>
                </c:pt>
                <c:pt idx="276">
                  <c:v>195</c:v>
                </c:pt>
                <c:pt idx="277">
                  <c:v>189</c:v>
                </c:pt>
                <c:pt idx="278">
                  <c:v>126</c:v>
                </c:pt>
                <c:pt idx="279">
                  <c:v>115</c:v>
                </c:pt>
                <c:pt idx="280">
                  <c:v>103</c:v>
                </c:pt>
                <c:pt idx="281">
                  <c:v>115</c:v>
                </c:pt>
                <c:pt idx="282">
                  <c:v>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7F-4A82-9328-FBEA3897B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3744"/>
        <c:axId val="338472016"/>
      </c:scatterChart>
      <c:valAx>
        <c:axId val="339183744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72016"/>
        <c:crosses val="autoZero"/>
        <c:crossBetween val="midCat"/>
      </c:valAx>
      <c:valAx>
        <c:axId val="33847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83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[0]!cook_percent_positive</c:f>
              <c:numCache>
                <c:formatCode>0.0000%</c:formatCode>
                <c:ptCount val="275"/>
                <c:pt idx="0">
                  <c:v>2.0769230769230768E-5</c:v>
                </c:pt>
                <c:pt idx="1">
                  <c:v>3.4423076923076923E-5</c:v>
                </c:pt>
                <c:pt idx="2">
                  <c:v>5.3846153846153847E-5</c:v>
                </c:pt>
                <c:pt idx="3">
                  <c:v>7.9615384615384615E-5</c:v>
                </c:pt>
                <c:pt idx="4">
                  <c:v>1.0615384615384615E-4</c:v>
                </c:pt>
                <c:pt idx="5">
                  <c:v>1.5596153846153847E-4</c:v>
                </c:pt>
                <c:pt idx="6">
                  <c:v>1.9016885765488732E-4</c:v>
                </c:pt>
                <c:pt idx="7">
                  <c:v>2.3192307692307691E-4</c:v>
                </c:pt>
                <c:pt idx="8">
                  <c:v>2.7519230769230767E-4</c:v>
                </c:pt>
                <c:pt idx="9">
                  <c:v>3.6961538461538463E-4</c:v>
                </c:pt>
                <c:pt idx="10">
                  <c:v>4.3442307692307693E-4</c:v>
                </c:pt>
                <c:pt idx="11">
                  <c:v>5.0788461538461534E-4</c:v>
                </c:pt>
                <c:pt idx="12">
                  <c:v>6.7019230769230773E-4</c:v>
                </c:pt>
                <c:pt idx="13">
                  <c:v>7.2519230769230766E-4</c:v>
                </c:pt>
                <c:pt idx="14">
                  <c:v>8.7634615384615388E-4</c:v>
                </c:pt>
                <c:pt idx="15">
                  <c:v>1.0090384615384616E-3</c:v>
                </c:pt>
                <c:pt idx="16">
                  <c:v>1.0926923076923078E-3</c:v>
                </c:pt>
                <c:pt idx="17">
                  <c:v>1.271923076923077E-3</c:v>
                </c:pt>
                <c:pt idx="18">
                  <c:v>1.4626923076923076E-3</c:v>
                </c:pt>
                <c:pt idx="19">
                  <c:v>1.5807692307692309E-3</c:v>
                </c:pt>
                <c:pt idx="20">
                  <c:v>1.7186538461538461E-3</c:v>
                </c:pt>
                <c:pt idx="21">
                  <c:v>1.8765384615384616E-3</c:v>
                </c:pt>
                <c:pt idx="22">
                  <c:v>2.0830769230769232E-3</c:v>
                </c:pt>
                <c:pt idx="23">
                  <c:v>2.2626923076923076E-3</c:v>
                </c:pt>
                <c:pt idx="24">
                  <c:v>2.4750000000000002E-3</c:v>
                </c:pt>
                <c:pt idx="25">
                  <c:v>2.6673076923076923E-3</c:v>
                </c:pt>
                <c:pt idx="26">
                  <c:v>2.8980769230769229E-3</c:v>
                </c:pt>
                <c:pt idx="27">
                  <c:v>3.0801923076923077E-3</c:v>
                </c:pt>
                <c:pt idx="28">
                  <c:v>3.2499999999999999E-3</c:v>
                </c:pt>
                <c:pt idx="29">
                  <c:v>3.4492307692307691E-3</c:v>
                </c:pt>
                <c:pt idx="30">
                  <c:v>3.6171153846153844E-3</c:v>
                </c:pt>
                <c:pt idx="31">
                  <c:v>3.8751923076923078E-3</c:v>
                </c:pt>
                <c:pt idx="32">
                  <c:v>4.0875E-3</c:v>
                </c:pt>
                <c:pt idx="33">
                  <c:v>4.2594230769230773E-3</c:v>
                </c:pt>
                <c:pt idx="34">
                  <c:v>4.4261538461538462E-3</c:v>
                </c:pt>
                <c:pt idx="35">
                  <c:v>4.6505769230769231E-3</c:v>
                </c:pt>
                <c:pt idx="36">
                  <c:v>4.9265384615384614E-3</c:v>
                </c:pt>
                <c:pt idx="37">
                  <c:v>5.1832692307692309E-3</c:v>
                </c:pt>
                <c:pt idx="38">
                  <c:v>5.5453846153846152E-3</c:v>
                </c:pt>
                <c:pt idx="39">
                  <c:v>5.8317307692307696E-3</c:v>
                </c:pt>
                <c:pt idx="40">
                  <c:v>6.1321153846153843E-3</c:v>
                </c:pt>
                <c:pt idx="41">
                  <c:v>6.4038461538461541E-3</c:v>
                </c:pt>
                <c:pt idx="42">
                  <c:v>6.7126923076923075E-3</c:v>
                </c:pt>
                <c:pt idx="43">
                  <c:v>6.9992307692307689E-3</c:v>
                </c:pt>
                <c:pt idx="44">
                  <c:v>7.330769230769231E-3</c:v>
                </c:pt>
                <c:pt idx="45">
                  <c:v>7.7578846153846153E-3</c:v>
                </c:pt>
                <c:pt idx="46">
                  <c:v>8.071153846153846E-3</c:v>
                </c:pt>
                <c:pt idx="47">
                  <c:v>8.4826923076923074E-3</c:v>
                </c:pt>
                <c:pt idx="48">
                  <c:v>8.7532692307692311E-3</c:v>
                </c:pt>
                <c:pt idx="49">
                  <c:v>9.066346153846154E-3</c:v>
                </c:pt>
                <c:pt idx="50">
                  <c:v>9.3640384615384618E-3</c:v>
                </c:pt>
                <c:pt idx="51">
                  <c:v>9.7021153846153854E-3</c:v>
                </c:pt>
                <c:pt idx="52">
                  <c:v>1.0083269230769231E-2</c:v>
                </c:pt>
                <c:pt idx="53">
                  <c:v>1.0372692307692308E-2</c:v>
                </c:pt>
                <c:pt idx="54">
                  <c:v>1.0571538461538462E-2</c:v>
                </c:pt>
                <c:pt idx="55">
                  <c:v>1.0719615384615385E-2</c:v>
                </c:pt>
                <c:pt idx="56">
                  <c:v>1.1138269230769231E-2</c:v>
                </c:pt>
                <c:pt idx="57">
                  <c:v>1.1345192307692308E-2</c:v>
                </c:pt>
                <c:pt idx="58">
                  <c:v>1.1756153846153847E-2</c:v>
                </c:pt>
                <c:pt idx="59">
                  <c:v>1.2051346153846154E-2</c:v>
                </c:pt>
                <c:pt idx="60">
                  <c:v>1.2312692307692307E-2</c:v>
                </c:pt>
                <c:pt idx="61">
                  <c:v>1.2510961538461539E-2</c:v>
                </c:pt>
                <c:pt idx="62">
                  <c:v>1.2803653846153847E-2</c:v>
                </c:pt>
                <c:pt idx="63">
                  <c:v>1.3013653846153847E-2</c:v>
                </c:pt>
                <c:pt idx="64">
                  <c:v>1.3324423076923077E-2</c:v>
                </c:pt>
                <c:pt idx="65">
                  <c:v>1.3589423076923077E-2</c:v>
                </c:pt>
                <c:pt idx="66">
                  <c:v>1.3872307692307692E-2</c:v>
                </c:pt>
                <c:pt idx="67">
                  <c:v>1.4165961538461539E-2</c:v>
                </c:pt>
                <c:pt idx="68">
                  <c:v>1.4483461538461539E-2</c:v>
                </c:pt>
                <c:pt idx="69">
                  <c:v>1.4696346153846154E-2</c:v>
                </c:pt>
                <c:pt idx="70">
                  <c:v>1.4840961538461539E-2</c:v>
                </c:pt>
                <c:pt idx="71">
                  <c:v>1.4995384615384615E-2</c:v>
                </c:pt>
                <c:pt idx="72">
                  <c:v>1.5158653846153846E-2</c:v>
                </c:pt>
                <c:pt idx="73">
                  <c:v>1.5353076923076922E-2</c:v>
                </c:pt>
                <c:pt idx="74">
                  <c:v>1.5523461538461538E-2</c:v>
                </c:pt>
                <c:pt idx="75">
                  <c:v>1.5685961538461538E-2</c:v>
                </c:pt>
                <c:pt idx="76">
                  <c:v>1.5798653846153848E-2</c:v>
                </c:pt>
                <c:pt idx="77">
                  <c:v>1.6038269230769231E-2</c:v>
                </c:pt>
                <c:pt idx="78">
                  <c:v>1.6150769230769232E-2</c:v>
                </c:pt>
                <c:pt idx="79">
                  <c:v>1.6261346153846154E-2</c:v>
                </c:pt>
                <c:pt idx="80">
                  <c:v>1.6389230769230771E-2</c:v>
                </c:pt>
                <c:pt idx="81">
                  <c:v>1.6507115384615384E-2</c:v>
                </c:pt>
                <c:pt idx="82">
                  <c:v>1.6609807692307691E-2</c:v>
                </c:pt>
                <c:pt idx="83">
                  <c:v>1.6688076923076924E-2</c:v>
                </c:pt>
                <c:pt idx="84">
                  <c:v>1.6784807692307693E-2</c:v>
                </c:pt>
                <c:pt idx="85">
                  <c:v>1.6853461538461539E-2</c:v>
                </c:pt>
                <c:pt idx="86">
                  <c:v>1.6940192307692309E-2</c:v>
                </c:pt>
                <c:pt idx="87">
                  <c:v>1.7002115384615386E-2</c:v>
                </c:pt>
                <c:pt idx="88">
                  <c:v>1.7068076923076922E-2</c:v>
                </c:pt>
                <c:pt idx="89">
                  <c:v>1.7133653846153847E-2</c:v>
                </c:pt>
                <c:pt idx="90">
                  <c:v>1.7190384615384614E-2</c:v>
                </c:pt>
                <c:pt idx="91">
                  <c:v>1.7267500000000002E-2</c:v>
                </c:pt>
                <c:pt idx="92">
                  <c:v>1.7338846153846153E-2</c:v>
                </c:pt>
                <c:pt idx="93">
                  <c:v>1.7406153846153846E-2</c:v>
                </c:pt>
                <c:pt idx="94">
                  <c:v>1.7483461538461538E-2</c:v>
                </c:pt>
                <c:pt idx="95">
                  <c:v>1.7552884615384616E-2</c:v>
                </c:pt>
                <c:pt idx="96">
                  <c:v>1.7611730769230768E-2</c:v>
                </c:pt>
                <c:pt idx="97">
                  <c:v>1.7662884615384615E-2</c:v>
                </c:pt>
                <c:pt idx="98">
                  <c:v>1.7735192307692306E-2</c:v>
                </c:pt>
                <c:pt idx="99">
                  <c:v>1.7810769230769231E-2</c:v>
                </c:pt>
                <c:pt idx="100">
                  <c:v>1.7913461538461538E-2</c:v>
                </c:pt>
                <c:pt idx="101">
                  <c:v>1.7998846153846153E-2</c:v>
                </c:pt>
                <c:pt idx="102">
                  <c:v>1.8065961538461538E-2</c:v>
                </c:pt>
                <c:pt idx="103">
                  <c:v>1.8134038461538462E-2</c:v>
                </c:pt>
                <c:pt idx="104">
                  <c:v>1.8206923076923075E-2</c:v>
                </c:pt>
                <c:pt idx="105">
                  <c:v>1.8288653846153847E-2</c:v>
                </c:pt>
                <c:pt idx="106">
                  <c:v>1.8363846153846154E-2</c:v>
                </c:pt>
                <c:pt idx="107">
                  <c:v>1.8459615384615383E-2</c:v>
                </c:pt>
                <c:pt idx="108">
                  <c:v>1.8536923076923076E-2</c:v>
                </c:pt>
                <c:pt idx="109">
                  <c:v>1.8627307692307693E-2</c:v>
                </c:pt>
                <c:pt idx="110">
                  <c:v>1.8684423076923078E-2</c:v>
                </c:pt>
                <c:pt idx="111">
                  <c:v>1.8732884615384617E-2</c:v>
                </c:pt>
                <c:pt idx="112">
                  <c:v>1.878923076923077E-2</c:v>
                </c:pt>
                <c:pt idx="113">
                  <c:v>1.8876923076923076E-2</c:v>
                </c:pt>
                <c:pt idx="114">
                  <c:v>1.8977115384615384E-2</c:v>
                </c:pt>
                <c:pt idx="115">
                  <c:v>1.9095769230769232E-2</c:v>
                </c:pt>
                <c:pt idx="116">
                  <c:v>1.920173076923077E-2</c:v>
                </c:pt>
                <c:pt idx="117">
                  <c:v>1.9285E-2</c:v>
                </c:pt>
                <c:pt idx="118">
                  <c:v>1.9348653846153845E-2</c:v>
                </c:pt>
                <c:pt idx="119">
                  <c:v>1.940903846153846E-2</c:v>
                </c:pt>
                <c:pt idx="120">
                  <c:v>1.9501346153846154E-2</c:v>
                </c:pt>
                <c:pt idx="121">
                  <c:v>1.960846153846154E-2</c:v>
                </c:pt>
                <c:pt idx="122">
                  <c:v>1.9722115384615383E-2</c:v>
                </c:pt>
                <c:pt idx="123">
                  <c:v>1.9820384615384615E-2</c:v>
                </c:pt>
                <c:pt idx="124">
                  <c:v>1.9893461538461537E-2</c:v>
                </c:pt>
                <c:pt idx="125">
                  <c:v>1.9967115384615385E-2</c:v>
                </c:pt>
                <c:pt idx="126">
                  <c:v>2.0048461538461539E-2</c:v>
                </c:pt>
                <c:pt idx="127">
                  <c:v>2.0177884615384615E-2</c:v>
                </c:pt>
                <c:pt idx="128">
                  <c:v>2.0308653846153848E-2</c:v>
                </c:pt>
                <c:pt idx="129">
                  <c:v>2.0429423076923078E-2</c:v>
                </c:pt>
                <c:pt idx="130">
                  <c:v>2.0535384615384615E-2</c:v>
                </c:pt>
                <c:pt idx="131">
                  <c:v>2.0656346153846154E-2</c:v>
                </c:pt>
                <c:pt idx="132">
                  <c:v>2.0740384615384615E-2</c:v>
                </c:pt>
                <c:pt idx="133">
                  <c:v>2.0826538461538462E-2</c:v>
                </c:pt>
                <c:pt idx="134">
                  <c:v>2.0935576923076925E-2</c:v>
                </c:pt>
                <c:pt idx="135">
                  <c:v>2.1069038461538462E-2</c:v>
                </c:pt>
                <c:pt idx="136">
                  <c:v>2.1226730769230769E-2</c:v>
                </c:pt>
                <c:pt idx="137">
                  <c:v>2.1349807692307692E-2</c:v>
                </c:pt>
                <c:pt idx="138">
                  <c:v>2.1462884615384616E-2</c:v>
                </c:pt>
                <c:pt idx="139">
                  <c:v>2.1566153846153846E-2</c:v>
                </c:pt>
                <c:pt idx="140">
                  <c:v>2.1662692307692306E-2</c:v>
                </c:pt>
                <c:pt idx="141">
                  <c:v>2.1794999999999998E-2</c:v>
                </c:pt>
                <c:pt idx="142">
                  <c:v>2.1935E-2</c:v>
                </c:pt>
                <c:pt idx="143">
                  <c:v>2.2100384615384615E-2</c:v>
                </c:pt>
                <c:pt idx="144">
                  <c:v>2.2267115384615385E-2</c:v>
                </c:pt>
                <c:pt idx="145">
                  <c:v>2.2379807692307692E-2</c:v>
                </c:pt>
                <c:pt idx="146">
                  <c:v>2.2476153846153847E-2</c:v>
                </c:pt>
                <c:pt idx="147">
                  <c:v>2.2580192307692308E-2</c:v>
                </c:pt>
                <c:pt idx="148">
                  <c:v>2.2688076923076922E-2</c:v>
                </c:pt>
                <c:pt idx="149">
                  <c:v>2.2832884615384616E-2</c:v>
                </c:pt>
                <c:pt idx="150">
                  <c:v>2.3014423076923078E-2</c:v>
                </c:pt>
                <c:pt idx="151">
                  <c:v>2.3134038461538463E-2</c:v>
                </c:pt>
                <c:pt idx="152">
                  <c:v>2.325423076923077E-2</c:v>
                </c:pt>
                <c:pt idx="153">
                  <c:v>2.3381538461538461E-2</c:v>
                </c:pt>
                <c:pt idx="154">
                  <c:v>2.3489230769230769E-2</c:v>
                </c:pt>
                <c:pt idx="155">
                  <c:v>2.3653076923076922E-2</c:v>
                </c:pt>
                <c:pt idx="156">
                  <c:v>2.3797115384615385E-2</c:v>
                </c:pt>
                <c:pt idx="157">
                  <c:v>2.3969423076923076E-2</c:v>
                </c:pt>
                <c:pt idx="158">
                  <c:v>2.4149038461538461E-2</c:v>
                </c:pt>
                <c:pt idx="159">
                  <c:v>2.4292500000000002E-2</c:v>
                </c:pt>
                <c:pt idx="160">
                  <c:v>2.4402307692307692E-2</c:v>
                </c:pt>
                <c:pt idx="161">
                  <c:v>2.4508653846153847E-2</c:v>
                </c:pt>
                <c:pt idx="162">
                  <c:v>2.4654423076923077E-2</c:v>
                </c:pt>
                <c:pt idx="163">
                  <c:v>2.475576923076923E-2</c:v>
                </c:pt>
                <c:pt idx="164">
                  <c:v>2.4926538461538462E-2</c:v>
                </c:pt>
                <c:pt idx="165">
                  <c:v>2.5032692307692308E-2</c:v>
                </c:pt>
                <c:pt idx="166">
                  <c:v>2.520326923076923E-2</c:v>
                </c:pt>
                <c:pt idx="167">
                  <c:v>2.5314423076923078E-2</c:v>
                </c:pt>
                <c:pt idx="168">
                  <c:v>2.5395576923076923E-2</c:v>
                </c:pt>
                <c:pt idx="169">
                  <c:v>2.5517115384615385E-2</c:v>
                </c:pt>
                <c:pt idx="170">
                  <c:v>2.5594615384615386E-2</c:v>
                </c:pt>
                <c:pt idx="171">
                  <c:v>2.5890576923076922E-2</c:v>
                </c:pt>
                <c:pt idx="172">
                  <c:v>2.6097692307692308E-2</c:v>
                </c:pt>
                <c:pt idx="173">
                  <c:v>2.6186923076923076E-2</c:v>
                </c:pt>
                <c:pt idx="174">
                  <c:v>2.6292115384615386E-2</c:v>
                </c:pt>
                <c:pt idx="175">
                  <c:v>2.6378846153846155E-2</c:v>
                </c:pt>
                <c:pt idx="176">
                  <c:v>2.6442500000000001E-2</c:v>
                </c:pt>
                <c:pt idx="177">
                  <c:v>2.6551153846153846E-2</c:v>
                </c:pt>
                <c:pt idx="178">
                  <c:v>2.6691923076923078E-2</c:v>
                </c:pt>
                <c:pt idx="179">
                  <c:v>2.6823076923076922E-2</c:v>
                </c:pt>
                <c:pt idx="180">
                  <c:v>2.6910384615384614E-2</c:v>
                </c:pt>
                <c:pt idx="181">
                  <c:v>2.7001538461538462E-2</c:v>
                </c:pt>
                <c:pt idx="182">
                  <c:v>2.7082115384615385E-2</c:v>
                </c:pt>
                <c:pt idx="183">
                  <c:v>2.719076923076923E-2</c:v>
                </c:pt>
                <c:pt idx="184">
                  <c:v>2.7334615384615384E-2</c:v>
                </c:pt>
                <c:pt idx="185">
                  <c:v>2.7448076923076922E-2</c:v>
                </c:pt>
                <c:pt idx="186">
                  <c:v>2.7640961538461538E-2</c:v>
                </c:pt>
                <c:pt idx="187">
                  <c:v>2.7740384615384615E-2</c:v>
                </c:pt>
                <c:pt idx="188">
                  <c:v>2.7836538461538461E-2</c:v>
                </c:pt>
                <c:pt idx="189">
                  <c:v>2.7932692307692308E-2</c:v>
                </c:pt>
                <c:pt idx="190">
                  <c:v>2.8039038461538462E-2</c:v>
                </c:pt>
                <c:pt idx="191">
                  <c:v>2.8195576923076924E-2</c:v>
                </c:pt>
                <c:pt idx="192">
                  <c:v>2.8347884615384615E-2</c:v>
                </c:pt>
                <c:pt idx="193">
                  <c:v>2.851673076923077E-2</c:v>
                </c:pt>
                <c:pt idx="194">
                  <c:v>2.8623846153846152E-2</c:v>
                </c:pt>
                <c:pt idx="195">
                  <c:v>2.8756153846153844E-2</c:v>
                </c:pt>
                <c:pt idx="196">
                  <c:v>2.8830384615384615E-2</c:v>
                </c:pt>
                <c:pt idx="197">
                  <c:v>2.8978269230769231E-2</c:v>
                </c:pt>
                <c:pt idx="198">
                  <c:v>2.9111730769230768E-2</c:v>
                </c:pt>
                <c:pt idx="199">
                  <c:v>2.9260769230769229E-2</c:v>
                </c:pt>
                <c:pt idx="200">
                  <c:v>2.9439615384615384E-2</c:v>
                </c:pt>
                <c:pt idx="201">
                  <c:v>2.9545576923076924E-2</c:v>
                </c:pt>
                <c:pt idx="202">
                  <c:v>2.9689807692307692E-2</c:v>
                </c:pt>
                <c:pt idx="203">
                  <c:v>2.9780000000000001E-2</c:v>
                </c:pt>
                <c:pt idx="204">
                  <c:v>2.9937115384615385E-2</c:v>
                </c:pt>
                <c:pt idx="205">
                  <c:v>3.0144038461538462E-2</c:v>
                </c:pt>
                <c:pt idx="206">
                  <c:v>3.0322307692307694E-2</c:v>
                </c:pt>
                <c:pt idx="207">
                  <c:v>3.0540769230769232E-2</c:v>
                </c:pt>
                <c:pt idx="208">
                  <c:v>3.0734423076923076E-2</c:v>
                </c:pt>
                <c:pt idx="209">
                  <c:v>3.0936730769230768E-2</c:v>
                </c:pt>
                <c:pt idx="210">
                  <c:v>3.1161730769230768E-2</c:v>
                </c:pt>
                <c:pt idx="211">
                  <c:v>3.1325769230769233E-2</c:v>
                </c:pt>
                <c:pt idx="212">
                  <c:v>3.1609038461538459E-2</c:v>
                </c:pt>
                <c:pt idx="213">
                  <c:v>3.1919999999999997E-2</c:v>
                </c:pt>
                <c:pt idx="214">
                  <c:v>3.2224999999999997E-2</c:v>
                </c:pt>
                <c:pt idx="215">
                  <c:v>3.255173076923077E-2</c:v>
                </c:pt>
                <c:pt idx="216">
                  <c:v>3.2800384615384613E-2</c:v>
                </c:pt>
                <c:pt idx="217">
                  <c:v>3.3043461538461535E-2</c:v>
                </c:pt>
                <c:pt idx="218">
                  <c:v>3.3369423076923074E-2</c:v>
                </c:pt>
                <c:pt idx="219">
                  <c:v>3.3736346153846151E-2</c:v>
                </c:pt>
                <c:pt idx="220">
                  <c:v>3.4005576923076923E-2</c:v>
                </c:pt>
                <c:pt idx="221">
                  <c:v>3.4466538461538458E-2</c:v>
                </c:pt>
                <c:pt idx="222">
                  <c:v>3.4809038461538461E-2</c:v>
                </c:pt>
                <c:pt idx="223">
                  <c:v>3.5172692307692308E-2</c:v>
                </c:pt>
                <c:pt idx="224">
                  <c:v>3.5436730769230769E-2</c:v>
                </c:pt>
                <c:pt idx="225">
                  <c:v>3.587653846153846E-2</c:v>
                </c:pt>
                <c:pt idx="226">
                  <c:v>3.6367692307692309E-2</c:v>
                </c:pt>
                <c:pt idx="227">
                  <c:v>3.6898846153846157E-2</c:v>
                </c:pt>
                <c:pt idx="228">
                  <c:v>3.7527884615384616E-2</c:v>
                </c:pt>
                <c:pt idx="229">
                  <c:v>3.8192692307692309E-2</c:v>
                </c:pt>
                <c:pt idx="230">
                  <c:v>3.8701923076923078E-2</c:v>
                </c:pt>
                <c:pt idx="231">
                  <c:v>3.9173269230769234E-2</c:v>
                </c:pt>
                <c:pt idx="232">
                  <c:v>3.9753269230769231E-2</c:v>
                </c:pt>
                <c:pt idx="233">
                  <c:v>4.0490576923076921E-2</c:v>
                </c:pt>
                <c:pt idx="234">
                  <c:v>4.1509999999999998E-2</c:v>
                </c:pt>
                <c:pt idx="235">
                  <c:v>4.2410769230769231E-2</c:v>
                </c:pt>
                <c:pt idx="236">
                  <c:v>4.3134807692307695E-2</c:v>
                </c:pt>
                <c:pt idx="237">
                  <c:v>4.3991346153846152E-2</c:v>
                </c:pt>
                <c:pt idx="238">
                  <c:v>4.4825384615384614E-2</c:v>
                </c:pt>
                <c:pt idx="239">
                  <c:v>4.5611346153846155E-2</c:v>
                </c:pt>
                <c:pt idx="240">
                  <c:v>4.6623461538461537E-2</c:v>
                </c:pt>
                <c:pt idx="241">
                  <c:v>4.7767499999999997E-2</c:v>
                </c:pt>
                <c:pt idx="242">
                  <c:v>4.8497884615384616E-2</c:v>
                </c:pt>
                <c:pt idx="243">
                  <c:v>4.9407307692307695E-2</c:v>
                </c:pt>
                <c:pt idx="244">
                  <c:v>5.0277692307692308E-2</c:v>
                </c:pt>
                <c:pt idx="245">
                  <c:v>5.1126730769230772E-2</c:v>
                </c:pt>
                <c:pt idx="246">
                  <c:v>5.1608461538461541E-2</c:v>
                </c:pt>
                <c:pt idx="247">
                  <c:v>5.2740576923076925E-2</c:v>
                </c:pt>
                <c:pt idx="248">
                  <c:v>5.3605769230769228E-2</c:v>
                </c:pt>
                <c:pt idx="249">
                  <c:v>5.444076923076923E-2</c:v>
                </c:pt>
                <c:pt idx="250">
                  <c:v>5.5192692307692311E-2</c:v>
                </c:pt>
                <c:pt idx="251">
                  <c:v>5.583769230769231E-2</c:v>
                </c:pt>
                <c:pt idx="252">
                  <c:v>5.6405192307692309E-2</c:v>
                </c:pt>
                <c:pt idx="253">
                  <c:v>5.7215384615384612E-2</c:v>
                </c:pt>
                <c:pt idx="254">
                  <c:v>5.8147307692307693E-2</c:v>
                </c:pt>
                <c:pt idx="255">
                  <c:v>5.8679423076923073E-2</c:v>
                </c:pt>
                <c:pt idx="256">
                  <c:v>5.9215384615384614E-2</c:v>
                </c:pt>
                <c:pt idx="257">
                  <c:v>5.9729038461538458E-2</c:v>
                </c:pt>
                <c:pt idx="258">
                  <c:v>6.0154807692307695E-2</c:v>
                </c:pt>
                <c:pt idx="259">
                  <c:v>6.0995961538461541E-2</c:v>
                </c:pt>
                <c:pt idx="260">
                  <c:v>6.1665769230769232E-2</c:v>
                </c:pt>
                <c:pt idx="261">
                  <c:v>6.2480384615384618E-2</c:v>
                </c:pt>
                <c:pt idx="262">
                  <c:v>6.3215192307692306E-2</c:v>
                </c:pt>
                <c:pt idx="263">
                  <c:v>6.3937307692307696E-2</c:v>
                </c:pt>
                <c:pt idx="264">
                  <c:v>6.4555192307692313E-2</c:v>
                </c:pt>
                <c:pt idx="265">
                  <c:v>6.5276538461538455E-2</c:v>
                </c:pt>
                <c:pt idx="266">
                  <c:v>6.5765576923076927E-2</c:v>
                </c:pt>
                <c:pt idx="267">
                  <c:v>6.6333461538461536E-2</c:v>
                </c:pt>
                <c:pt idx="268">
                  <c:v>6.7221923076923082E-2</c:v>
                </c:pt>
                <c:pt idx="269">
                  <c:v>6.7879615384615385E-2</c:v>
                </c:pt>
                <c:pt idx="270">
                  <c:v>6.855038461538461E-2</c:v>
                </c:pt>
                <c:pt idx="271">
                  <c:v>6.9122692307692302E-2</c:v>
                </c:pt>
                <c:pt idx="272">
                  <c:v>6.972769230769231E-2</c:v>
                </c:pt>
                <c:pt idx="273">
                  <c:v>7.0220000000000005E-2</c:v>
                </c:pt>
                <c:pt idx="274">
                  <c:v>7.0631730769230766E-2</c:v>
                </c:pt>
              </c:numCache>
            </c:numRef>
          </c:xVal>
          <c:yVal>
            <c:numRef>
              <c:f>[0]!cook_percent_increase</c:f>
              <c:numCache>
                <c:formatCode>0.0%</c:formatCode>
                <c:ptCount val="275"/>
                <c:pt idx="1">
                  <c:v>0.65740740740740744</c:v>
                </c:pt>
                <c:pt idx="2">
                  <c:v>0.56424581005586583</c:v>
                </c:pt>
                <c:pt idx="3">
                  <c:v>0.47857142857142865</c:v>
                </c:pt>
                <c:pt idx="4">
                  <c:v>0.33333333333333326</c:v>
                </c:pt>
                <c:pt idx="5">
                  <c:v>0.46920289855072461</c:v>
                </c:pt>
                <c:pt idx="6">
                  <c:v>0.2193317630153071</c:v>
                </c:pt>
                <c:pt idx="7">
                  <c:v>0.21956391694776811</c:v>
                </c:pt>
                <c:pt idx="8">
                  <c:v>0.18656716417910446</c:v>
                </c:pt>
                <c:pt idx="9">
                  <c:v>0.34311670160726759</c:v>
                </c:pt>
                <c:pt idx="10">
                  <c:v>0.17533818938605616</c:v>
                </c:pt>
                <c:pt idx="11">
                  <c:v>0.16910137228862321</c:v>
                </c:pt>
                <c:pt idx="12">
                  <c:v>0.31957591821279818</c:v>
                </c:pt>
                <c:pt idx="13">
                  <c:v>8.2065997130559509E-2</c:v>
                </c:pt>
                <c:pt idx="14">
                  <c:v>0.20843277645186964</c:v>
                </c:pt>
                <c:pt idx="15">
                  <c:v>0.15141540487162608</c:v>
                </c:pt>
                <c:pt idx="16">
                  <c:v>8.290451686678102E-2</c:v>
                </c:pt>
                <c:pt idx="17">
                  <c:v>0.16402675114396348</c:v>
                </c:pt>
                <c:pt idx="18">
                  <c:v>0.14998488055639547</c:v>
                </c:pt>
                <c:pt idx="19">
                  <c:v>8.0725742834604208E-2</c:v>
                </c:pt>
                <c:pt idx="20">
                  <c:v>8.7226277372262739E-2</c:v>
                </c:pt>
                <c:pt idx="21">
                  <c:v>9.1865279176457371E-2</c:v>
                </c:pt>
                <c:pt idx="22">
                  <c:v>0.11006353761016596</c:v>
                </c:pt>
                <c:pt idx="23">
                  <c:v>8.6225997045790148E-2</c:v>
                </c:pt>
                <c:pt idx="24">
                  <c:v>9.3829678735339206E-2</c:v>
                </c:pt>
                <c:pt idx="25">
                  <c:v>7.7700077700077808E-2</c:v>
                </c:pt>
                <c:pt idx="26">
                  <c:v>8.6517664023071372E-2</c:v>
                </c:pt>
                <c:pt idx="27">
                  <c:v>6.2840079628400769E-2</c:v>
                </c:pt>
                <c:pt idx="28">
                  <c:v>5.5128925516638505E-2</c:v>
                </c:pt>
                <c:pt idx="29">
                  <c:v>6.1301775147929005E-2</c:v>
                </c:pt>
                <c:pt idx="30">
                  <c:v>4.8673059768064242E-2</c:v>
                </c:pt>
                <c:pt idx="31">
                  <c:v>7.1348822372268694E-2</c:v>
                </c:pt>
                <c:pt idx="32">
                  <c:v>5.4786362959654555E-2</c:v>
                </c:pt>
                <c:pt idx="33">
                  <c:v>4.2060691601975897E-2</c:v>
                </c:pt>
                <c:pt idx="34">
                  <c:v>3.9143979412163077E-2</c:v>
                </c:pt>
                <c:pt idx="35">
                  <c:v>5.0703858185610073E-2</c:v>
                </c:pt>
                <c:pt idx="36">
                  <c:v>5.9339205226812242E-2</c:v>
                </c:pt>
                <c:pt idx="37">
                  <c:v>5.2111796393160992E-2</c:v>
                </c:pt>
                <c:pt idx="38">
                  <c:v>6.986235298482546E-2</c:v>
                </c:pt>
                <c:pt idx="39">
                  <c:v>5.1636842835344643E-2</c:v>
                </c:pt>
                <c:pt idx="40">
                  <c:v>5.1508656224237503E-2</c:v>
                </c:pt>
                <c:pt idx="41">
                  <c:v>4.43127293254304E-2</c:v>
                </c:pt>
                <c:pt idx="42">
                  <c:v>4.8228228228228254E-2</c:v>
                </c:pt>
                <c:pt idx="43">
                  <c:v>4.2686071162550743E-2</c:v>
                </c:pt>
                <c:pt idx="44">
                  <c:v>4.7367842620068101E-2</c:v>
                </c:pt>
                <c:pt idx="45">
                  <c:v>5.8263378803777632E-2</c:v>
                </c:pt>
                <c:pt idx="46">
                  <c:v>4.0380754071540181E-2</c:v>
                </c:pt>
                <c:pt idx="47">
                  <c:v>5.0988801524898708E-2</c:v>
                </c:pt>
                <c:pt idx="48">
                  <c:v>3.1897528905010297E-2</c:v>
                </c:pt>
                <c:pt idx="49">
                  <c:v>3.5766856339389586E-2</c:v>
                </c:pt>
                <c:pt idx="50">
                  <c:v>3.2834871142220834E-2</c:v>
                </c:pt>
                <c:pt idx="51">
                  <c:v>3.6103752079354345E-2</c:v>
                </c:pt>
                <c:pt idx="52">
                  <c:v>3.9285643495668987E-2</c:v>
                </c:pt>
                <c:pt idx="53">
                  <c:v>2.8703297541624595E-2</c:v>
                </c:pt>
                <c:pt idx="54">
                  <c:v>1.9170158329934406E-2</c:v>
                </c:pt>
                <c:pt idx="55">
                  <c:v>1.4007130903005205E-2</c:v>
                </c:pt>
                <c:pt idx="56">
                  <c:v>3.9054931649384672E-2</c:v>
                </c:pt>
                <c:pt idx="57">
                  <c:v>1.8577668813342774E-2</c:v>
                </c:pt>
                <c:pt idx="58">
                  <c:v>3.6223408763454534E-2</c:v>
                </c:pt>
                <c:pt idx="59">
                  <c:v>2.5109598900739494E-2</c:v>
                </c:pt>
                <c:pt idx="60">
                  <c:v>2.1686054861410398E-2</c:v>
                </c:pt>
                <c:pt idx="61">
                  <c:v>1.6102833224002744E-2</c:v>
                </c:pt>
                <c:pt idx="62">
                  <c:v>2.3394869114776284E-2</c:v>
                </c:pt>
                <c:pt idx="63">
                  <c:v>1.6401568062001548E-2</c:v>
                </c:pt>
                <c:pt idx="64">
                  <c:v>2.3880244122297611E-2</c:v>
                </c:pt>
                <c:pt idx="65">
                  <c:v>1.9888290732749336E-2</c:v>
                </c:pt>
                <c:pt idx="66">
                  <c:v>2.0816528691714353E-2</c:v>
                </c:pt>
                <c:pt idx="67">
                  <c:v>2.1168348674725612E-2</c:v>
                </c:pt>
                <c:pt idx="68">
                  <c:v>2.2412880279108816E-2</c:v>
                </c:pt>
                <c:pt idx="69">
                  <c:v>1.4698462437262583E-2</c:v>
                </c:pt>
                <c:pt idx="70">
                  <c:v>9.840227162690951E-3</c:v>
                </c:pt>
                <c:pt idx="71">
                  <c:v>1.0405193526233258E-2</c:v>
                </c:pt>
                <c:pt idx="72">
                  <c:v>1.0887965527854648E-2</c:v>
                </c:pt>
                <c:pt idx="73">
                  <c:v>1.2825880114176957E-2</c:v>
                </c:pt>
                <c:pt idx="74">
                  <c:v>1.1097750388296079E-2</c:v>
                </c:pt>
                <c:pt idx="75">
                  <c:v>1.0468026064765601E-2</c:v>
                </c:pt>
                <c:pt idx="76">
                  <c:v>7.1842779555457703E-3</c:v>
                </c:pt>
                <c:pt idx="77">
                  <c:v>1.5166822879261854E-2</c:v>
                </c:pt>
                <c:pt idx="78">
                  <c:v>7.014472595594734E-3</c:v>
                </c:pt>
                <c:pt idx="79">
                  <c:v>6.846542198513994E-3</c:v>
                </c:pt>
                <c:pt idx="80">
                  <c:v>7.8643314135691256E-3</c:v>
                </c:pt>
                <c:pt idx="81">
                  <c:v>7.1928095372195688E-3</c:v>
                </c:pt>
                <c:pt idx="82">
                  <c:v>6.2210934678519347E-3</c:v>
                </c:pt>
                <c:pt idx="83">
                  <c:v>4.7122297993540396E-3</c:v>
                </c:pt>
                <c:pt idx="84">
                  <c:v>5.7964000092189938E-3</c:v>
                </c:pt>
                <c:pt idx="85">
                  <c:v>4.0902372795912356E-3</c:v>
                </c:pt>
                <c:pt idx="86">
                  <c:v>5.1461694698646809E-3</c:v>
                </c:pt>
                <c:pt idx="87">
                  <c:v>3.6553939765464616E-3</c:v>
                </c:pt>
                <c:pt idx="88">
                  <c:v>3.879607741118285E-3</c:v>
                </c:pt>
                <c:pt idx="89">
                  <c:v>3.8420803569416684E-3</c:v>
                </c:pt>
                <c:pt idx="90">
                  <c:v>3.3110724507547928E-3</c:v>
                </c:pt>
                <c:pt idx="91">
                  <c:v>4.4859603982547736E-3</c:v>
                </c:pt>
                <c:pt idx="92">
                  <c:v>4.131817219988676E-3</c:v>
                </c:pt>
                <c:pt idx="93">
                  <c:v>3.8819014662496709E-3</c:v>
                </c:pt>
                <c:pt idx="94">
                  <c:v>4.4414000353545369E-3</c:v>
                </c:pt>
                <c:pt idx="95">
                  <c:v>3.9707855775787948E-3</c:v>
                </c:pt>
                <c:pt idx="96">
                  <c:v>3.3525061626951125E-3</c:v>
                </c:pt>
                <c:pt idx="97">
                  <c:v>2.9045325995566973E-3</c:v>
                </c:pt>
                <c:pt idx="98">
                  <c:v>4.0937646303091935E-3</c:v>
                </c:pt>
                <c:pt idx="99">
                  <c:v>4.2614098435314052E-3</c:v>
                </c:pt>
                <c:pt idx="100">
                  <c:v>5.7657424203161334E-3</c:v>
                </c:pt>
                <c:pt idx="101">
                  <c:v>4.7665056360708391E-3</c:v>
                </c:pt>
                <c:pt idx="102">
                  <c:v>3.7288715088574786E-3</c:v>
                </c:pt>
                <c:pt idx="103">
                  <c:v>3.7682424448868268E-3</c:v>
                </c:pt>
                <c:pt idx="104">
                  <c:v>4.0192158817353718E-3</c:v>
                </c:pt>
                <c:pt idx="105">
                  <c:v>4.4889940428407549E-3</c:v>
                </c:pt>
                <c:pt idx="106">
                  <c:v>4.1114183867676513E-3</c:v>
                </c:pt>
                <c:pt idx="107">
                  <c:v>5.2150965525907811E-3</c:v>
                </c:pt>
                <c:pt idx="108">
                  <c:v>4.1879362433587808E-3</c:v>
                </c:pt>
                <c:pt idx="109">
                  <c:v>4.8759233131381308E-3</c:v>
                </c:pt>
                <c:pt idx="110">
                  <c:v>3.0662179182754379E-3</c:v>
                </c:pt>
                <c:pt idx="111">
                  <c:v>2.5936866373676981E-3</c:v>
                </c:pt>
                <c:pt idx="112">
                  <c:v>3.0078738540821881E-3</c:v>
                </c:pt>
                <c:pt idx="113">
                  <c:v>4.6671579464505619E-3</c:v>
                </c:pt>
                <c:pt idx="114">
                  <c:v>5.3076609616951043E-3</c:v>
                </c:pt>
                <c:pt idx="115">
                  <c:v>6.2524700803598954E-3</c:v>
                </c:pt>
                <c:pt idx="116">
                  <c:v>5.5489536546555751E-3</c:v>
                </c:pt>
                <c:pt idx="117">
                  <c:v>4.3365481877635226E-3</c:v>
                </c:pt>
                <c:pt idx="118">
                  <c:v>3.3006920484235369E-3</c:v>
                </c:pt>
                <c:pt idx="119">
                  <c:v>3.1208690725850197E-3</c:v>
                </c:pt>
                <c:pt idx="120">
                  <c:v>4.7559126893694792E-3</c:v>
                </c:pt>
                <c:pt idx="121">
                  <c:v>5.4927174652636968E-3</c:v>
                </c:pt>
                <c:pt idx="122">
                  <c:v>5.7961633517711331E-3</c:v>
                </c:pt>
                <c:pt idx="123">
                  <c:v>4.9826922139339924E-3</c:v>
                </c:pt>
                <c:pt idx="124">
                  <c:v>3.6869578716549611E-3</c:v>
                </c:pt>
                <c:pt idx="125">
                  <c:v>3.7024147864586077E-3</c:v>
                </c:pt>
                <c:pt idx="126">
                  <c:v>4.0740062988182668E-3</c:v>
                </c:pt>
                <c:pt idx="127">
                  <c:v>6.4555116448605787E-3</c:v>
                </c:pt>
                <c:pt idx="128">
                  <c:v>6.4808196330712331E-3</c:v>
                </c:pt>
                <c:pt idx="129">
                  <c:v>5.9466881302967511E-3</c:v>
                </c:pt>
                <c:pt idx="130">
                  <c:v>5.186712226897372E-3</c:v>
                </c:pt>
                <c:pt idx="131">
                  <c:v>5.8903955648785811E-3</c:v>
                </c:pt>
                <c:pt idx="132">
                  <c:v>4.0684088518150308E-3</c:v>
                </c:pt>
                <c:pt idx="133">
                  <c:v>4.1539174779787746E-3</c:v>
                </c:pt>
                <c:pt idx="134">
                  <c:v>5.2355537498383065E-3</c:v>
                </c:pt>
                <c:pt idx="135">
                  <c:v>6.3748679557249499E-3</c:v>
                </c:pt>
                <c:pt idx="136">
                  <c:v>7.4845517027355424E-3</c:v>
                </c:pt>
                <c:pt idx="137">
                  <c:v>5.7982043685846918E-3</c:v>
                </c:pt>
                <c:pt idx="138">
                  <c:v>5.2963907078968919E-3</c:v>
                </c:pt>
                <c:pt idx="139">
                  <c:v>4.8115261587535763E-3</c:v>
                </c:pt>
                <c:pt idx="140">
                  <c:v>4.4763875017834742E-3</c:v>
                </c:pt>
                <c:pt idx="141">
                  <c:v>6.1076292100918916E-3</c:v>
                </c:pt>
                <c:pt idx="142">
                  <c:v>6.4234916265197839E-3</c:v>
                </c:pt>
                <c:pt idx="143">
                  <c:v>7.5397590783958801E-3</c:v>
                </c:pt>
                <c:pt idx="144">
                  <c:v>7.5442474025861905E-3</c:v>
                </c:pt>
                <c:pt idx="145">
                  <c:v>5.0609297947128429E-3</c:v>
                </c:pt>
                <c:pt idx="146">
                  <c:v>4.3050483351234625E-3</c:v>
                </c:pt>
                <c:pt idx="147">
                  <c:v>4.628837400321606E-3</c:v>
                </c:pt>
                <c:pt idx="148">
                  <c:v>4.7778430721274745E-3</c:v>
                </c:pt>
                <c:pt idx="149">
                  <c:v>6.3825458983879368E-3</c:v>
                </c:pt>
                <c:pt idx="150">
                  <c:v>7.9507458035390499E-3</c:v>
                </c:pt>
                <c:pt idx="151">
                  <c:v>5.1974096511384626E-3</c:v>
                </c:pt>
                <c:pt idx="152">
                  <c:v>5.1954745338620434E-3</c:v>
                </c:pt>
                <c:pt idx="153">
                  <c:v>5.4746034633896823E-3</c:v>
                </c:pt>
                <c:pt idx="154">
                  <c:v>4.6058691933148488E-3</c:v>
                </c:pt>
                <c:pt idx="155">
                  <c:v>6.9753733298401066E-3</c:v>
                </c:pt>
                <c:pt idx="156">
                  <c:v>6.0896289310221619E-3</c:v>
                </c:pt>
                <c:pt idx="157">
                  <c:v>7.2406965938016654E-3</c:v>
                </c:pt>
                <c:pt idx="158">
                  <c:v>7.4935213934419487E-3</c:v>
                </c:pt>
                <c:pt idx="159">
                  <c:v>5.940672904638733E-3</c:v>
                </c:pt>
                <c:pt idx="160">
                  <c:v>4.5202302071705169E-3</c:v>
                </c:pt>
                <c:pt idx="161">
                  <c:v>4.3580367556661503E-3</c:v>
                </c:pt>
                <c:pt idx="162">
                  <c:v>5.9476636980657638E-3</c:v>
                </c:pt>
                <c:pt idx="163">
                  <c:v>4.1106682370928294E-3</c:v>
                </c:pt>
                <c:pt idx="164">
                  <c:v>6.8981589373107166E-3</c:v>
                </c:pt>
                <c:pt idx="165">
                  <c:v>4.2586677776235149E-3</c:v>
                </c:pt>
                <c:pt idx="166">
                  <c:v>6.8141660904970092E-3</c:v>
                </c:pt>
                <c:pt idx="167">
                  <c:v>4.4102947572430828E-3</c:v>
                </c:pt>
                <c:pt idx="168">
                  <c:v>3.2058343145819901E-3</c:v>
                </c:pt>
                <c:pt idx="169">
                  <c:v>4.7858121871615644E-3</c:v>
                </c:pt>
                <c:pt idx="170">
                  <c:v>3.0371771586190643E-3</c:v>
                </c:pt>
                <c:pt idx="171">
                  <c:v>1.156342980795233E-2</c:v>
                </c:pt>
                <c:pt idx="172">
                  <c:v>7.9996434699289853E-3</c:v>
                </c:pt>
                <c:pt idx="173">
                  <c:v>3.419105727002103E-3</c:v>
                </c:pt>
                <c:pt idx="174">
                  <c:v>4.0169785271568781E-3</c:v>
                </c:pt>
                <c:pt idx="175">
                  <c:v>3.2987368251669036E-3</c:v>
                </c:pt>
                <c:pt idx="176">
                  <c:v>2.4130640810673398E-3</c:v>
                </c:pt>
                <c:pt idx="177">
                  <c:v>4.1090610250107407E-3</c:v>
                </c:pt>
                <c:pt idx="178">
                  <c:v>5.3018121767849369E-3</c:v>
                </c:pt>
                <c:pt idx="179">
                  <c:v>4.9136154699636059E-3</c:v>
                </c:pt>
                <c:pt idx="180">
                  <c:v>3.2549469457987534E-3</c:v>
                </c:pt>
                <c:pt idx="181">
                  <c:v>3.3873111609759032E-3</c:v>
                </c:pt>
                <c:pt idx="182">
                  <c:v>2.9841604466982474E-3</c:v>
                </c:pt>
                <c:pt idx="183">
                  <c:v>4.0120147414912655E-3</c:v>
                </c:pt>
                <c:pt idx="184">
                  <c:v>5.2902568745050171E-3</c:v>
                </c:pt>
                <c:pt idx="185">
                  <c:v>4.1508372027578844E-3</c:v>
                </c:pt>
                <c:pt idx="186">
                  <c:v>7.0272542562881402E-3</c:v>
                </c:pt>
                <c:pt idx="187">
                  <c:v>3.5969471172243583E-3</c:v>
                </c:pt>
                <c:pt idx="188">
                  <c:v>3.4662045060658286E-3</c:v>
                </c:pt>
                <c:pt idx="189">
                  <c:v>3.4542314335059832E-3</c:v>
                </c:pt>
                <c:pt idx="190">
                  <c:v>3.8072289156625416E-3</c:v>
                </c:pt>
                <c:pt idx="191">
                  <c:v>5.5828755238231942E-3</c:v>
                </c:pt>
                <c:pt idx="192">
                  <c:v>5.4018292558162262E-3</c:v>
                </c:pt>
                <c:pt idx="193">
                  <c:v>5.9562170559464001E-3</c:v>
                </c:pt>
                <c:pt idx="194">
                  <c:v>3.7562294739255098E-3</c:v>
                </c:pt>
                <c:pt idx="195">
                  <c:v>4.6222891080593964E-3</c:v>
                </c:pt>
                <c:pt idx="196">
                  <c:v>2.5813872615894073E-3</c:v>
                </c:pt>
                <c:pt idx="197">
                  <c:v>5.1294707773583692E-3</c:v>
                </c:pt>
                <c:pt idx="198">
                  <c:v>4.6055731416778656E-3</c:v>
                </c:pt>
                <c:pt idx="199">
                  <c:v>5.1195328343716096E-3</c:v>
                </c:pt>
                <c:pt idx="200">
                  <c:v>6.1121480585715204E-3</c:v>
                </c:pt>
                <c:pt idx="201">
                  <c:v>3.5992840625531652E-3</c:v>
                </c:pt>
                <c:pt idx="202">
                  <c:v>4.8816365849371213E-3</c:v>
                </c:pt>
                <c:pt idx="203">
                  <c:v>3.0378205418850612E-3</c:v>
                </c:pt>
                <c:pt idx="204">
                  <c:v>5.2758691946066527E-3</c:v>
                </c:pt>
                <c:pt idx="205">
                  <c:v>6.911924354255472E-3</c:v>
                </c:pt>
                <c:pt idx="206">
                  <c:v>5.9139133264007882E-3</c:v>
                </c:pt>
                <c:pt idx="207">
                  <c:v>7.2046475050102643E-3</c:v>
                </c:pt>
                <c:pt idx="208">
                  <c:v>6.340830667707742E-3</c:v>
                </c:pt>
                <c:pt idx="209">
                  <c:v>6.5824463924815113E-3</c:v>
                </c:pt>
                <c:pt idx="210">
                  <c:v>7.2729081064952794E-3</c:v>
                </c:pt>
                <c:pt idx="211">
                  <c:v>5.2640998265871541E-3</c:v>
                </c:pt>
                <c:pt idx="212">
                  <c:v>9.0426903385023572E-3</c:v>
                </c:pt>
                <c:pt idx="213">
                  <c:v>9.8377411524210867E-3</c:v>
                </c:pt>
                <c:pt idx="214">
                  <c:v>9.5551378446114832E-3</c:v>
                </c:pt>
                <c:pt idx="215">
                  <c:v>1.0139046368681681E-2</c:v>
                </c:pt>
                <c:pt idx="216">
                  <c:v>7.6387288871559988E-3</c:v>
                </c:pt>
                <c:pt idx="217">
                  <c:v>7.4107949015607133E-3</c:v>
                </c:pt>
                <c:pt idx="218">
                  <c:v>9.8646304982947797E-3</c:v>
                </c:pt>
                <c:pt idx="219">
                  <c:v>1.0995787253416101E-2</c:v>
                </c:pt>
                <c:pt idx="220">
                  <c:v>7.980436529878121E-3</c:v>
                </c:pt>
                <c:pt idx="221">
                  <c:v>1.355546884278036E-2</c:v>
                </c:pt>
                <c:pt idx="222">
                  <c:v>9.9371742939082797E-3</c:v>
                </c:pt>
                <c:pt idx="223">
                  <c:v>1.0447109780284736E-2</c:v>
                </c:pt>
                <c:pt idx="224">
                  <c:v>7.5069164233616537E-3</c:v>
                </c:pt>
                <c:pt idx="225">
                  <c:v>1.2411068480661536E-2</c:v>
                </c:pt>
                <c:pt idx="226">
                  <c:v>1.3690112458323966E-2</c:v>
                </c:pt>
                <c:pt idx="227">
                  <c:v>1.4605101738652149E-2</c:v>
                </c:pt>
                <c:pt idx="228">
                  <c:v>1.7047645850922999E-2</c:v>
                </c:pt>
                <c:pt idx="229">
                  <c:v>1.7715032411796283E-2</c:v>
                </c:pt>
                <c:pt idx="230">
                  <c:v>1.3333199061439371E-2</c:v>
                </c:pt>
                <c:pt idx="231">
                  <c:v>1.2178881987577661E-2</c:v>
                </c:pt>
                <c:pt idx="232">
                  <c:v>1.4806014698013348E-2</c:v>
                </c:pt>
                <c:pt idx="233">
                  <c:v>1.854709578796121E-2</c:v>
                </c:pt>
                <c:pt idx="234">
                  <c:v>2.5176798020432045E-2</c:v>
                </c:pt>
                <c:pt idx="235">
                  <c:v>2.170005374052586E-2</c:v>
                </c:pt>
                <c:pt idx="236">
                  <c:v>1.7072042659701747E-2</c:v>
                </c:pt>
                <c:pt idx="237">
                  <c:v>1.9857245397925105E-2</c:v>
                </c:pt>
                <c:pt idx="238">
                  <c:v>1.8959148433913997E-2</c:v>
                </c:pt>
                <c:pt idx="239">
                  <c:v>1.7533849295557014E-2</c:v>
                </c:pt>
                <c:pt idx="240">
                  <c:v>2.2189991525388031E-2</c:v>
                </c:pt>
                <c:pt idx="241">
                  <c:v>2.4537827604127926E-2</c:v>
                </c:pt>
                <c:pt idx="242">
                  <c:v>1.5290409072792555E-2</c:v>
                </c:pt>
                <c:pt idx="243">
                  <c:v>1.8751809159003763E-2</c:v>
                </c:pt>
                <c:pt idx="244">
                  <c:v>1.7616515775461528E-2</c:v>
                </c:pt>
                <c:pt idx="245">
                  <c:v>1.6886981533330347E-2</c:v>
                </c:pt>
                <c:pt idx="246">
                  <c:v>9.4222877540350858E-3</c:v>
                </c:pt>
                <c:pt idx="247">
                  <c:v>2.1936623392109222E-2</c:v>
                </c:pt>
                <c:pt idx="248">
                  <c:v>1.640468038402787E-2</c:v>
                </c:pt>
                <c:pt idx="249">
                  <c:v>1.5576681614349885E-2</c:v>
                </c:pt>
                <c:pt idx="250">
                  <c:v>1.3811764373419244E-2</c:v>
                </c:pt>
                <c:pt idx="251">
                  <c:v>1.1686329711988019E-2</c:v>
                </c:pt>
                <c:pt idx="252">
                  <c:v>1.0163385636942301E-2</c:v>
                </c:pt>
                <c:pt idx="253">
                  <c:v>1.4363789476555366E-2</c:v>
                </c:pt>
                <c:pt idx="254">
                  <c:v>1.6287980639956956E-2</c:v>
                </c:pt>
                <c:pt idx="255">
                  <c:v>9.1511611755290545E-3</c:v>
                </c:pt>
                <c:pt idx="256">
                  <c:v>9.1337220163010269E-3</c:v>
                </c:pt>
                <c:pt idx="257">
                  <c:v>8.6743309950636505E-3</c:v>
                </c:pt>
                <c:pt idx="258">
                  <c:v>7.1283456378323784E-3</c:v>
                </c:pt>
                <c:pt idx="259">
                  <c:v>1.3983152443215463E-2</c:v>
                </c:pt>
                <c:pt idx="260">
                  <c:v>1.0981180973519633E-2</c:v>
                </c:pt>
                <c:pt idx="261">
                  <c:v>1.3210171457796793E-2</c:v>
                </c:pt>
                <c:pt idx="262">
                  <c:v>1.1760614100425393E-2</c:v>
                </c:pt>
                <c:pt idx="263">
                  <c:v>1.1423130394044856E-2</c:v>
                </c:pt>
                <c:pt idx="264">
                  <c:v>9.6639135691813927E-3</c:v>
                </c:pt>
                <c:pt idx="265">
                  <c:v>1.1174099682144334E-2</c:v>
                </c:pt>
                <c:pt idx="266">
                  <c:v>7.4917952615793926E-3</c:v>
                </c:pt>
                <c:pt idx="267">
                  <c:v>8.6349826452347678E-3</c:v>
                </c:pt>
                <c:pt idx="268">
                  <c:v>1.3393866652750885E-2</c:v>
                </c:pt>
                <c:pt idx="269">
                  <c:v>9.7838960503957573E-3</c:v>
                </c:pt>
                <c:pt idx="270">
                  <c:v>9.8817476641339663E-3</c:v>
                </c:pt>
                <c:pt idx="271">
                  <c:v>8.3487159921675769E-3</c:v>
                </c:pt>
                <c:pt idx="272">
                  <c:v>8.752552595997054E-3</c:v>
                </c:pt>
                <c:pt idx="273">
                  <c:v>7.0604328927916793E-3</c:v>
                </c:pt>
                <c:pt idx="274">
                  <c:v>5.8634401770261135E-3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FA-429F-94DD-1EF8A5EB2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086448"/>
        <c:axId val="1432229904"/>
      </c:scatterChart>
      <c:valAx>
        <c:axId val="117508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29904"/>
        <c:crosses val="autoZero"/>
        <c:crossBetween val="midCat"/>
      </c:valAx>
      <c:valAx>
        <c:axId val="143222990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5086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County'!$H$1</c:f>
              <c:strCache>
                <c:ptCount val="1"/>
                <c:pt idx="0">
                  <c:v>new deaths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275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</c:numCache>
            </c:numRef>
          </c:xVal>
          <c:yVal>
            <c:numRef>
              <c:f>[0]!cook_new_deaths</c:f>
              <c:numCache>
                <c:formatCode>General</c:formatCode>
                <c:ptCount val="275"/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2.4852813742385695</c:v>
                </c:pt>
                <c:pt idx="7">
                  <c:v>3.5147186257614305</c:v>
                </c:pt>
                <c:pt idx="8">
                  <c:v>1</c:v>
                </c:pt>
                <c:pt idx="9">
                  <c:v>5</c:v>
                </c:pt>
                <c:pt idx="10">
                  <c:v>2</c:v>
                </c:pt>
                <c:pt idx="11">
                  <c:v>8</c:v>
                </c:pt>
                <c:pt idx="12">
                  <c:v>12</c:v>
                </c:pt>
                <c:pt idx="13">
                  <c:v>4</c:v>
                </c:pt>
                <c:pt idx="14">
                  <c:v>17</c:v>
                </c:pt>
                <c:pt idx="15">
                  <c:v>34</c:v>
                </c:pt>
                <c:pt idx="16">
                  <c:v>12</c:v>
                </c:pt>
                <c:pt idx="17">
                  <c:v>34</c:v>
                </c:pt>
                <c:pt idx="18">
                  <c:v>26</c:v>
                </c:pt>
                <c:pt idx="19">
                  <c:v>19</c:v>
                </c:pt>
                <c:pt idx="20">
                  <c:v>23</c:v>
                </c:pt>
                <c:pt idx="21">
                  <c:v>40</c:v>
                </c:pt>
                <c:pt idx="22">
                  <c:v>63</c:v>
                </c:pt>
                <c:pt idx="23">
                  <c:v>39</c:v>
                </c:pt>
                <c:pt idx="24">
                  <c:v>47</c:v>
                </c:pt>
                <c:pt idx="25">
                  <c:v>55</c:v>
                </c:pt>
                <c:pt idx="26">
                  <c:v>32</c:v>
                </c:pt>
                <c:pt idx="27">
                  <c:v>58</c:v>
                </c:pt>
                <c:pt idx="28">
                  <c:v>34</c:v>
                </c:pt>
                <c:pt idx="29">
                  <c:v>53</c:v>
                </c:pt>
                <c:pt idx="30">
                  <c:v>92</c:v>
                </c:pt>
                <c:pt idx="31">
                  <c:v>38</c:v>
                </c:pt>
                <c:pt idx="32">
                  <c:v>100</c:v>
                </c:pt>
                <c:pt idx="33">
                  <c:v>17</c:v>
                </c:pt>
                <c:pt idx="34">
                  <c:v>38</c:v>
                </c:pt>
                <c:pt idx="35">
                  <c:v>87</c:v>
                </c:pt>
                <c:pt idx="36">
                  <c:v>70</c:v>
                </c:pt>
                <c:pt idx="37">
                  <c:v>70</c:v>
                </c:pt>
                <c:pt idx="38">
                  <c:v>78</c:v>
                </c:pt>
                <c:pt idx="39">
                  <c:v>47</c:v>
                </c:pt>
                <c:pt idx="40">
                  <c:v>46</c:v>
                </c:pt>
                <c:pt idx="41">
                  <c:v>34</c:v>
                </c:pt>
                <c:pt idx="42">
                  <c:v>110</c:v>
                </c:pt>
                <c:pt idx="43">
                  <c:v>59</c:v>
                </c:pt>
                <c:pt idx="44">
                  <c:v>91</c:v>
                </c:pt>
                <c:pt idx="45">
                  <c:v>66</c:v>
                </c:pt>
                <c:pt idx="46">
                  <c:v>70</c:v>
                </c:pt>
                <c:pt idx="47">
                  <c:v>43</c:v>
                </c:pt>
                <c:pt idx="48">
                  <c:v>16</c:v>
                </c:pt>
                <c:pt idx="49">
                  <c:v>120</c:v>
                </c:pt>
                <c:pt idx="50">
                  <c:v>82</c:v>
                </c:pt>
                <c:pt idx="51">
                  <c:v>106</c:v>
                </c:pt>
                <c:pt idx="52">
                  <c:v>87</c:v>
                </c:pt>
                <c:pt idx="53">
                  <c:v>67</c:v>
                </c:pt>
                <c:pt idx="54">
                  <c:v>53</c:v>
                </c:pt>
                <c:pt idx="55">
                  <c:v>44</c:v>
                </c:pt>
                <c:pt idx="56">
                  <c:v>88</c:v>
                </c:pt>
                <c:pt idx="57">
                  <c:v>140</c:v>
                </c:pt>
                <c:pt idx="58">
                  <c:v>86</c:v>
                </c:pt>
                <c:pt idx="59">
                  <c:v>87</c:v>
                </c:pt>
                <c:pt idx="60">
                  <c:v>52</c:v>
                </c:pt>
                <c:pt idx="61">
                  <c:v>25</c:v>
                </c:pt>
                <c:pt idx="62">
                  <c:v>50</c:v>
                </c:pt>
                <c:pt idx="63">
                  <c:v>91</c:v>
                </c:pt>
                <c:pt idx="64">
                  <c:v>94</c:v>
                </c:pt>
                <c:pt idx="65">
                  <c:v>40</c:v>
                </c:pt>
                <c:pt idx="66">
                  <c:v>73</c:v>
                </c:pt>
                <c:pt idx="67">
                  <c:v>59</c:v>
                </c:pt>
                <c:pt idx="68">
                  <c:v>58</c:v>
                </c:pt>
                <c:pt idx="69">
                  <c:v>20</c:v>
                </c:pt>
                <c:pt idx="70">
                  <c:v>30</c:v>
                </c:pt>
                <c:pt idx="71">
                  <c:v>101</c:v>
                </c:pt>
                <c:pt idx="72">
                  <c:v>64</c:v>
                </c:pt>
                <c:pt idx="73">
                  <c:v>51</c:v>
                </c:pt>
                <c:pt idx="74">
                  <c:v>33</c:v>
                </c:pt>
                <c:pt idx="75">
                  <c:v>39</c:v>
                </c:pt>
                <c:pt idx="76">
                  <c:v>16</c:v>
                </c:pt>
                <c:pt idx="77">
                  <c:v>68</c:v>
                </c:pt>
                <c:pt idx="78">
                  <c:v>54</c:v>
                </c:pt>
                <c:pt idx="79">
                  <c:v>66</c:v>
                </c:pt>
                <c:pt idx="80">
                  <c:v>34</c:v>
                </c:pt>
                <c:pt idx="81">
                  <c:v>33</c:v>
                </c:pt>
                <c:pt idx="82">
                  <c:v>31</c:v>
                </c:pt>
                <c:pt idx="83">
                  <c:v>15</c:v>
                </c:pt>
                <c:pt idx="84">
                  <c:v>51</c:v>
                </c:pt>
                <c:pt idx="85">
                  <c:v>43</c:v>
                </c:pt>
                <c:pt idx="86">
                  <c:v>58</c:v>
                </c:pt>
                <c:pt idx="87">
                  <c:v>51</c:v>
                </c:pt>
                <c:pt idx="88">
                  <c:v>11</c:v>
                </c:pt>
                <c:pt idx="89">
                  <c:v>16</c:v>
                </c:pt>
                <c:pt idx="90">
                  <c:v>17</c:v>
                </c:pt>
                <c:pt idx="91">
                  <c:v>47</c:v>
                </c:pt>
                <c:pt idx="92">
                  <c:v>51</c:v>
                </c:pt>
                <c:pt idx="93">
                  <c:v>29</c:v>
                </c:pt>
                <c:pt idx="94">
                  <c:v>30</c:v>
                </c:pt>
                <c:pt idx="95">
                  <c:v>27</c:v>
                </c:pt>
                <c:pt idx="96">
                  <c:v>14</c:v>
                </c:pt>
                <c:pt idx="97">
                  <c:v>19</c:v>
                </c:pt>
                <c:pt idx="98">
                  <c:v>16</c:v>
                </c:pt>
                <c:pt idx="99">
                  <c:v>39</c:v>
                </c:pt>
                <c:pt idx="100">
                  <c:v>22</c:v>
                </c:pt>
                <c:pt idx="101">
                  <c:v>26</c:v>
                </c:pt>
                <c:pt idx="102">
                  <c:v>10</c:v>
                </c:pt>
                <c:pt idx="103">
                  <c:v>6</c:v>
                </c:pt>
                <c:pt idx="104">
                  <c:v>12</c:v>
                </c:pt>
                <c:pt idx="105">
                  <c:v>11</c:v>
                </c:pt>
                <c:pt idx="106">
                  <c:v>16</c:v>
                </c:pt>
                <c:pt idx="107">
                  <c:v>28</c:v>
                </c:pt>
                <c:pt idx="108">
                  <c:v>9</c:v>
                </c:pt>
                <c:pt idx="109">
                  <c:v>4</c:v>
                </c:pt>
                <c:pt idx="110">
                  <c:v>5</c:v>
                </c:pt>
                <c:pt idx="111">
                  <c:v>3</c:v>
                </c:pt>
                <c:pt idx="112">
                  <c:v>21</c:v>
                </c:pt>
                <c:pt idx="113">
                  <c:v>13</c:v>
                </c:pt>
                <c:pt idx="114">
                  <c:v>12</c:v>
                </c:pt>
                <c:pt idx="115">
                  <c:v>17</c:v>
                </c:pt>
                <c:pt idx="116">
                  <c:v>18</c:v>
                </c:pt>
                <c:pt idx="117">
                  <c:v>14</c:v>
                </c:pt>
                <c:pt idx="118">
                  <c:v>4</c:v>
                </c:pt>
                <c:pt idx="119">
                  <c:v>12</c:v>
                </c:pt>
                <c:pt idx="120">
                  <c:v>4</c:v>
                </c:pt>
                <c:pt idx="121">
                  <c:v>5</c:v>
                </c:pt>
                <c:pt idx="122">
                  <c:v>15</c:v>
                </c:pt>
                <c:pt idx="123">
                  <c:v>9</c:v>
                </c:pt>
                <c:pt idx="124">
                  <c:v>2</c:v>
                </c:pt>
                <c:pt idx="125">
                  <c:v>1</c:v>
                </c:pt>
                <c:pt idx="126">
                  <c:v>11</c:v>
                </c:pt>
                <c:pt idx="127">
                  <c:v>13</c:v>
                </c:pt>
                <c:pt idx="128">
                  <c:v>9</c:v>
                </c:pt>
                <c:pt idx="129">
                  <c:v>12</c:v>
                </c:pt>
                <c:pt idx="130">
                  <c:v>7</c:v>
                </c:pt>
                <c:pt idx="131">
                  <c:v>1</c:v>
                </c:pt>
                <c:pt idx="132">
                  <c:v>12</c:v>
                </c:pt>
                <c:pt idx="133">
                  <c:v>15</c:v>
                </c:pt>
                <c:pt idx="134">
                  <c:v>7</c:v>
                </c:pt>
                <c:pt idx="135">
                  <c:v>8</c:v>
                </c:pt>
                <c:pt idx="136">
                  <c:v>14</c:v>
                </c:pt>
                <c:pt idx="137">
                  <c:v>2</c:v>
                </c:pt>
                <c:pt idx="138">
                  <c:v>6</c:v>
                </c:pt>
                <c:pt idx="139">
                  <c:v>3</c:v>
                </c:pt>
                <c:pt idx="140">
                  <c:v>5</c:v>
                </c:pt>
                <c:pt idx="141">
                  <c:v>7</c:v>
                </c:pt>
                <c:pt idx="142">
                  <c:v>3</c:v>
                </c:pt>
                <c:pt idx="143">
                  <c:v>8</c:v>
                </c:pt>
                <c:pt idx="144">
                  <c:v>4</c:v>
                </c:pt>
                <c:pt idx="145">
                  <c:v>4</c:v>
                </c:pt>
                <c:pt idx="146">
                  <c:v>0</c:v>
                </c:pt>
                <c:pt idx="147">
                  <c:v>5</c:v>
                </c:pt>
                <c:pt idx="148">
                  <c:v>1</c:v>
                </c:pt>
                <c:pt idx="149">
                  <c:v>9</c:v>
                </c:pt>
                <c:pt idx="150">
                  <c:v>8</c:v>
                </c:pt>
                <c:pt idx="151">
                  <c:v>2</c:v>
                </c:pt>
                <c:pt idx="152">
                  <c:v>9</c:v>
                </c:pt>
                <c:pt idx="153">
                  <c:v>2</c:v>
                </c:pt>
                <c:pt idx="154">
                  <c:v>9</c:v>
                </c:pt>
                <c:pt idx="155">
                  <c:v>11</c:v>
                </c:pt>
                <c:pt idx="156">
                  <c:v>4</c:v>
                </c:pt>
                <c:pt idx="157">
                  <c:v>9</c:v>
                </c:pt>
                <c:pt idx="158">
                  <c:v>11</c:v>
                </c:pt>
                <c:pt idx="159">
                  <c:v>5</c:v>
                </c:pt>
                <c:pt idx="160">
                  <c:v>2</c:v>
                </c:pt>
                <c:pt idx="161">
                  <c:v>7</c:v>
                </c:pt>
                <c:pt idx="162">
                  <c:v>9</c:v>
                </c:pt>
                <c:pt idx="163">
                  <c:v>8</c:v>
                </c:pt>
                <c:pt idx="164">
                  <c:v>6</c:v>
                </c:pt>
                <c:pt idx="165">
                  <c:v>1</c:v>
                </c:pt>
                <c:pt idx="166">
                  <c:v>8</c:v>
                </c:pt>
                <c:pt idx="167">
                  <c:v>4</c:v>
                </c:pt>
                <c:pt idx="168">
                  <c:v>7</c:v>
                </c:pt>
                <c:pt idx="169">
                  <c:v>8</c:v>
                </c:pt>
                <c:pt idx="170">
                  <c:v>7</c:v>
                </c:pt>
                <c:pt idx="171">
                  <c:v>6</c:v>
                </c:pt>
                <c:pt idx="172">
                  <c:v>6</c:v>
                </c:pt>
                <c:pt idx="173">
                  <c:v>2</c:v>
                </c:pt>
                <c:pt idx="174">
                  <c:v>3</c:v>
                </c:pt>
                <c:pt idx="175">
                  <c:v>1</c:v>
                </c:pt>
                <c:pt idx="176">
                  <c:v>2</c:v>
                </c:pt>
                <c:pt idx="177">
                  <c:v>3</c:v>
                </c:pt>
                <c:pt idx="178">
                  <c:v>9</c:v>
                </c:pt>
                <c:pt idx="179">
                  <c:v>16</c:v>
                </c:pt>
                <c:pt idx="180">
                  <c:v>5</c:v>
                </c:pt>
                <c:pt idx="181">
                  <c:v>1</c:v>
                </c:pt>
                <c:pt idx="182">
                  <c:v>3</c:v>
                </c:pt>
                <c:pt idx="183">
                  <c:v>9</c:v>
                </c:pt>
                <c:pt idx="184">
                  <c:v>1</c:v>
                </c:pt>
                <c:pt idx="185">
                  <c:v>3</c:v>
                </c:pt>
                <c:pt idx="186">
                  <c:v>7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8</c:v>
                </c:pt>
                <c:pt idx="191">
                  <c:v>7</c:v>
                </c:pt>
                <c:pt idx="192">
                  <c:v>7</c:v>
                </c:pt>
                <c:pt idx="193">
                  <c:v>9</c:v>
                </c:pt>
                <c:pt idx="194">
                  <c:v>7</c:v>
                </c:pt>
                <c:pt idx="195">
                  <c:v>7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10</c:v>
                </c:pt>
                <c:pt idx="200">
                  <c:v>6</c:v>
                </c:pt>
                <c:pt idx="201">
                  <c:v>11</c:v>
                </c:pt>
                <c:pt idx="202">
                  <c:v>4</c:v>
                </c:pt>
                <c:pt idx="203">
                  <c:v>8</c:v>
                </c:pt>
                <c:pt idx="204">
                  <c:v>5</c:v>
                </c:pt>
                <c:pt idx="205">
                  <c:v>6</c:v>
                </c:pt>
                <c:pt idx="206">
                  <c:v>10</c:v>
                </c:pt>
                <c:pt idx="207">
                  <c:v>9</c:v>
                </c:pt>
                <c:pt idx="208">
                  <c:v>2</c:v>
                </c:pt>
                <c:pt idx="209">
                  <c:v>4</c:v>
                </c:pt>
                <c:pt idx="210">
                  <c:v>11</c:v>
                </c:pt>
                <c:pt idx="211">
                  <c:v>6</c:v>
                </c:pt>
                <c:pt idx="212">
                  <c:v>11</c:v>
                </c:pt>
                <c:pt idx="213">
                  <c:v>7</c:v>
                </c:pt>
                <c:pt idx="214">
                  <c:v>11</c:v>
                </c:pt>
                <c:pt idx="215">
                  <c:v>7</c:v>
                </c:pt>
                <c:pt idx="216">
                  <c:v>7</c:v>
                </c:pt>
                <c:pt idx="217">
                  <c:v>5</c:v>
                </c:pt>
                <c:pt idx="218">
                  <c:v>13</c:v>
                </c:pt>
                <c:pt idx="219">
                  <c:v>8</c:v>
                </c:pt>
                <c:pt idx="220">
                  <c:v>2</c:v>
                </c:pt>
                <c:pt idx="221">
                  <c:v>17</c:v>
                </c:pt>
                <c:pt idx="222">
                  <c:v>12</c:v>
                </c:pt>
                <c:pt idx="223">
                  <c:v>12</c:v>
                </c:pt>
                <c:pt idx="224">
                  <c:v>6</c:v>
                </c:pt>
                <c:pt idx="225">
                  <c:v>11</c:v>
                </c:pt>
                <c:pt idx="226">
                  <c:v>13</c:v>
                </c:pt>
                <c:pt idx="227">
                  <c:v>6</c:v>
                </c:pt>
                <c:pt idx="228">
                  <c:v>16</c:v>
                </c:pt>
                <c:pt idx="229">
                  <c:v>15</c:v>
                </c:pt>
                <c:pt idx="230">
                  <c:v>10</c:v>
                </c:pt>
                <c:pt idx="231">
                  <c:v>7</c:v>
                </c:pt>
                <c:pt idx="232">
                  <c:v>24</c:v>
                </c:pt>
                <c:pt idx="233">
                  <c:v>33</c:v>
                </c:pt>
                <c:pt idx="234">
                  <c:v>12</c:v>
                </c:pt>
                <c:pt idx="235">
                  <c:v>26</c:v>
                </c:pt>
                <c:pt idx="236">
                  <c:v>27</c:v>
                </c:pt>
                <c:pt idx="237">
                  <c:v>6</c:v>
                </c:pt>
                <c:pt idx="238">
                  <c:v>22</c:v>
                </c:pt>
                <c:pt idx="239">
                  <c:v>50</c:v>
                </c:pt>
                <c:pt idx="240">
                  <c:v>8</c:v>
                </c:pt>
                <c:pt idx="241">
                  <c:v>4</c:v>
                </c:pt>
                <c:pt idx="242">
                  <c:v>68</c:v>
                </c:pt>
                <c:pt idx="243">
                  <c:v>20</c:v>
                </c:pt>
                <c:pt idx="244">
                  <c:v>19</c:v>
                </c:pt>
                <c:pt idx="245">
                  <c:v>19</c:v>
                </c:pt>
                <c:pt idx="246">
                  <c:v>80</c:v>
                </c:pt>
                <c:pt idx="247">
                  <c:v>32</c:v>
                </c:pt>
                <c:pt idx="248">
                  <c:v>50</c:v>
                </c:pt>
                <c:pt idx="249">
                  <c:v>49</c:v>
                </c:pt>
                <c:pt idx="250">
                  <c:v>40</c:v>
                </c:pt>
                <c:pt idx="251">
                  <c:v>33</c:v>
                </c:pt>
                <c:pt idx="252">
                  <c:v>44</c:v>
                </c:pt>
                <c:pt idx="253">
                  <c:v>25</c:v>
                </c:pt>
                <c:pt idx="254">
                  <c:v>29</c:v>
                </c:pt>
                <c:pt idx="255">
                  <c:v>26</c:v>
                </c:pt>
                <c:pt idx="256">
                  <c:v>75</c:v>
                </c:pt>
                <c:pt idx="257">
                  <c:v>33</c:v>
                </c:pt>
                <c:pt idx="258">
                  <c:v>65</c:v>
                </c:pt>
                <c:pt idx="259">
                  <c:v>21</c:v>
                </c:pt>
                <c:pt idx="260">
                  <c:v>71</c:v>
                </c:pt>
                <c:pt idx="261">
                  <c:v>46</c:v>
                </c:pt>
                <c:pt idx="262">
                  <c:v>23</c:v>
                </c:pt>
                <c:pt idx="263">
                  <c:v>64</c:v>
                </c:pt>
                <c:pt idx="264">
                  <c:v>23</c:v>
                </c:pt>
                <c:pt idx="265">
                  <c:v>61</c:v>
                </c:pt>
                <c:pt idx="266">
                  <c:v>32</c:v>
                </c:pt>
                <c:pt idx="267">
                  <c:v>64</c:v>
                </c:pt>
                <c:pt idx="268">
                  <c:v>59</c:v>
                </c:pt>
                <c:pt idx="269">
                  <c:v>70</c:v>
                </c:pt>
                <c:pt idx="270">
                  <c:v>31</c:v>
                </c:pt>
                <c:pt idx="271">
                  <c:v>28</c:v>
                </c:pt>
                <c:pt idx="272">
                  <c:v>88</c:v>
                </c:pt>
                <c:pt idx="273">
                  <c:v>13</c:v>
                </c:pt>
                <c:pt idx="274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CE-4CC5-B69A-555775B7B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157888"/>
        <c:axId val="351506144"/>
      </c:scatterChart>
      <c:valAx>
        <c:axId val="476157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506144"/>
        <c:crosses val="autoZero"/>
        <c:crossBetween val="midCat"/>
      </c:valAx>
      <c:valAx>
        <c:axId val="35150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57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275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</c:numCache>
            </c:numRef>
          </c:xVal>
          <c:yVal>
            <c:numRef>
              <c:f>[0]!cook_new_cases</c:f>
              <c:numCache>
                <c:formatCode>General</c:formatCode>
                <c:ptCount val="275"/>
                <c:pt idx="1">
                  <c:v>71</c:v>
                </c:pt>
                <c:pt idx="2">
                  <c:v>101</c:v>
                </c:pt>
                <c:pt idx="3">
                  <c:v>134</c:v>
                </c:pt>
                <c:pt idx="4">
                  <c:v>138</c:v>
                </c:pt>
                <c:pt idx="5">
                  <c:v>259</c:v>
                </c:pt>
                <c:pt idx="6">
                  <c:v>177.87805980541407</c:v>
                </c:pt>
                <c:pt idx="7">
                  <c:v>217.12194019458593</c:v>
                </c:pt>
                <c:pt idx="8">
                  <c:v>225</c:v>
                </c:pt>
                <c:pt idx="9">
                  <c:v>491</c:v>
                </c:pt>
                <c:pt idx="10">
                  <c:v>337</c:v>
                </c:pt>
                <c:pt idx="11">
                  <c:v>382</c:v>
                </c:pt>
                <c:pt idx="12">
                  <c:v>844</c:v>
                </c:pt>
                <c:pt idx="13">
                  <c:v>286</c:v>
                </c:pt>
                <c:pt idx="14">
                  <c:v>786</c:v>
                </c:pt>
                <c:pt idx="15">
                  <c:v>690</c:v>
                </c:pt>
                <c:pt idx="16">
                  <c:v>435</c:v>
                </c:pt>
                <c:pt idx="17">
                  <c:v>932</c:v>
                </c:pt>
                <c:pt idx="18">
                  <c:v>992</c:v>
                </c:pt>
                <c:pt idx="19">
                  <c:v>614</c:v>
                </c:pt>
                <c:pt idx="20">
                  <c:v>717</c:v>
                </c:pt>
                <c:pt idx="21">
                  <c:v>821</c:v>
                </c:pt>
                <c:pt idx="22">
                  <c:v>1074</c:v>
                </c:pt>
                <c:pt idx="23">
                  <c:v>934</c:v>
                </c:pt>
                <c:pt idx="24">
                  <c:v>1104</c:v>
                </c:pt>
                <c:pt idx="25">
                  <c:v>1000</c:v>
                </c:pt>
                <c:pt idx="26">
                  <c:v>1200</c:v>
                </c:pt>
                <c:pt idx="27">
                  <c:v>947</c:v>
                </c:pt>
                <c:pt idx="28">
                  <c:v>883</c:v>
                </c:pt>
                <c:pt idx="29">
                  <c:v>1036</c:v>
                </c:pt>
                <c:pt idx="30">
                  <c:v>873</c:v>
                </c:pt>
                <c:pt idx="31">
                  <c:v>1342</c:v>
                </c:pt>
                <c:pt idx="32">
                  <c:v>1104</c:v>
                </c:pt>
                <c:pt idx="33">
                  <c:v>894</c:v>
                </c:pt>
                <c:pt idx="34">
                  <c:v>867</c:v>
                </c:pt>
                <c:pt idx="35">
                  <c:v>1167</c:v>
                </c:pt>
                <c:pt idx="36">
                  <c:v>1435</c:v>
                </c:pt>
                <c:pt idx="37">
                  <c:v>1335</c:v>
                </c:pt>
                <c:pt idx="38">
                  <c:v>1883</c:v>
                </c:pt>
                <c:pt idx="39">
                  <c:v>1489</c:v>
                </c:pt>
                <c:pt idx="40">
                  <c:v>1562</c:v>
                </c:pt>
                <c:pt idx="41">
                  <c:v>1413</c:v>
                </c:pt>
                <c:pt idx="42">
                  <c:v>1606</c:v>
                </c:pt>
                <c:pt idx="43">
                  <c:v>1490</c:v>
                </c:pt>
                <c:pt idx="44">
                  <c:v>1724</c:v>
                </c:pt>
                <c:pt idx="45">
                  <c:v>2221</c:v>
                </c:pt>
                <c:pt idx="46">
                  <c:v>1629</c:v>
                </c:pt>
                <c:pt idx="47">
                  <c:v>2140</c:v>
                </c:pt>
                <c:pt idx="48">
                  <c:v>1407</c:v>
                </c:pt>
                <c:pt idx="49">
                  <c:v>1628</c:v>
                </c:pt>
                <c:pt idx="50">
                  <c:v>1548</c:v>
                </c:pt>
                <c:pt idx="51">
                  <c:v>1758</c:v>
                </c:pt>
                <c:pt idx="52">
                  <c:v>1982</c:v>
                </c:pt>
                <c:pt idx="53">
                  <c:v>1505</c:v>
                </c:pt>
                <c:pt idx="54">
                  <c:v>1034</c:v>
                </c:pt>
                <c:pt idx="55">
                  <c:v>770</c:v>
                </c:pt>
                <c:pt idx="56">
                  <c:v>2177</c:v>
                </c:pt>
                <c:pt idx="57">
                  <c:v>1076</c:v>
                </c:pt>
                <c:pt idx="58">
                  <c:v>2137</c:v>
                </c:pt>
                <c:pt idx="59">
                  <c:v>1535</c:v>
                </c:pt>
                <c:pt idx="60">
                  <c:v>1359</c:v>
                </c:pt>
                <c:pt idx="61">
                  <c:v>1031</c:v>
                </c:pt>
                <c:pt idx="62">
                  <c:v>1522</c:v>
                </c:pt>
                <c:pt idx="63">
                  <c:v>1092</c:v>
                </c:pt>
                <c:pt idx="64">
                  <c:v>1616</c:v>
                </c:pt>
                <c:pt idx="65">
                  <c:v>1378</c:v>
                </c:pt>
                <c:pt idx="66">
                  <c:v>1471</c:v>
                </c:pt>
                <c:pt idx="67">
                  <c:v>1527</c:v>
                </c:pt>
                <c:pt idx="68">
                  <c:v>1651</c:v>
                </c:pt>
                <c:pt idx="69">
                  <c:v>1107</c:v>
                </c:pt>
                <c:pt idx="70">
                  <c:v>752</c:v>
                </c:pt>
                <c:pt idx="71">
                  <c:v>803</c:v>
                </c:pt>
                <c:pt idx="72">
                  <c:v>849</c:v>
                </c:pt>
                <c:pt idx="73">
                  <c:v>1011</c:v>
                </c:pt>
                <c:pt idx="74">
                  <c:v>886</c:v>
                </c:pt>
                <c:pt idx="75">
                  <c:v>845</c:v>
                </c:pt>
                <c:pt idx="76">
                  <c:v>586</c:v>
                </c:pt>
                <c:pt idx="77">
                  <c:v>1246</c:v>
                </c:pt>
                <c:pt idx="78">
                  <c:v>585</c:v>
                </c:pt>
                <c:pt idx="79">
                  <c:v>575</c:v>
                </c:pt>
                <c:pt idx="80">
                  <c:v>665</c:v>
                </c:pt>
                <c:pt idx="81">
                  <c:v>613</c:v>
                </c:pt>
                <c:pt idx="82">
                  <c:v>534</c:v>
                </c:pt>
                <c:pt idx="83">
                  <c:v>407</c:v>
                </c:pt>
                <c:pt idx="84">
                  <c:v>503</c:v>
                </c:pt>
                <c:pt idx="85">
                  <c:v>357</c:v>
                </c:pt>
                <c:pt idx="86">
                  <c:v>451</c:v>
                </c:pt>
                <c:pt idx="87">
                  <c:v>322</c:v>
                </c:pt>
                <c:pt idx="88">
                  <c:v>343</c:v>
                </c:pt>
                <c:pt idx="89">
                  <c:v>341</c:v>
                </c:pt>
                <c:pt idx="90">
                  <c:v>295</c:v>
                </c:pt>
                <c:pt idx="91">
                  <c:v>401</c:v>
                </c:pt>
                <c:pt idx="92">
                  <c:v>371</c:v>
                </c:pt>
                <c:pt idx="93">
                  <c:v>350</c:v>
                </c:pt>
                <c:pt idx="94">
                  <c:v>402</c:v>
                </c:pt>
                <c:pt idx="95">
                  <c:v>361</c:v>
                </c:pt>
                <c:pt idx="96">
                  <c:v>306</c:v>
                </c:pt>
                <c:pt idx="97">
                  <c:v>266</c:v>
                </c:pt>
                <c:pt idx="98">
                  <c:v>376</c:v>
                </c:pt>
                <c:pt idx="99">
                  <c:v>393</c:v>
                </c:pt>
                <c:pt idx="100">
                  <c:v>534</c:v>
                </c:pt>
                <c:pt idx="101">
                  <c:v>444</c:v>
                </c:pt>
                <c:pt idx="102">
                  <c:v>349</c:v>
                </c:pt>
                <c:pt idx="103">
                  <c:v>354</c:v>
                </c:pt>
                <c:pt idx="104">
                  <c:v>379</c:v>
                </c:pt>
                <c:pt idx="105">
                  <c:v>425</c:v>
                </c:pt>
                <c:pt idx="106">
                  <c:v>391</c:v>
                </c:pt>
                <c:pt idx="107">
                  <c:v>498</c:v>
                </c:pt>
                <c:pt idx="108">
                  <c:v>402</c:v>
                </c:pt>
                <c:pt idx="109">
                  <c:v>470</c:v>
                </c:pt>
                <c:pt idx="110">
                  <c:v>297</c:v>
                </c:pt>
                <c:pt idx="111">
                  <c:v>252</c:v>
                </c:pt>
                <c:pt idx="112">
                  <c:v>293</c:v>
                </c:pt>
                <c:pt idx="113">
                  <c:v>456</c:v>
                </c:pt>
                <c:pt idx="114">
                  <c:v>521</c:v>
                </c:pt>
                <c:pt idx="115">
                  <c:v>617</c:v>
                </c:pt>
                <c:pt idx="116">
                  <c:v>551</c:v>
                </c:pt>
                <c:pt idx="117">
                  <c:v>433</c:v>
                </c:pt>
                <c:pt idx="118">
                  <c:v>331</c:v>
                </c:pt>
                <c:pt idx="119">
                  <c:v>314</c:v>
                </c:pt>
                <c:pt idx="120">
                  <c:v>480</c:v>
                </c:pt>
                <c:pt idx="121">
                  <c:v>557</c:v>
                </c:pt>
                <c:pt idx="122">
                  <c:v>591</c:v>
                </c:pt>
                <c:pt idx="123">
                  <c:v>511</c:v>
                </c:pt>
                <c:pt idx="124">
                  <c:v>380</c:v>
                </c:pt>
                <c:pt idx="125">
                  <c:v>383</c:v>
                </c:pt>
                <c:pt idx="126">
                  <c:v>423</c:v>
                </c:pt>
                <c:pt idx="127">
                  <c:v>673</c:v>
                </c:pt>
                <c:pt idx="128">
                  <c:v>680</c:v>
                </c:pt>
                <c:pt idx="129">
                  <c:v>628</c:v>
                </c:pt>
                <c:pt idx="130">
                  <c:v>551</c:v>
                </c:pt>
                <c:pt idx="131">
                  <c:v>629</c:v>
                </c:pt>
                <c:pt idx="132">
                  <c:v>437</c:v>
                </c:pt>
                <c:pt idx="133">
                  <c:v>448</c:v>
                </c:pt>
                <c:pt idx="134">
                  <c:v>567</c:v>
                </c:pt>
                <c:pt idx="135">
                  <c:v>694</c:v>
                </c:pt>
                <c:pt idx="136">
                  <c:v>820</c:v>
                </c:pt>
                <c:pt idx="137">
                  <c:v>640</c:v>
                </c:pt>
                <c:pt idx="138">
                  <c:v>588</c:v>
                </c:pt>
                <c:pt idx="139">
                  <c:v>537</c:v>
                </c:pt>
                <c:pt idx="140">
                  <c:v>502</c:v>
                </c:pt>
                <c:pt idx="141">
                  <c:v>688</c:v>
                </c:pt>
                <c:pt idx="142">
                  <c:v>728</c:v>
                </c:pt>
                <c:pt idx="143">
                  <c:v>860</c:v>
                </c:pt>
                <c:pt idx="144">
                  <c:v>867</c:v>
                </c:pt>
                <c:pt idx="145">
                  <c:v>586</c:v>
                </c:pt>
                <c:pt idx="146">
                  <c:v>501</c:v>
                </c:pt>
                <c:pt idx="147">
                  <c:v>541</c:v>
                </c:pt>
                <c:pt idx="148">
                  <c:v>561</c:v>
                </c:pt>
                <c:pt idx="149">
                  <c:v>753</c:v>
                </c:pt>
                <c:pt idx="150">
                  <c:v>944</c:v>
                </c:pt>
                <c:pt idx="151">
                  <c:v>622</c:v>
                </c:pt>
                <c:pt idx="152">
                  <c:v>625</c:v>
                </c:pt>
                <c:pt idx="153">
                  <c:v>662</c:v>
                </c:pt>
                <c:pt idx="154">
                  <c:v>560</c:v>
                </c:pt>
                <c:pt idx="155">
                  <c:v>852</c:v>
                </c:pt>
                <c:pt idx="156">
                  <c:v>749</c:v>
                </c:pt>
                <c:pt idx="157">
                  <c:v>896</c:v>
                </c:pt>
                <c:pt idx="158">
                  <c:v>934</c:v>
                </c:pt>
                <c:pt idx="159">
                  <c:v>746</c:v>
                </c:pt>
                <c:pt idx="160">
                  <c:v>571</c:v>
                </c:pt>
                <c:pt idx="161">
                  <c:v>553</c:v>
                </c:pt>
                <c:pt idx="162">
                  <c:v>758</c:v>
                </c:pt>
                <c:pt idx="163">
                  <c:v>527</c:v>
                </c:pt>
                <c:pt idx="164">
                  <c:v>888</c:v>
                </c:pt>
                <c:pt idx="165">
                  <c:v>552</c:v>
                </c:pt>
                <c:pt idx="166">
                  <c:v>887</c:v>
                </c:pt>
                <c:pt idx="167">
                  <c:v>578</c:v>
                </c:pt>
                <c:pt idx="168">
                  <c:v>422</c:v>
                </c:pt>
                <c:pt idx="169">
                  <c:v>632</c:v>
                </c:pt>
                <c:pt idx="170">
                  <c:v>403</c:v>
                </c:pt>
                <c:pt idx="171">
                  <c:v>1539</c:v>
                </c:pt>
                <c:pt idx="172">
                  <c:v>1077</c:v>
                </c:pt>
                <c:pt idx="173">
                  <c:v>464</c:v>
                </c:pt>
                <c:pt idx="174">
                  <c:v>547</c:v>
                </c:pt>
                <c:pt idx="175">
                  <c:v>451</c:v>
                </c:pt>
                <c:pt idx="176">
                  <c:v>331</c:v>
                </c:pt>
                <c:pt idx="177">
                  <c:v>565</c:v>
                </c:pt>
                <c:pt idx="178">
                  <c:v>732</c:v>
                </c:pt>
                <c:pt idx="179">
                  <c:v>682</c:v>
                </c:pt>
                <c:pt idx="180">
                  <c:v>454</c:v>
                </c:pt>
                <c:pt idx="181">
                  <c:v>474</c:v>
                </c:pt>
                <c:pt idx="182">
                  <c:v>419</c:v>
                </c:pt>
                <c:pt idx="183">
                  <c:v>565</c:v>
                </c:pt>
                <c:pt idx="184">
                  <c:v>748</c:v>
                </c:pt>
                <c:pt idx="185">
                  <c:v>590</c:v>
                </c:pt>
                <c:pt idx="186">
                  <c:v>1003</c:v>
                </c:pt>
                <c:pt idx="187">
                  <c:v>517</c:v>
                </c:pt>
                <c:pt idx="188">
                  <c:v>500</c:v>
                </c:pt>
                <c:pt idx="189">
                  <c:v>500</c:v>
                </c:pt>
                <c:pt idx="190">
                  <c:v>553</c:v>
                </c:pt>
                <c:pt idx="191">
                  <c:v>814</c:v>
                </c:pt>
                <c:pt idx="192">
                  <c:v>792</c:v>
                </c:pt>
                <c:pt idx="193">
                  <c:v>878</c:v>
                </c:pt>
                <c:pt idx="194">
                  <c:v>557</c:v>
                </c:pt>
                <c:pt idx="195">
                  <c:v>688</c:v>
                </c:pt>
                <c:pt idx="196">
                  <c:v>386</c:v>
                </c:pt>
                <c:pt idx="197">
                  <c:v>769</c:v>
                </c:pt>
                <c:pt idx="198">
                  <c:v>694</c:v>
                </c:pt>
                <c:pt idx="199">
                  <c:v>775</c:v>
                </c:pt>
                <c:pt idx="200">
                  <c:v>930</c:v>
                </c:pt>
                <c:pt idx="201">
                  <c:v>551</c:v>
                </c:pt>
                <c:pt idx="202">
                  <c:v>750</c:v>
                </c:pt>
                <c:pt idx="203">
                  <c:v>469</c:v>
                </c:pt>
                <c:pt idx="204">
                  <c:v>817</c:v>
                </c:pt>
                <c:pt idx="205">
                  <c:v>1076</c:v>
                </c:pt>
                <c:pt idx="206">
                  <c:v>927</c:v>
                </c:pt>
                <c:pt idx="207">
                  <c:v>1136</c:v>
                </c:pt>
                <c:pt idx="208">
                  <c:v>1007</c:v>
                </c:pt>
                <c:pt idx="209">
                  <c:v>1052</c:v>
                </c:pt>
                <c:pt idx="210">
                  <c:v>1170</c:v>
                </c:pt>
                <c:pt idx="211">
                  <c:v>853</c:v>
                </c:pt>
                <c:pt idx="212">
                  <c:v>1473</c:v>
                </c:pt>
                <c:pt idx="213">
                  <c:v>1617</c:v>
                </c:pt>
                <c:pt idx="214">
                  <c:v>1586</c:v>
                </c:pt>
                <c:pt idx="215">
                  <c:v>1699</c:v>
                </c:pt>
                <c:pt idx="216">
                  <c:v>1293</c:v>
                </c:pt>
                <c:pt idx="217">
                  <c:v>1264</c:v>
                </c:pt>
                <c:pt idx="218">
                  <c:v>1695</c:v>
                </c:pt>
                <c:pt idx="219">
                  <c:v>1908</c:v>
                </c:pt>
                <c:pt idx="220">
                  <c:v>1400</c:v>
                </c:pt>
                <c:pt idx="221">
                  <c:v>2397</c:v>
                </c:pt>
                <c:pt idx="222">
                  <c:v>1781</c:v>
                </c:pt>
                <c:pt idx="223">
                  <c:v>1891</c:v>
                </c:pt>
                <c:pt idx="224">
                  <c:v>1373</c:v>
                </c:pt>
                <c:pt idx="225">
                  <c:v>2287</c:v>
                </c:pt>
                <c:pt idx="226">
                  <c:v>2554</c:v>
                </c:pt>
                <c:pt idx="227">
                  <c:v>2762</c:v>
                </c:pt>
                <c:pt idx="228">
                  <c:v>3271</c:v>
                </c:pt>
                <c:pt idx="229">
                  <c:v>3457</c:v>
                </c:pt>
                <c:pt idx="230">
                  <c:v>2648</c:v>
                </c:pt>
                <c:pt idx="231">
                  <c:v>2451</c:v>
                </c:pt>
                <c:pt idx="232">
                  <c:v>3016</c:v>
                </c:pt>
                <c:pt idx="233">
                  <c:v>3834</c:v>
                </c:pt>
                <c:pt idx="234">
                  <c:v>5301</c:v>
                </c:pt>
                <c:pt idx="235">
                  <c:v>4684</c:v>
                </c:pt>
                <c:pt idx="236">
                  <c:v>3765</c:v>
                </c:pt>
                <c:pt idx="237">
                  <c:v>4454</c:v>
                </c:pt>
                <c:pt idx="238">
                  <c:v>4337</c:v>
                </c:pt>
                <c:pt idx="239">
                  <c:v>4087</c:v>
                </c:pt>
                <c:pt idx="240">
                  <c:v>5263</c:v>
                </c:pt>
                <c:pt idx="241">
                  <c:v>5949</c:v>
                </c:pt>
                <c:pt idx="242">
                  <c:v>3798</c:v>
                </c:pt>
                <c:pt idx="243">
                  <c:v>4729</c:v>
                </c:pt>
                <c:pt idx="244">
                  <c:v>4526</c:v>
                </c:pt>
                <c:pt idx="245">
                  <c:v>4415</c:v>
                </c:pt>
                <c:pt idx="246">
                  <c:v>2505</c:v>
                </c:pt>
                <c:pt idx="247">
                  <c:v>5887</c:v>
                </c:pt>
                <c:pt idx="248">
                  <c:v>4499</c:v>
                </c:pt>
                <c:pt idx="249">
                  <c:v>4342</c:v>
                </c:pt>
                <c:pt idx="250">
                  <c:v>3910</c:v>
                </c:pt>
                <c:pt idx="251">
                  <c:v>3354</c:v>
                </c:pt>
                <c:pt idx="252">
                  <c:v>2951</c:v>
                </c:pt>
                <c:pt idx="253">
                  <c:v>4213</c:v>
                </c:pt>
                <c:pt idx="254">
                  <c:v>4846</c:v>
                </c:pt>
                <c:pt idx="255">
                  <c:v>2767</c:v>
                </c:pt>
                <c:pt idx="256">
                  <c:v>2787</c:v>
                </c:pt>
                <c:pt idx="257">
                  <c:v>2671</c:v>
                </c:pt>
                <c:pt idx="258">
                  <c:v>2214</c:v>
                </c:pt>
                <c:pt idx="259">
                  <c:v>4374</c:v>
                </c:pt>
                <c:pt idx="260">
                  <c:v>3483</c:v>
                </c:pt>
                <c:pt idx="261">
                  <c:v>4236</c:v>
                </c:pt>
                <c:pt idx="262">
                  <c:v>3821</c:v>
                </c:pt>
                <c:pt idx="263">
                  <c:v>3755</c:v>
                </c:pt>
                <c:pt idx="264">
                  <c:v>3213</c:v>
                </c:pt>
                <c:pt idx="265">
                  <c:v>3751</c:v>
                </c:pt>
                <c:pt idx="266">
                  <c:v>2543</c:v>
                </c:pt>
                <c:pt idx="267">
                  <c:v>2953</c:v>
                </c:pt>
                <c:pt idx="268">
                  <c:v>4620</c:v>
                </c:pt>
                <c:pt idx="269">
                  <c:v>3420</c:v>
                </c:pt>
                <c:pt idx="270">
                  <c:v>3488</c:v>
                </c:pt>
                <c:pt idx="271">
                  <c:v>2976</c:v>
                </c:pt>
                <c:pt idx="272">
                  <c:v>3146</c:v>
                </c:pt>
                <c:pt idx="273">
                  <c:v>2560</c:v>
                </c:pt>
                <c:pt idx="274">
                  <c:v>2141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A-4982-884B-EDAD306DB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650336"/>
        <c:axId val="1994885280"/>
      </c:scatterChart>
      <c:valAx>
        <c:axId val="148650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885280"/>
        <c:crosses val="autoZero"/>
        <c:crossBetween val="midCat"/>
      </c:valAx>
      <c:valAx>
        <c:axId val="199488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650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275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</c:numCache>
            </c:numRef>
          </c:xVal>
          <c:yVal>
            <c:numRef>
              <c:f>[0]!cook_positive_rate_deriv.</c:f>
              <c:numCache>
                <c:formatCode>General</c:formatCode>
                <c:ptCount val="275"/>
                <c:pt idx="49" formatCode="0.0%">
                  <c:v>0.24396823018132774</c:v>
                </c:pt>
                <c:pt idx="50" formatCode="0.0%">
                  <c:v>0.22882483370288248</c:v>
                </c:pt>
                <c:pt idx="51" formatCode="0.0%">
                  <c:v>0.21706383504136312</c:v>
                </c:pt>
                <c:pt idx="52" formatCode="0.0%">
                  <c:v>0.19643211100099109</c:v>
                </c:pt>
                <c:pt idx="53" formatCode="0.0%">
                  <c:v>0.19211130967577228</c:v>
                </c:pt>
                <c:pt idx="54" formatCode="0.0%">
                  <c:v>0.16410093635930806</c:v>
                </c:pt>
                <c:pt idx="55" formatCode="0.0%">
                  <c:v>0.13365735115431349</c:v>
                </c:pt>
                <c:pt idx="56" formatCode="0.0%">
                  <c:v>0.17623249413098033</c:v>
                </c:pt>
                <c:pt idx="57" formatCode="0.0%">
                  <c:v>0.16315390447308567</c:v>
                </c:pt>
                <c:pt idx="58" formatCode="0.0%">
                  <c:v>0.2414689265536723</c:v>
                </c:pt>
                <c:pt idx="59" formatCode="0.0%">
                  <c:v>0.12676521595507473</c:v>
                </c:pt>
                <c:pt idx="60" formatCode="0.0%">
                  <c:v>0.12741421338833678</c:v>
                </c:pt>
                <c:pt idx="61" formatCode="0.0%">
                  <c:v>0.11963332559758645</c:v>
                </c:pt>
                <c:pt idx="62" formatCode="0.0%">
                  <c:v>0.15608655522510512</c:v>
                </c:pt>
                <c:pt idx="63" formatCode="0.0%">
                  <c:v>0.13015494636471991</c:v>
                </c:pt>
                <c:pt idx="64" formatCode="0.0%">
                  <c:v>0.1115945031420482</c:v>
                </c:pt>
                <c:pt idx="65" formatCode="0.0%">
                  <c:v>0.10224827483861393</c:v>
                </c:pt>
                <c:pt idx="66" formatCode="0.0%">
                  <c:v>0.10211732037486984</c:v>
                </c:pt>
                <c:pt idx="67" formatCode="0.0%">
                  <c:v>9.9901864573110899E-2</c:v>
                </c:pt>
                <c:pt idx="68" formatCode="0.0%">
                  <c:v>0.12499053675524263</c:v>
                </c:pt>
                <c:pt idx="69" formatCode="0.0%">
                  <c:v>9.1268859757605736E-2</c:v>
                </c:pt>
                <c:pt idx="70" formatCode="0.0%">
                  <c:v>9.430649611236519E-2</c:v>
                </c:pt>
                <c:pt idx="71" formatCode="0.0%">
                  <c:v>9.3951093951093953E-2</c:v>
                </c:pt>
                <c:pt idx="72" formatCode="0.0%">
                  <c:v>8.5481272654047522E-2</c:v>
                </c:pt>
                <c:pt idx="73" formatCode="0.0%">
                  <c:v>0.10772509323388385</c:v>
                </c:pt>
                <c:pt idx="74" formatCode="0.0%">
                  <c:v>7.889581478183437E-2</c:v>
                </c:pt>
                <c:pt idx="75" formatCode="0.0%">
                  <c:v>8.0399619410085638E-2</c:v>
                </c:pt>
                <c:pt idx="76" formatCode="0.0%">
                  <c:v>6.282834780744076E-2</c:v>
                </c:pt>
                <c:pt idx="77" formatCode="0.0%">
                  <c:v>0.16358146251805172</c:v>
                </c:pt>
                <c:pt idx="78" formatCode="0.0%">
                  <c:v>4.716981132075472E-2</c:v>
                </c:pt>
                <c:pt idx="79" formatCode="0.0%">
                  <c:v>6.4138315672058008E-2</c:v>
                </c:pt>
                <c:pt idx="80" formatCode="0.0%">
                  <c:v>9.0921520371889525E-2</c:v>
                </c:pt>
                <c:pt idx="81" formatCode="0.0%">
                  <c:v>6.3556246759979271E-2</c:v>
                </c:pt>
                <c:pt idx="82" formatCode="0.0%">
                  <c:v>5.5399937752878929E-2</c:v>
                </c:pt>
                <c:pt idx="83" formatCode="0.0%">
                  <c:v>5.5298913043478261E-2</c:v>
                </c:pt>
                <c:pt idx="84" formatCode="0.0%">
                  <c:v>5.3676235193682635E-2</c:v>
                </c:pt>
                <c:pt idx="85" formatCode="0.0%">
                  <c:v>4.1569632044713554E-2</c:v>
                </c:pt>
                <c:pt idx="86" formatCode="0.0%">
                  <c:v>5.0828355685788348E-2</c:v>
                </c:pt>
                <c:pt idx="87" formatCode="0.0%">
                  <c:v>3.0214882237027306E-2</c:v>
                </c:pt>
                <c:pt idx="88" formatCode="0.0%">
                  <c:v>3.7197700900119292E-2</c:v>
                </c:pt>
                <c:pt idx="89" formatCode="0.0%">
                  <c:v>3.3533287442226375E-2</c:v>
                </c:pt>
                <c:pt idx="90" formatCode="0.0%">
                  <c:v>3.2708726022840667E-2</c:v>
                </c:pt>
                <c:pt idx="91" formatCode="0.0%">
                  <c:v>4.8249308145830824E-2</c:v>
                </c:pt>
                <c:pt idx="92" formatCode="0.0%">
                  <c:v>3.0628250639808469E-2</c:v>
                </c:pt>
                <c:pt idx="93" formatCode="0.0%">
                  <c:v>3.6896479021716215E-2</c:v>
                </c:pt>
                <c:pt idx="94" formatCode="0.0%">
                  <c:v>4.1831425598335067E-2</c:v>
                </c:pt>
                <c:pt idx="95" formatCode="0.0%">
                  <c:v>3.5640240892486921E-2</c:v>
                </c:pt>
                <c:pt idx="96" formatCode="0.0%">
                  <c:v>2.8247022985322626E-2</c:v>
                </c:pt>
                <c:pt idx="97" formatCode="0.0%">
                  <c:v>3.395022335673261E-2</c:v>
                </c:pt>
                <c:pt idx="98" formatCode="0.0%">
                  <c:v>4.6696472925981121E-2</c:v>
                </c:pt>
                <c:pt idx="99" formatCode="0.0%">
                  <c:v>3.8563438327936413E-2</c:v>
                </c:pt>
                <c:pt idx="100" formatCode="0.0%">
                  <c:v>4.4110358499917394E-2</c:v>
                </c:pt>
                <c:pt idx="101" formatCode="0.0%">
                  <c:v>3.4148592524227042E-2</c:v>
                </c:pt>
                <c:pt idx="102" formatCode="0.0%">
                  <c:v>2.5365215495312159E-2</c:v>
                </c:pt>
                <c:pt idx="103" formatCode="0.0%">
                  <c:v>3.2862978091347937E-2</c:v>
                </c:pt>
                <c:pt idx="104" formatCode="0.0%">
                  <c:v>3.2599346292792021E-2</c:v>
                </c:pt>
                <c:pt idx="105" formatCode="0.0%">
                  <c:v>3.7663948954271532E-2</c:v>
                </c:pt>
                <c:pt idx="106" formatCode="0.0%">
                  <c:v>2.8388876787918391E-2</c:v>
                </c:pt>
                <c:pt idx="107" formatCode="0.0%">
                  <c:v>3.9274447949526815E-2</c:v>
                </c:pt>
                <c:pt idx="108" formatCode="0.0%">
                  <c:v>2.7912789890293013E-2</c:v>
                </c:pt>
                <c:pt idx="109" formatCode="0.0%">
                  <c:v>3.0043467143952955E-2</c:v>
                </c:pt>
                <c:pt idx="110" formatCode="0.0%">
                  <c:v>2.3016119032858027E-2</c:v>
                </c:pt>
                <c:pt idx="111" formatCode="0.0%">
                  <c:v>2.8040502948703683E-2</c:v>
                </c:pt>
                <c:pt idx="112" formatCode="0.0%">
                  <c:v>2.9064576926892172E-2</c:v>
                </c:pt>
                <c:pt idx="113" formatCode="0.0%">
                  <c:v>3.3800311318656885E-2</c:v>
                </c:pt>
                <c:pt idx="114" formatCode="0.0%">
                  <c:v>3.5993091537132989E-2</c:v>
                </c:pt>
                <c:pt idx="115" formatCode="0.0%">
                  <c:v>4.0474940960377855E-2</c:v>
                </c:pt>
                <c:pt idx="116" formatCode="0.0%">
                  <c:v>3.8386512470391529E-2</c:v>
                </c:pt>
                <c:pt idx="117" formatCode="0.0%">
                  <c:v>2.4903663656755046E-2</c:v>
                </c:pt>
                <c:pt idx="118" formatCode="0.0%">
                  <c:v>2.3513532712935995E-2</c:v>
                </c:pt>
                <c:pt idx="119" formatCode="0.0%">
                  <c:v>3.2855498587422829E-2</c:v>
                </c:pt>
                <c:pt idx="120" formatCode="0.0%">
                  <c:v>3.1752331811867436E-2</c:v>
                </c:pt>
                <c:pt idx="121" formatCode="0.0%">
                  <c:v>3.4812500000000003E-2</c:v>
                </c:pt>
                <c:pt idx="122" formatCode="0.0%">
                  <c:v>3.3680971106171992E-2</c:v>
                </c:pt>
                <c:pt idx="123" formatCode="0.0%">
                  <c:v>2.9361066421512295E-2</c:v>
                </c:pt>
                <c:pt idx="124" formatCode="0.0%">
                  <c:v>2.7102203837101491E-2</c:v>
                </c:pt>
                <c:pt idx="125" formatCode="0.0%">
                  <c:v>2.7679410276794103E-2</c:v>
                </c:pt>
                <c:pt idx="126" formatCode="0.0%">
                  <c:v>3.380754475703325E-2</c:v>
                </c:pt>
                <c:pt idx="127" formatCode="0.0%">
                  <c:v>4.8785791953606376E-2</c:v>
                </c:pt>
                <c:pt idx="128" formatCode="0.0%">
                  <c:v>4.4537594969871627E-2</c:v>
                </c:pt>
                <c:pt idx="129" formatCode="0.0%">
                  <c:v>3.3922108788418948E-2</c:v>
                </c:pt>
                <c:pt idx="130" formatCode="0.0%">
                  <c:v>3.790588882773803E-2</c:v>
                </c:pt>
                <c:pt idx="131" formatCode="0.0%">
                  <c:v>3.5498617303459566E-2</c:v>
                </c:pt>
                <c:pt idx="132" formatCode="0.0%">
                  <c:v>3.7430406852248396E-2</c:v>
                </c:pt>
                <c:pt idx="133" formatCode="0.0%">
                  <c:v>4.089083607155896E-2</c:v>
                </c:pt>
                <c:pt idx="134" formatCode="0.0%">
                  <c:v>4.7547169811320754E-2</c:v>
                </c:pt>
                <c:pt idx="135" formatCode="0.0%">
                  <c:v>4.3686264635528139E-2</c:v>
                </c:pt>
                <c:pt idx="136" formatCode="0.0%">
                  <c:v>4.2566445182724254E-2</c:v>
                </c:pt>
                <c:pt idx="137" formatCode="0.0%">
                  <c:v>4.0821533358846793E-2</c:v>
                </c:pt>
                <c:pt idx="138" formatCode="0.0%">
                  <c:v>3.7733427452993649E-2</c:v>
                </c:pt>
                <c:pt idx="139" formatCode="0.0%">
                  <c:v>4.7869495453735068E-2</c:v>
                </c:pt>
                <c:pt idx="140" formatCode="0.0%">
                  <c:v>2.9131847725162488E-2</c:v>
                </c:pt>
                <c:pt idx="141" formatCode="0.0%">
                  <c:v>4.460002593024763E-2</c:v>
                </c:pt>
                <c:pt idx="142" formatCode="0.0%">
                  <c:v>5.3572742659504013E-2</c:v>
                </c:pt>
                <c:pt idx="143" formatCode="0.0%">
                  <c:v>4.6612466124661245E-2</c:v>
                </c:pt>
                <c:pt idx="144" formatCode="0.0%">
                  <c:v>4.7030105777054514E-2</c:v>
                </c:pt>
                <c:pt idx="145" formatCode="0.0%">
                  <c:v>3.5199423354156656E-2</c:v>
                </c:pt>
                <c:pt idx="146" formatCode="0.0%">
                  <c:v>3.3269141377249484E-2</c:v>
                </c:pt>
                <c:pt idx="147" formatCode="0.0%">
                  <c:v>3.5899137358991376E-2</c:v>
                </c:pt>
                <c:pt idx="148" formatCode="0.0%">
                  <c:v>4.8291297236808126E-2</c:v>
                </c:pt>
                <c:pt idx="149" formatCode="0.0%">
                  <c:v>5.6804465902232953E-2</c:v>
                </c:pt>
                <c:pt idx="150" formatCode="0.0%">
                  <c:v>5.1201388512230842E-2</c:v>
                </c:pt>
                <c:pt idx="151" formatCode="0.0%">
                  <c:v>3.3376261000214638E-2</c:v>
                </c:pt>
                <c:pt idx="152" formatCode="0.0%">
                  <c:v>4.3511556669451404E-2</c:v>
                </c:pt>
                <c:pt idx="153" formatCode="0.0%">
                  <c:v>3.8526450561601581E-2</c:v>
                </c:pt>
                <c:pt idx="154" formatCode="0.0%">
                  <c:v>3.9160839160839164E-2</c:v>
                </c:pt>
                <c:pt idx="155" formatCode="0.0%">
                  <c:v>6.1981667394151028E-2</c:v>
                </c:pt>
                <c:pt idx="156" formatCode="0.0%">
                  <c:v>4.261977921930124E-2</c:v>
                </c:pt>
                <c:pt idx="157" formatCode="0.0%">
                  <c:v>4.7970874825998502E-2</c:v>
                </c:pt>
                <c:pt idx="158" formatCode="0.0%">
                  <c:v>4.8744846302385056E-2</c:v>
                </c:pt>
                <c:pt idx="159" formatCode="0.0%">
                  <c:v>4.395992928697702E-2</c:v>
                </c:pt>
                <c:pt idx="160" formatCode="0.0%">
                  <c:v>3.9921694749353281E-2</c:v>
                </c:pt>
                <c:pt idx="161" formatCode="0.0%">
                  <c:v>4.1112184967660399E-2</c:v>
                </c:pt>
                <c:pt idx="162" formatCode="0.0%">
                  <c:v>5.1261242983701903E-2</c:v>
                </c:pt>
                <c:pt idx="163" formatCode="0.0%">
                  <c:v>4.6525999823430739E-2</c:v>
                </c:pt>
                <c:pt idx="164" formatCode="0.0%">
                  <c:v>5.7778645325004881E-2</c:v>
                </c:pt>
                <c:pt idx="165" formatCode="0.0%">
                  <c:v>3.5642797184735585E-2</c:v>
                </c:pt>
                <c:pt idx="166" formatCode="0.0%">
                  <c:v>4.7670231633256302E-2</c:v>
                </c:pt>
                <c:pt idx="167" formatCode="0.0%">
                  <c:v>4.3774613753408055E-2</c:v>
                </c:pt>
                <c:pt idx="168" formatCode="0.0%">
                  <c:v>4.8036425725668755E-2</c:v>
                </c:pt>
                <c:pt idx="169" formatCode="0.0%">
                  <c:v>5.8050886378249289E-2</c:v>
                </c:pt>
                <c:pt idx="170" formatCode="0.0%">
                  <c:v>3.2014617095646646E-2</c:v>
                </c:pt>
                <c:pt idx="171" formatCode="0.0%">
                  <c:v>3.7578746886750988E-2</c:v>
                </c:pt>
                <c:pt idx="172" formatCode="0.0%">
                  <c:v>5.1714203399596655E-2</c:v>
                </c:pt>
                <c:pt idx="173" formatCode="0.0%">
                  <c:v>3.1644274705039895E-2</c:v>
                </c:pt>
                <c:pt idx="174" formatCode="0.0%">
                  <c:v>5.964453167593501E-2</c:v>
                </c:pt>
                <c:pt idx="175" formatCode="0.0%">
                  <c:v>3.0745108732701615E-2</c:v>
                </c:pt>
                <c:pt idx="176" formatCode="0.0%">
                  <c:v>2.8805151857975806E-2</c:v>
                </c:pt>
                <c:pt idx="177" formatCode="0.0%">
                  <c:v>4.7228955947504807E-2</c:v>
                </c:pt>
                <c:pt idx="178" formatCode="0.0%">
                  <c:v>4.5118343195266274E-2</c:v>
                </c:pt>
                <c:pt idx="179" formatCode="0.0%">
                  <c:v>4.0767529439894791E-2</c:v>
                </c:pt>
                <c:pt idx="180" formatCode="0.0%">
                  <c:v>2.8014315685548564E-2</c:v>
                </c:pt>
                <c:pt idx="181" formatCode="0.0%">
                  <c:v>3.4066407934454507E-2</c:v>
                </c:pt>
                <c:pt idx="182" formatCode="0.0%">
                  <c:v>3.8983997022701895E-2</c:v>
                </c:pt>
                <c:pt idx="183" formatCode="0.0%">
                  <c:v>3.764157228514324E-2</c:v>
                </c:pt>
                <c:pt idx="184" formatCode="0.0%">
                  <c:v>4.830481110752341E-2</c:v>
                </c:pt>
                <c:pt idx="185" formatCode="0.0%">
                  <c:v>3.0123557643214539E-2</c:v>
                </c:pt>
                <c:pt idx="186" formatCode="0.0%">
                  <c:v>3.2361102148802993E-2</c:v>
                </c:pt>
                <c:pt idx="187" formatCode="0.0%">
                  <c:v>3.0202126416637456E-2</c:v>
                </c:pt>
                <c:pt idx="188" formatCode="0.0%">
                  <c:v>4.2186972662841715E-2</c:v>
                </c:pt>
                <c:pt idx="189" formatCode="0.0%">
                  <c:v>3.9111389236545682E-2</c:v>
                </c:pt>
                <c:pt idx="190" formatCode="0.0%">
                  <c:v>4.5555647087898506E-2</c:v>
                </c:pt>
                <c:pt idx="191" formatCode="0.0%">
                  <c:v>4.4659022329511168E-2</c:v>
                </c:pt>
                <c:pt idx="192" formatCode="0.0%">
                  <c:v>3.5414058307994989E-2</c:v>
                </c:pt>
                <c:pt idx="193" formatCode="0.0%">
                  <c:v>4.0227251901402E-2</c:v>
                </c:pt>
                <c:pt idx="194" formatCode="0.0%">
                  <c:v>3.2334842679670267E-2</c:v>
                </c:pt>
                <c:pt idx="195" formatCode="0.0%">
                  <c:v>4.2693143034439961E-2</c:v>
                </c:pt>
                <c:pt idx="196" formatCode="0.0%">
                  <c:v>2.6646417230429379E-2</c:v>
                </c:pt>
                <c:pt idx="197" formatCode="0.0%">
                  <c:v>5.4067355691485623E-2</c:v>
                </c:pt>
                <c:pt idx="198" formatCode="0.0%">
                  <c:v>3.5701424970420288E-2</c:v>
                </c:pt>
                <c:pt idx="199" formatCode="0.0%">
                  <c:v>3.2961891799931947E-2</c:v>
                </c:pt>
                <c:pt idx="200" formatCode="0.0%">
                  <c:v>3.6693627934503849E-2</c:v>
                </c:pt>
                <c:pt idx="201" formatCode="0.0%">
                  <c:v>2.8257859377403969E-2</c:v>
                </c:pt>
                <c:pt idx="202" formatCode="0.0%">
                  <c:v>4.9570389953734299E-2</c:v>
                </c:pt>
                <c:pt idx="203" formatCode="0.0%">
                  <c:v>3.2028955815065221E-2</c:v>
                </c:pt>
                <c:pt idx="204" formatCode="0.0%">
                  <c:v>5.459770114942529E-2</c:v>
                </c:pt>
                <c:pt idx="205" formatCode="0.0%">
                  <c:v>4.6389308040525976E-2</c:v>
                </c:pt>
                <c:pt idx="206" formatCode="0.0%">
                  <c:v>3.8520673176812799E-2</c:v>
                </c:pt>
                <c:pt idx="207" formatCode="0.0%">
                  <c:v>4.635032029050553E-2</c:v>
                </c:pt>
                <c:pt idx="208" formatCode="0.0%">
                  <c:v>4.0830393707172688E-2</c:v>
                </c:pt>
                <c:pt idx="209" formatCode="0.0%">
                  <c:v>5.4572806972039214E-2</c:v>
                </c:pt>
                <c:pt idx="210" formatCode="0.0%">
                  <c:v>5.9414990859232172E-2</c:v>
                </c:pt>
                <c:pt idx="211" formatCode="0.0%">
                  <c:v>5.2123434158264592E-2</c:v>
                </c:pt>
                <c:pt idx="212" formatCode="0.0%">
                  <c:v>8.0220019605707446E-2</c:v>
                </c:pt>
                <c:pt idx="213" formatCode="0.0%">
                  <c:v>5.5300957592339259E-2</c:v>
                </c:pt>
                <c:pt idx="214" formatCode="0.0%">
                  <c:v>5.3586512146501335E-2</c:v>
                </c:pt>
                <c:pt idx="215" formatCode="0.0%">
                  <c:v>5.4089331762758271E-2</c:v>
                </c:pt>
                <c:pt idx="216" formatCode="0.0%">
                  <c:v>6.4666166541635414E-2</c:v>
                </c:pt>
                <c:pt idx="217" formatCode="0.0%">
                  <c:v>6.3256931238114308E-2</c:v>
                </c:pt>
                <c:pt idx="218" formatCode="0.0%">
                  <c:v>8.3645874457165412E-2</c:v>
                </c:pt>
                <c:pt idx="219" formatCode="0.0%">
                  <c:v>6.9757238958759876E-2</c:v>
                </c:pt>
                <c:pt idx="220" formatCode="0.0%">
                  <c:v>5.1345998679674321E-2</c:v>
                </c:pt>
                <c:pt idx="221" formatCode="0.0%">
                  <c:v>8.1345233651203039E-2</c:v>
                </c:pt>
                <c:pt idx="222" formatCode="0.0%">
                  <c:v>6.3890084660639973E-2</c:v>
                </c:pt>
                <c:pt idx="223" formatCode="0.0%">
                  <c:v>8.0379154977471737E-2</c:v>
                </c:pt>
                <c:pt idx="224" formatCode="0.0%">
                  <c:v>6.5259755691810445E-2</c:v>
                </c:pt>
                <c:pt idx="225" formatCode="0.0%">
                  <c:v>0.10994663718090476</c:v>
                </c:pt>
                <c:pt idx="226" formatCode="0.0%">
                  <c:v>0.10103647440462062</c:v>
                </c:pt>
                <c:pt idx="227" formatCode="0.0%">
                  <c:v>8.256359668789047E-2</c:v>
                </c:pt>
                <c:pt idx="228" formatCode="0.0%">
                  <c:v>9.4858335991648057E-2</c:v>
                </c:pt>
                <c:pt idx="229" formatCode="0.0%">
                  <c:v>9.7835007782651764E-2</c:v>
                </c:pt>
                <c:pt idx="230" formatCode="0.0%">
                  <c:v>9.7181444509688783E-2</c:v>
                </c:pt>
                <c:pt idx="231" formatCode="0.0%">
                  <c:v>8.5816322957879623E-2</c:v>
                </c:pt>
                <c:pt idx="232" formatCode="0.0%">
                  <c:v>0.13003923597637218</c:v>
                </c:pt>
                <c:pt idx="233" formatCode="0.0%">
                  <c:v>0.13224793901555656</c:v>
                </c:pt>
                <c:pt idx="234" formatCode="0.0%">
                  <c:v>0.16933938154868389</c:v>
                </c:pt>
                <c:pt idx="235" formatCode="0.0%">
                  <c:v>0.13301527801442609</c:v>
                </c:pt>
                <c:pt idx="236" formatCode="0.0%">
                  <c:v>0.11028119507908611</c:v>
                </c:pt>
                <c:pt idx="237" formatCode="0.0%">
                  <c:v>0.16964387735669395</c:v>
                </c:pt>
                <c:pt idx="238" formatCode="0.0%">
                  <c:v>0.12149820708202599</c:v>
                </c:pt>
                <c:pt idx="239" formatCode="0.0%">
                  <c:v>0.13836414110637146</c:v>
                </c:pt>
                <c:pt idx="240" formatCode="0.0%">
                  <c:v>0.1600279737290197</c:v>
                </c:pt>
                <c:pt idx="241" formatCode="0.0%">
                  <c:v>0.16483790523690772</c:v>
                </c:pt>
                <c:pt idx="242" formatCode="0.0%">
                  <c:v>8.8661670985363122E-2</c:v>
                </c:pt>
                <c:pt idx="243" formatCode="0.0%">
                  <c:v>0.12954389809615122</c:v>
                </c:pt>
                <c:pt idx="244" formatCode="0.0%">
                  <c:v>0.14026279905789016</c:v>
                </c:pt>
                <c:pt idx="245" formatCode="0.0%">
                  <c:v>0.12410051720260851</c:v>
                </c:pt>
                <c:pt idx="246" formatCode="0.0%">
                  <c:v>7.300227312467214E-2</c:v>
                </c:pt>
                <c:pt idx="247" formatCode="0.0%">
                  <c:v>0.15395277073145219</c:v>
                </c:pt>
                <c:pt idx="248" formatCode="0.0%">
                  <c:v>0.11431838394104943</c:v>
                </c:pt>
                <c:pt idx="249" formatCode="0.0%">
                  <c:v>0.10381350866706515</c:v>
                </c:pt>
                <c:pt idx="250" formatCode="0.0%">
                  <c:v>0.11738569155483503</c:v>
                </c:pt>
                <c:pt idx="251" formatCode="0.0%">
                  <c:v>8.6008821417581288E-2</c:v>
                </c:pt>
                <c:pt idx="252" formatCode="0.0%">
                  <c:v>8.5647946597010596E-2</c:v>
                </c:pt>
                <c:pt idx="253" formatCode="0.0%">
                  <c:v>9.6868389588889908E-2</c:v>
                </c:pt>
                <c:pt idx="254" formatCode="0.0%">
                  <c:v>0.11969569727807143</c:v>
                </c:pt>
                <c:pt idx="255" formatCode="0.0%">
                  <c:v>8.3823083913965465E-2</c:v>
                </c:pt>
                <c:pt idx="256" formatCode="0.0%">
                  <c:v>9.9699506331830862E-2</c:v>
                </c:pt>
                <c:pt idx="257" formatCode="0.0%">
                  <c:v>0.12045095828635852</c:v>
                </c:pt>
                <c:pt idx="258" formatCode="0.0%">
                  <c:v>9.5307791648730086E-2</c:v>
                </c:pt>
                <c:pt idx="259" formatCode="0.0%">
                  <c:v>0.10404624277456648</c:v>
                </c:pt>
                <c:pt idx="260" formatCode="0.0%">
                  <c:v>0.12380478441687698</c:v>
                </c:pt>
                <c:pt idx="261" formatCode="0.0%">
                  <c:v>0.11913266023567792</c:v>
                </c:pt>
                <c:pt idx="262" formatCode="0.0%">
                  <c:v>0.10046274386075617</c:v>
                </c:pt>
                <c:pt idx="263" formatCode="0.0%">
                  <c:v>0.10364338945625172</c:v>
                </c:pt>
                <c:pt idx="264" formatCode="0.0%">
                  <c:v>0.10759853990154382</c:v>
                </c:pt>
                <c:pt idx="265" formatCode="0.0%">
                  <c:v>0.11940916181198867</c:v>
                </c:pt>
                <c:pt idx="266" formatCode="0.0%">
                  <c:v>7.9710372065323012E-2</c:v>
                </c:pt>
                <c:pt idx="267" formatCode="0.0%">
                  <c:v>0.11486696748093979</c:v>
                </c:pt>
                <c:pt idx="268" formatCode="0.0%">
                  <c:v>0.12040029187949547</c:v>
                </c:pt>
                <c:pt idx="269" formatCode="0.0%">
                  <c:v>0.10274589917683111</c:v>
                </c:pt>
                <c:pt idx="270" formatCode="0.0%">
                  <c:v>9.0597402597402593E-2</c:v>
                </c:pt>
                <c:pt idx="271" formatCode="0.0%">
                  <c:v>0.13590902863405946</c:v>
                </c:pt>
                <c:pt idx="272" formatCode="0.0%">
                  <c:v>8.7980312097992064E-2</c:v>
                </c:pt>
                <c:pt idx="273" formatCode="0.0%">
                  <c:v>8.1969837661298076E-2</c:v>
                </c:pt>
                <c:pt idx="274" formatCode="0.0%">
                  <c:v>6.8809255985858908E-2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E-41AD-8891-CC4C57846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295216"/>
        <c:axId val="1727084592"/>
      </c:scatterChart>
      <c:valAx>
        <c:axId val="198229521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84592"/>
        <c:crosses val="autoZero"/>
        <c:crossBetween val="midCat"/>
      </c:valAx>
      <c:valAx>
        <c:axId val="1727084592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29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275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</c:numCache>
            </c:numRef>
          </c:xVal>
          <c:yVal>
            <c:numRef>
              <c:f>[0]!cook_new_tests</c:f>
              <c:numCache>
                <c:formatCode>General</c:formatCode>
                <c:ptCount val="275"/>
                <c:pt idx="49">
                  <c:v>6673</c:v>
                </c:pt>
                <c:pt idx="50">
                  <c:v>6765</c:v>
                </c:pt>
                <c:pt idx="51">
                  <c:v>8099</c:v>
                </c:pt>
                <c:pt idx="52">
                  <c:v>10090</c:v>
                </c:pt>
                <c:pt idx="53">
                  <c:v>7834</c:v>
                </c:pt>
                <c:pt idx="54">
                  <c:v>6301</c:v>
                </c:pt>
                <c:pt idx="55">
                  <c:v>5761</c:v>
                </c:pt>
                <c:pt idx="56">
                  <c:v>12353</c:v>
                </c:pt>
                <c:pt idx="57">
                  <c:v>6595</c:v>
                </c:pt>
                <c:pt idx="58">
                  <c:v>8850</c:v>
                </c:pt>
                <c:pt idx="59">
                  <c:v>12109</c:v>
                </c:pt>
                <c:pt idx="60">
                  <c:v>10666</c:v>
                </c:pt>
                <c:pt idx="61">
                  <c:v>8618</c:v>
                </c:pt>
                <c:pt idx="62">
                  <c:v>9751</c:v>
                </c:pt>
                <c:pt idx="63">
                  <c:v>8390</c:v>
                </c:pt>
                <c:pt idx="64">
                  <c:v>14481</c:v>
                </c:pt>
                <c:pt idx="65">
                  <c:v>13477</c:v>
                </c:pt>
                <c:pt idx="66">
                  <c:v>14405</c:v>
                </c:pt>
                <c:pt idx="67">
                  <c:v>15285</c:v>
                </c:pt>
                <c:pt idx="68">
                  <c:v>13209</c:v>
                </c:pt>
                <c:pt idx="69">
                  <c:v>12129</c:v>
                </c:pt>
                <c:pt idx="70">
                  <c:v>7974</c:v>
                </c:pt>
                <c:pt idx="71">
                  <c:v>8547</c:v>
                </c:pt>
                <c:pt idx="72">
                  <c:v>9932</c:v>
                </c:pt>
                <c:pt idx="73">
                  <c:v>9385</c:v>
                </c:pt>
                <c:pt idx="74">
                  <c:v>11230</c:v>
                </c:pt>
                <c:pt idx="75">
                  <c:v>10510</c:v>
                </c:pt>
                <c:pt idx="76">
                  <c:v>9327</c:v>
                </c:pt>
                <c:pt idx="77">
                  <c:v>7617</c:v>
                </c:pt>
                <c:pt idx="78">
                  <c:v>12402</c:v>
                </c:pt>
                <c:pt idx="79">
                  <c:v>8965</c:v>
                </c:pt>
                <c:pt idx="80">
                  <c:v>7314</c:v>
                </c:pt>
                <c:pt idx="81">
                  <c:v>9645</c:v>
                </c:pt>
                <c:pt idx="82">
                  <c:v>9639</c:v>
                </c:pt>
                <c:pt idx="83">
                  <c:v>7360</c:v>
                </c:pt>
                <c:pt idx="84">
                  <c:v>9371</c:v>
                </c:pt>
                <c:pt idx="85">
                  <c:v>8588</c:v>
                </c:pt>
                <c:pt idx="86">
                  <c:v>8873</c:v>
                </c:pt>
                <c:pt idx="87">
                  <c:v>10657</c:v>
                </c:pt>
                <c:pt idx="88">
                  <c:v>9221</c:v>
                </c:pt>
                <c:pt idx="89">
                  <c:v>10169</c:v>
                </c:pt>
                <c:pt idx="90">
                  <c:v>9019</c:v>
                </c:pt>
                <c:pt idx="91">
                  <c:v>8311</c:v>
                </c:pt>
                <c:pt idx="92">
                  <c:v>12113</c:v>
                </c:pt>
                <c:pt idx="93">
                  <c:v>9486</c:v>
                </c:pt>
                <c:pt idx="94">
                  <c:v>9610</c:v>
                </c:pt>
                <c:pt idx="95">
                  <c:v>10129</c:v>
                </c:pt>
                <c:pt idx="96">
                  <c:v>10833</c:v>
                </c:pt>
                <c:pt idx="97">
                  <c:v>7835</c:v>
                </c:pt>
                <c:pt idx="98">
                  <c:v>8052</c:v>
                </c:pt>
                <c:pt idx="99">
                  <c:v>10191</c:v>
                </c:pt>
                <c:pt idx="100">
                  <c:v>12106</c:v>
                </c:pt>
                <c:pt idx="101">
                  <c:v>13002</c:v>
                </c:pt>
                <c:pt idx="102">
                  <c:v>13759</c:v>
                </c:pt>
                <c:pt idx="103">
                  <c:v>10772</c:v>
                </c:pt>
                <c:pt idx="104">
                  <c:v>11626</c:v>
                </c:pt>
                <c:pt idx="105">
                  <c:v>11284</c:v>
                </c:pt>
                <c:pt idx="106">
                  <c:v>13773</c:v>
                </c:pt>
                <c:pt idx="107">
                  <c:v>12680</c:v>
                </c:pt>
                <c:pt idx="108">
                  <c:v>14402</c:v>
                </c:pt>
                <c:pt idx="109">
                  <c:v>15644</c:v>
                </c:pt>
                <c:pt idx="110">
                  <c:v>12904</c:v>
                </c:pt>
                <c:pt idx="111">
                  <c:v>8987</c:v>
                </c:pt>
                <c:pt idx="112">
                  <c:v>10081</c:v>
                </c:pt>
                <c:pt idx="113">
                  <c:v>13491</c:v>
                </c:pt>
                <c:pt idx="114">
                  <c:v>14475</c:v>
                </c:pt>
                <c:pt idx="115">
                  <c:v>15244</c:v>
                </c:pt>
                <c:pt idx="116">
                  <c:v>14354</c:v>
                </c:pt>
                <c:pt idx="117">
                  <c:v>17387</c:v>
                </c:pt>
                <c:pt idx="118">
                  <c:v>14077</c:v>
                </c:pt>
                <c:pt idx="119">
                  <c:v>9557</c:v>
                </c:pt>
                <c:pt idx="120">
                  <c:v>15117</c:v>
                </c:pt>
                <c:pt idx="121">
                  <c:v>16000</c:v>
                </c:pt>
                <c:pt idx="122">
                  <c:v>17547</c:v>
                </c:pt>
                <c:pt idx="123">
                  <c:v>17404</c:v>
                </c:pt>
                <c:pt idx="124">
                  <c:v>14021</c:v>
                </c:pt>
                <c:pt idx="125">
                  <c:v>13837</c:v>
                </c:pt>
                <c:pt idx="126">
                  <c:v>12512</c:v>
                </c:pt>
                <c:pt idx="127">
                  <c:v>13795</c:v>
                </c:pt>
                <c:pt idx="128">
                  <c:v>15268</c:v>
                </c:pt>
                <c:pt idx="129">
                  <c:v>18513</c:v>
                </c:pt>
                <c:pt idx="130">
                  <c:v>14536</c:v>
                </c:pt>
                <c:pt idx="131">
                  <c:v>17719</c:v>
                </c:pt>
                <c:pt idx="132">
                  <c:v>11675</c:v>
                </c:pt>
                <c:pt idx="133">
                  <c:v>10956</c:v>
                </c:pt>
                <c:pt idx="134">
                  <c:v>11925</c:v>
                </c:pt>
                <c:pt idx="135">
                  <c:v>15886</c:v>
                </c:pt>
                <c:pt idx="136">
                  <c:v>19264</c:v>
                </c:pt>
                <c:pt idx="137">
                  <c:v>15678</c:v>
                </c:pt>
                <c:pt idx="138">
                  <c:v>15583</c:v>
                </c:pt>
                <c:pt idx="139">
                  <c:v>11218</c:v>
                </c:pt>
                <c:pt idx="140">
                  <c:v>17232</c:v>
                </c:pt>
                <c:pt idx="141">
                  <c:v>15426</c:v>
                </c:pt>
                <c:pt idx="142">
                  <c:v>13589</c:v>
                </c:pt>
                <c:pt idx="143">
                  <c:v>18450</c:v>
                </c:pt>
                <c:pt idx="144">
                  <c:v>18435</c:v>
                </c:pt>
                <c:pt idx="145">
                  <c:v>16648</c:v>
                </c:pt>
                <c:pt idx="146">
                  <c:v>15059</c:v>
                </c:pt>
                <c:pt idx="147">
                  <c:v>15070</c:v>
                </c:pt>
                <c:pt idx="148">
                  <c:v>11617</c:v>
                </c:pt>
                <c:pt idx="149">
                  <c:v>13256</c:v>
                </c:pt>
                <c:pt idx="150">
                  <c:v>18437</c:v>
                </c:pt>
                <c:pt idx="151">
                  <c:v>18636</c:v>
                </c:pt>
                <c:pt idx="152">
                  <c:v>14364</c:v>
                </c:pt>
                <c:pt idx="153">
                  <c:v>17183</c:v>
                </c:pt>
                <c:pt idx="154">
                  <c:v>14300</c:v>
                </c:pt>
                <c:pt idx="155">
                  <c:v>13746</c:v>
                </c:pt>
                <c:pt idx="156">
                  <c:v>17574</c:v>
                </c:pt>
                <c:pt idx="157">
                  <c:v>18678</c:v>
                </c:pt>
                <c:pt idx="158">
                  <c:v>19161</c:v>
                </c:pt>
                <c:pt idx="159">
                  <c:v>16970</c:v>
                </c:pt>
                <c:pt idx="160">
                  <c:v>14303</c:v>
                </c:pt>
                <c:pt idx="161">
                  <c:v>13451</c:v>
                </c:pt>
                <c:pt idx="162">
                  <c:v>14787</c:v>
                </c:pt>
                <c:pt idx="163">
                  <c:v>11327</c:v>
                </c:pt>
                <c:pt idx="164">
                  <c:v>15369</c:v>
                </c:pt>
                <c:pt idx="165">
                  <c:v>15487</c:v>
                </c:pt>
                <c:pt idx="166">
                  <c:v>18607</c:v>
                </c:pt>
                <c:pt idx="167">
                  <c:v>13204</c:v>
                </c:pt>
                <c:pt idx="168">
                  <c:v>8785</c:v>
                </c:pt>
                <c:pt idx="169">
                  <c:v>10887</c:v>
                </c:pt>
                <c:pt idx="170">
                  <c:v>12588</c:v>
                </c:pt>
                <c:pt idx="171">
                  <c:v>40954</c:v>
                </c:pt>
                <c:pt idx="172">
                  <c:v>20826</c:v>
                </c:pt>
                <c:pt idx="173">
                  <c:v>14663</c:v>
                </c:pt>
                <c:pt idx="174">
                  <c:v>9171</c:v>
                </c:pt>
                <c:pt idx="175">
                  <c:v>14669</c:v>
                </c:pt>
                <c:pt idx="176">
                  <c:v>11491</c:v>
                </c:pt>
                <c:pt idx="177">
                  <c:v>11963</c:v>
                </c:pt>
                <c:pt idx="178">
                  <c:v>16224</c:v>
                </c:pt>
                <c:pt idx="179">
                  <c:v>16729</c:v>
                </c:pt>
                <c:pt idx="180">
                  <c:v>16206</c:v>
                </c:pt>
                <c:pt idx="181">
                  <c:v>13914</c:v>
                </c:pt>
                <c:pt idx="182">
                  <c:v>10748</c:v>
                </c:pt>
                <c:pt idx="183">
                  <c:v>15010</c:v>
                </c:pt>
                <c:pt idx="184">
                  <c:v>15485</c:v>
                </c:pt>
                <c:pt idx="185">
                  <c:v>19586</c:v>
                </c:pt>
                <c:pt idx="186">
                  <c:v>30994</c:v>
                </c:pt>
                <c:pt idx="187">
                  <c:v>17118</c:v>
                </c:pt>
                <c:pt idx="188">
                  <c:v>11852</c:v>
                </c:pt>
                <c:pt idx="189">
                  <c:v>12784</c:v>
                </c:pt>
                <c:pt idx="190">
                  <c:v>12139</c:v>
                </c:pt>
                <c:pt idx="191">
                  <c:v>18227</c:v>
                </c:pt>
                <c:pt idx="192">
                  <c:v>22364</c:v>
                </c:pt>
                <c:pt idx="193">
                  <c:v>21826</c:v>
                </c:pt>
                <c:pt idx="194">
                  <c:v>17226</c:v>
                </c:pt>
                <c:pt idx="195">
                  <c:v>16115</c:v>
                </c:pt>
                <c:pt idx="196">
                  <c:v>14486</c:v>
                </c:pt>
                <c:pt idx="197">
                  <c:v>14223</c:v>
                </c:pt>
                <c:pt idx="198">
                  <c:v>19439</c:v>
                </c:pt>
                <c:pt idx="199">
                  <c:v>23512</c:v>
                </c:pt>
                <c:pt idx="200">
                  <c:v>25345</c:v>
                </c:pt>
                <c:pt idx="201">
                  <c:v>19499</c:v>
                </c:pt>
                <c:pt idx="202">
                  <c:v>15130</c:v>
                </c:pt>
                <c:pt idx="203">
                  <c:v>14643</c:v>
                </c:pt>
                <c:pt idx="204">
                  <c:v>14964</c:v>
                </c:pt>
                <c:pt idx="205">
                  <c:v>23195</c:v>
                </c:pt>
                <c:pt idx="206">
                  <c:v>24065</c:v>
                </c:pt>
                <c:pt idx="207">
                  <c:v>24509</c:v>
                </c:pt>
                <c:pt idx="208">
                  <c:v>24663</c:v>
                </c:pt>
                <c:pt idx="209">
                  <c:v>19277</c:v>
                </c:pt>
                <c:pt idx="210">
                  <c:v>19692</c:v>
                </c:pt>
                <c:pt idx="211">
                  <c:v>16365</c:v>
                </c:pt>
                <c:pt idx="212">
                  <c:v>18362</c:v>
                </c:pt>
                <c:pt idx="213">
                  <c:v>29240</c:v>
                </c:pt>
                <c:pt idx="214">
                  <c:v>29597</c:v>
                </c:pt>
                <c:pt idx="215">
                  <c:v>31411</c:v>
                </c:pt>
                <c:pt idx="216">
                  <c:v>19995</c:v>
                </c:pt>
                <c:pt idx="217">
                  <c:v>19982</c:v>
                </c:pt>
                <c:pt idx="218">
                  <c:v>20264</c:v>
                </c:pt>
                <c:pt idx="219">
                  <c:v>27352</c:v>
                </c:pt>
                <c:pt idx="220">
                  <c:v>27266</c:v>
                </c:pt>
                <c:pt idx="221">
                  <c:v>29467</c:v>
                </c:pt>
                <c:pt idx="222">
                  <c:v>27876</c:v>
                </c:pt>
                <c:pt idx="223">
                  <c:v>23526</c:v>
                </c:pt>
                <c:pt idx="224">
                  <c:v>21039</c:v>
                </c:pt>
                <c:pt idx="225">
                  <c:v>20801</c:v>
                </c:pt>
                <c:pt idx="226">
                  <c:v>25278</c:v>
                </c:pt>
                <c:pt idx="227">
                  <c:v>33453</c:v>
                </c:pt>
                <c:pt idx="228">
                  <c:v>34483</c:v>
                </c:pt>
                <c:pt idx="229">
                  <c:v>35335</c:v>
                </c:pt>
                <c:pt idx="230">
                  <c:v>27248</c:v>
                </c:pt>
                <c:pt idx="231">
                  <c:v>28561</c:v>
                </c:pt>
                <c:pt idx="232">
                  <c:v>23193</c:v>
                </c:pt>
                <c:pt idx="233">
                  <c:v>28991</c:v>
                </c:pt>
                <c:pt idx="234">
                  <c:v>31304</c:v>
                </c:pt>
                <c:pt idx="235">
                  <c:v>35214</c:v>
                </c:pt>
                <c:pt idx="236">
                  <c:v>34140</c:v>
                </c:pt>
                <c:pt idx="237">
                  <c:v>26255</c:v>
                </c:pt>
                <c:pt idx="238">
                  <c:v>35696</c:v>
                </c:pt>
                <c:pt idx="239">
                  <c:v>29538</c:v>
                </c:pt>
                <c:pt idx="240">
                  <c:v>32888</c:v>
                </c:pt>
                <c:pt idx="241">
                  <c:v>36090</c:v>
                </c:pt>
                <c:pt idx="242">
                  <c:v>42837</c:v>
                </c:pt>
                <c:pt idx="243">
                  <c:v>36505</c:v>
                </c:pt>
                <c:pt idx="244">
                  <c:v>32268</c:v>
                </c:pt>
                <c:pt idx="245">
                  <c:v>35576</c:v>
                </c:pt>
                <c:pt idx="246">
                  <c:v>34314</c:v>
                </c:pt>
                <c:pt idx="247">
                  <c:v>38239</c:v>
                </c:pt>
                <c:pt idx="248">
                  <c:v>39355</c:v>
                </c:pt>
                <c:pt idx="249">
                  <c:v>41825</c:v>
                </c:pt>
                <c:pt idx="250">
                  <c:v>33309</c:v>
                </c:pt>
                <c:pt idx="251">
                  <c:v>38996</c:v>
                </c:pt>
                <c:pt idx="252">
                  <c:v>34455</c:v>
                </c:pt>
                <c:pt idx="253">
                  <c:v>43492</c:v>
                </c:pt>
                <c:pt idx="254">
                  <c:v>40486</c:v>
                </c:pt>
                <c:pt idx="255">
                  <c:v>33010</c:v>
                </c:pt>
                <c:pt idx="256">
                  <c:v>27954</c:v>
                </c:pt>
                <c:pt idx="257">
                  <c:v>22175</c:v>
                </c:pt>
                <c:pt idx="258">
                  <c:v>23230</c:v>
                </c:pt>
                <c:pt idx="259">
                  <c:v>42039</c:v>
                </c:pt>
                <c:pt idx="260">
                  <c:v>28133</c:v>
                </c:pt>
                <c:pt idx="261">
                  <c:v>35557</c:v>
                </c:pt>
                <c:pt idx="262">
                  <c:v>38034</c:v>
                </c:pt>
                <c:pt idx="263">
                  <c:v>36230</c:v>
                </c:pt>
                <c:pt idx="264">
                  <c:v>29861</c:v>
                </c:pt>
                <c:pt idx="265">
                  <c:v>31413</c:v>
                </c:pt>
                <c:pt idx="266">
                  <c:v>31903</c:v>
                </c:pt>
                <c:pt idx="267">
                  <c:v>25708</c:v>
                </c:pt>
                <c:pt idx="268">
                  <c:v>38372</c:v>
                </c:pt>
                <c:pt idx="269">
                  <c:v>33286</c:v>
                </c:pt>
                <c:pt idx="270">
                  <c:v>38500</c:v>
                </c:pt>
                <c:pt idx="271">
                  <c:v>21897</c:v>
                </c:pt>
                <c:pt idx="272">
                  <c:v>35758</c:v>
                </c:pt>
                <c:pt idx="273">
                  <c:v>31231</c:v>
                </c:pt>
                <c:pt idx="274">
                  <c:v>31115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60-43AA-8028-AD32EB328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[0]!chicago_percent_positive</c:f>
              <c:numCache>
                <c:formatCode>0.0000%</c:formatCode>
                <c:ptCount val="275"/>
                <c:pt idx="2">
                  <c:v>5.6666666666666664E-5</c:v>
                </c:pt>
                <c:pt idx="3">
                  <c:v>7.9259259259259265E-5</c:v>
                </c:pt>
                <c:pt idx="4">
                  <c:v>1.2851851851851851E-4</c:v>
                </c:pt>
                <c:pt idx="5">
                  <c:v>1.9370370370370369E-4</c:v>
                </c:pt>
                <c:pt idx="6">
                  <c:v>2.3721190220555538E-4</c:v>
                </c:pt>
                <c:pt idx="7">
                  <c:v>2.9148148148148149E-4</c:v>
                </c:pt>
                <c:pt idx="8">
                  <c:v>3.4074074074074074E-4</c:v>
                </c:pt>
                <c:pt idx="9">
                  <c:v>4.3333333333333331E-4</c:v>
                </c:pt>
                <c:pt idx="10">
                  <c:v>5.085185185185185E-4</c:v>
                </c:pt>
                <c:pt idx="11">
                  <c:v>6.0074074074074077E-4</c:v>
                </c:pt>
                <c:pt idx="12">
                  <c:v>7.5629629629629625E-4</c:v>
                </c:pt>
                <c:pt idx="13">
                  <c:v>8.1999999999999998E-4</c:v>
                </c:pt>
                <c:pt idx="14">
                  <c:v>1.0055555555555555E-3</c:v>
                </c:pt>
                <c:pt idx="15">
                  <c:v>1.1577777777777778E-3</c:v>
                </c:pt>
                <c:pt idx="16">
                  <c:v>1.2296296296296296E-3</c:v>
                </c:pt>
                <c:pt idx="17">
                  <c:v>1.4340740740740742E-3</c:v>
                </c:pt>
                <c:pt idx="18">
                  <c:v>1.6192592592592593E-3</c:v>
                </c:pt>
                <c:pt idx="19">
                  <c:v>1.7422222222222223E-3</c:v>
                </c:pt>
                <c:pt idx="20">
                  <c:v>1.9166666666666666E-3</c:v>
                </c:pt>
                <c:pt idx="21">
                  <c:v>2.0892592592592595E-3</c:v>
                </c:pt>
                <c:pt idx="22">
                  <c:v>2.3218518518518519E-3</c:v>
                </c:pt>
                <c:pt idx="23">
                  <c:v>2.5355555555555557E-3</c:v>
                </c:pt>
                <c:pt idx="24">
                  <c:v>2.7585185185185187E-3</c:v>
                </c:pt>
                <c:pt idx="25">
                  <c:v>2.9751851851851853E-3</c:v>
                </c:pt>
                <c:pt idx="26">
                  <c:v>3.248148148148148E-3</c:v>
                </c:pt>
                <c:pt idx="27">
                  <c:v>3.4785185185185184E-3</c:v>
                </c:pt>
                <c:pt idx="28">
                  <c:v>3.682962962962963E-3</c:v>
                </c:pt>
                <c:pt idx="29">
                  <c:v>3.9085185185185186E-3</c:v>
                </c:pt>
                <c:pt idx="30">
                  <c:v>4.094814814814815E-3</c:v>
                </c:pt>
                <c:pt idx="31">
                  <c:v>4.3837037037037039E-3</c:v>
                </c:pt>
                <c:pt idx="32">
                  <c:v>4.628888888888889E-3</c:v>
                </c:pt>
                <c:pt idx="33">
                  <c:v>4.8240740740740744E-3</c:v>
                </c:pt>
                <c:pt idx="34">
                  <c:v>5.0099999999999997E-3</c:v>
                </c:pt>
                <c:pt idx="35">
                  <c:v>5.2307407407407407E-3</c:v>
                </c:pt>
                <c:pt idx="36">
                  <c:v>5.5548148148148145E-3</c:v>
                </c:pt>
                <c:pt idx="37">
                  <c:v>5.8199999999999997E-3</c:v>
                </c:pt>
                <c:pt idx="38">
                  <c:v>6.2185185185185182E-3</c:v>
                </c:pt>
                <c:pt idx="39">
                  <c:v>6.5988888888888885E-3</c:v>
                </c:pt>
                <c:pt idx="40">
                  <c:v>6.8907407407407407E-3</c:v>
                </c:pt>
                <c:pt idx="41">
                  <c:v>7.2051851851851851E-3</c:v>
                </c:pt>
                <c:pt idx="42">
                  <c:v>7.5544444444444444E-3</c:v>
                </c:pt>
                <c:pt idx="43">
                  <c:v>7.8755555555555558E-3</c:v>
                </c:pt>
                <c:pt idx="44">
                  <c:v>8.2907407407407409E-3</c:v>
                </c:pt>
                <c:pt idx="45">
                  <c:v>8.7640740740740734E-3</c:v>
                </c:pt>
                <c:pt idx="46">
                  <c:v>9.1088888888888886E-3</c:v>
                </c:pt>
                <c:pt idx="47">
                  <c:v>9.5825925925925922E-3</c:v>
                </c:pt>
                <c:pt idx="48">
                  <c:v>9.9355555555555551E-3</c:v>
                </c:pt>
                <c:pt idx="49">
                  <c:v>1.0249629629629629E-2</c:v>
                </c:pt>
                <c:pt idx="50">
                  <c:v>1.0574814814814815E-2</c:v>
                </c:pt>
                <c:pt idx="51">
                  <c:v>1.0972222222222222E-2</c:v>
                </c:pt>
                <c:pt idx="52">
                  <c:v>1.1401111111111112E-2</c:v>
                </c:pt>
                <c:pt idx="53">
                  <c:v>1.1734074074074074E-2</c:v>
                </c:pt>
                <c:pt idx="54">
                  <c:v>1.1958148148148148E-2</c:v>
                </c:pt>
                <c:pt idx="55">
                  <c:v>1.2112222222222222E-2</c:v>
                </c:pt>
                <c:pt idx="56">
                  <c:v>1.2591851851851852E-2</c:v>
                </c:pt>
                <c:pt idx="57">
                  <c:v>1.2802592592592593E-2</c:v>
                </c:pt>
                <c:pt idx="58">
                  <c:v>1.3293703703703703E-2</c:v>
                </c:pt>
                <c:pt idx="59">
                  <c:v>1.3625555555555556E-2</c:v>
                </c:pt>
                <c:pt idx="60">
                  <c:v>1.3935555555555555E-2</c:v>
                </c:pt>
                <c:pt idx="61">
                  <c:v>1.416925925925926E-2</c:v>
                </c:pt>
                <c:pt idx="62">
                  <c:v>1.4487037037037038E-2</c:v>
                </c:pt>
                <c:pt idx="63">
                  <c:v>1.4684444444444444E-2</c:v>
                </c:pt>
                <c:pt idx="64">
                  <c:v>1.5046666666666667E-2</c:v>
                </c:pt>
                <c:pt idx="65">
                  <c:v>1.5395925925925926E-2</c:v>
                </c:pt>
                <c:pt idx="66">
                  <c:v>1.5672222222222223E-2</c:v>
                </c:pt>
                <c:pt idx="67">
                  <c:v>1.6035555555555556E-2</c:v>
                </c:pt>
                <c:pt idx="68">
                  <c:v>1.6411851851851851E-2</c:v>
                </c:pt>
                <c:pt idx="69">
                  <c:v>1.6637777777777779E-2</c:v>
                </c:pt>
                <c:pt idx="70">
                  <c:v>1.6797037037037037E-2</c:v>
                </c:pt>
                <c:pt idx="71">
                  <c:v>1.6962592592592592E-2</c:v>
                </c:pt>
                <c:pt idx="72">
                  <c:v>1.711814814814815E-2</c:v>
                </c:pt>
                <c:pt idx="73">
                  <c:v>1.731148148148148E-2</c:v>
                </c:pt>
                <c:pt idx="74">
                  <c:v>1.7475185185185184E-2</c:v>
                </c:pt>
                <c:pt idx="75">
                  <c:v>1.7647777777777776E-2</c:v>
                </c:pt>
                <c:pt idx="76">
                  <c:v>1.7766296296296297E-2</c:v>
                </c:pt>
                <c:pt idx="77">
                  <c:v>1.8102962962962963E-2</c:v>
                </c:pt>
                <c:pt idx="78">
                  <c:v>1.8207407407407408E-2</c:v>
                </c:pt>
                <c:pt idx="79">
                  <c:v>1.8321851851851853E-2</c:v>
                </c:pt>
                <c:pt idx="80">
                  <c:v>1.844111111111111E-2</c:v>
                </c:pt>
                <c:pt idx="81">
                  <c:v>1.8575925925925926E-2</c:v>
                </c:pt>
                <c:pt idx="82">
                  <c:v>1.8683703703703702E-2</c:v>
                </c:pt>
                <c:pt idx="83">
                  <c:v>1.8757777777777779E-2</c:v>
                </c:pt>
                <c:pt idx="84">
                  <c:v>1.8854814814814814E-2</c:v>
                </c:pt>
                <c:pt idx="85">
                  <c:v>1.890962962962963E-2</c:v>
                </c:pt>
                <c:pt idx="86">
                  <c:v>1.8996666666666665E-2</c:v>
                </c:pt>
                <c:pt idx="87">
                  <c:v>1.9062962962962962E-2</c:v>
                </c:pt>
                <c:pt idx="88">
                  <c:v>1.9132222222222221E-2</c:v>
                </c:pt>
                <c:pt idx="89">
                  <c:v>1.9197407407407406E-2</c:v>
                </c:pt>
                <c:pt idx="90">
                  <c:v>1.9259999999999999E-2</c:v>
                </c:pt>
                <c:pt idx="91">
                  <c:v>1.9334444444444446E-2</c:v>
                </c:pt>
                <c:pt idx="92">
                  <c:v>1.9396666666666666E-2</c:v>
                </c:pt>
                <c:pt idx="93">
                  <c:v>1.9460370370370371E-2</c:v>
                </c:pt>
                <c:pt idx="94">
                  <c:v>1.9539999999999998E-2</c:v>
                </c:pt>
                <c:pt idx="95">
                  <c:v>1.9598518518518519E-2</c:v>
                </c:pt>
                <c:pt idx="96">
                  <c:v>1.9646666666666666E-2</c:v>
                </c:pt>
                <c:pt idx="97">
                  <c:v>1.9688148148148149E-2</c:v>
                </c:pt>
                <c:pt idx="98">
                  <c:v>1.9762592592592592E-2</c:v>
                </c:pt>
                <c:pt idx="99">
                  <c:v>1.9828148148148147E-2</c:v>
                </c:pt>
                <c:pt idx="100">
                  <c:v>1.9935185185185184E-2</c:v>
                </c:pt>
                <c:pt idx="101">
                  <c:v>2.0031851851851853E-2</c:v>
                </c:pt>
                <c:pt idx="102">
                  <c:v>2.0114074074074072E-2</c:v>
                </c:pt>
                <c:pt idx="103">
                  <c:v>2.0197037037037038E-2</c:v>
                </c:pt>
                <c:pt idx="104">
                  <c:v>2.0275185185185184E-2</c:v>
                </c:pt>
                <c:pt idx="105">
                  <c:v>2.0352592592592592E-2</c:v>
                </c:pt>
                <c:pt idx="106">
                  <c:v>2.0433703703703704E-2</c:v>
                </c:pt>
                <c:pt idx="107">
                  <c:v>2.0539259259259261E-2</c:v>
                </c:pt>
                <c:pt idx="108">
                  <c:v>2.0635925925925926E-2</c:v>
                </c:pt>
                <c:pt idx="109">
                  <c:v>2.0742962962962963E-2</c:v>
                </c:pt>
                <c:pt idx="110">
                  <c:v>2.0801851851851853E-2</c:v>
                </c:pt>
                <c:pt idx="111">
                  <c:v>2.0854074074074073E-2</c:v>
                </c:pt>
                <c:pt idx="112">
                  <c:v>2.0912962962962963E-2</c:v>
                </c:pt>
                <c:pt idx="113">
                  <c:v>2.0997777777777778E-2</c:v>
                </c:pt>
                <c:pt idx="114">
                  <c:v>2.1111481481481481E-2</c:v>
                </c:pt>
                <c:pt idx="115">
                  <c:v>2.1237777777777779E-2</c:v>
                </c:pt>
                <c:pt idx="116">
                  <c:v>2.1349629629629628E-2</c:v>
                </c:pt>
                <c:pt idx="117">
                  <c:v>2.1447777777777777E-2</c:v>
                </c:pt>
                <c:pt idx="118">
                  <c:v>2.1513703703703705E-2</c:v>
                </c:pt>
                <c:pt idx="119">
                  <c:v>2.1585185185185186E-2</c:v>
                </c:pt>
                <c:pt idx="120">
                  <c:v>2.168851851851852E-2</c:v>
                </c:pt>
                <c:pt idx="121">
                  <c:v>2.1813703703703703E-2</c:v>
                </c:pt>
                <c:pt idx="122">
                  <c:v>2.1945185185185186E-2</c:v>
                </c:pt>
                <c:pt idx="123">
                  <c:v>2.203851851851852E-2</c:v>
                </c:pt>
                <c:pt idx="124">
                  <c:v>2.2107777777777778E-2</c:v>
                </c:pt>
                <c:pt idx="125">
                  <c:v>2.2177037037037037E-2</c:v>
                </c:pt>
                <c:pt idx="126">
                  <c:v>2.224962962962963E-2</c:v>
                </c:pt>
                <c:pt idx="127">
                  <c:v>2.2381481481481481E-2</c:v>
                </c:pt>
                <c:pt idx="128">
                  <c:v>2.2527037037037036E-2</c:v>
                </c:pt>
                <c:pt idx="129">
                  <c:v>2.2663703703703703E-2</c:v>
                </c:pt>
                <c:pt idx="130">
                  <c:v>2.2788148148148148E-2</c:v>
                </c:pt>
                <c:pt idx="131">
                  <c:v>2.2919259259259261E-2</c:v>
                </c:pt>
                <c:pt idx="132">
                  <c:v>2.3021851851851852E-2</c:v>
                </c:pt>
                <c:pt idx="133">
                  <c:v>2.3131851851851851E-2</c:v>
                </c:pt>
                <c:pt idx="134">
                  <c:v>2.3248888888888888E-2</c:v>
                </c:pt>
                <c:pt idx="135">
                  <c:v>2.3387777777777778E-2</c:v>
                </c:pt>
                <c:pt idx="136">
                  <c:v>2.3559259259259259E-2</c:v>
                </c:pt>
                <c:pt idx="137">
                  <c:v>2.3700370370370372E-2</c:v>
                </c:pt>
                <c:pt idx="138">
                  <c:v>2.3847407407407407E-2</c:v>
                </c:pt>
                <c:pt idx="139">
                  <c:v>2.3974444444444444E-2</c:v>
                </c:pt>
                <c:pt idx="140">
                  <c:v>2.405111111111111E-2</c:v>
                </c:pt>
                <c:pt idx="141">
                  <c:v>2.416851851851852E-2</c:v>
                </c:pt>
                <c:pt idx="142">
                  <c:v>2.4298888888888887E-2</c:v>
                </c:pt>
                <c:pt idx="143">
                  <c:v>2.4418888888888889E-2</c:v>
                </c:pt>
                <c:pt idx="144">
                  <c:v>2.4587037037037036E-2</c:v>
                </c:pt>
                <c:pt idx="145">
                  <c:v>2.469814814814815E-2</c:v>
                </c:pt>
                <c:pt idx="146">
                  <c:v>2.4791851851851853E-2</c:v>
                </c:pt>
                <c:pt idx="147">
                  <c:v>2.4877037037037038E-2</c:v>
                </c:pt>
                <c:pt idx="148">
                  <c:v>2.497148148148148E-2</c:v>
                </c:pt>
                <c:pt idx="149">
                  <c:v>2.5115185185185185E-2</c:v>
                </c:pt>
                <c:pt idx="150">
                  <c:v>2.5298518518518519E-2</c:v>
                </c:pt>
                <c:pt idx="151">
                  <c:v>2.5416296296296298E-2</c:v>
                </c:pt>
                <c:pt idx="152">
                  <c:v>2.5542962962962962E-2</c:v>
                </c:pt>
                <c:pt idx="153">
                  <c:v>2.5652222222222222E-2</c:v>
                </c:pt>
                <c:pt idx="154">
                  <c:v>2.5742222222222222E-2</c:v>
                </c:pt>
                <c:pt idx="155">
                  <c:v>2.5905925925925926E-2</c:v>
                </c:pt>
                <c:pt idx="156">
                  <c:v>2.6038888888888889E-2</c:v>
                </c:pt>
                <c:pt idx="157">
                  <c:v>2.6207037037037036E-2</c:v>
                </c:pt>
                <c:pt idx="158">
                  <c:v>2.6377037037037036E-2</c:v>
                </c:pt>
                <c:pt idx="159">
                  <c:v>2.650962962962963E-2</c:v>
                </c:pt>
                <c:pt idx="160">
                  <c:v>2.6621111111111113E-2</c:v>
                </c:pt>
                <c:pt idx="161">
                  <c:v>2.6712222222222221E-2</c:v>
                </c:pt>
                <c:pt idx="162">
                  <c:v>2.6835185185185184E-2</c:v>
                </c:pt>
                <c:pt idx="163">
                  <c:v>2.6917777777777777E-2</c:v>
                </c:pt>
                <c:pt idx="164">
                  <c:v>2.7110740740740741E-2</c:v>
                </c:pt>
                <c:pt idx="165">
                  <c:v>2.7191851851851852E-2</c:v>
                </c:pt>
                <c:pt idx="166">
                  <c:v>2.7355185185185184E-2</c:v>
                </c:pt>
                <c:pt idx="167">
                  <c:v>2.7467407407407409E-2</c:v>
                </c:pt>
                <c:pt idx="168">
                  <c:v>2.7525925925925926E-2</c:v>
                </c:pt>
                <c:pt idx="169">
                  <c:v>2.7632592592592594E-2</c:v>
                </c:pt>
                <c:pt idx="170">
                  <c:v>2.7697037037037037E-2</c:v>
                </c:pt>
                <c:pt idx="171">
                  <c:v>2.7964074074074075E-2</c:v>
                </c:pt>
                <c:pt idx="172">
                  <c:v>2.815888888888889E-2</c:v>
                </c:pt>
                <c:pt idx="173">
                  <c:v>2.8237037037037036E-2</c:v>
                </c:pt>
                <c:pt idx="174">
                  <c:v>2.8344444444444443E-2</c:v>
                </c:pt>
                <c:pt idx="175">
                  <c:v>2.8416666666666666E-2</c:v>
                </c:pt>
                <c:pt idx="176">
                  <c:v>2.8464444444444445E-2</c:v>
                </c:pt>
                <c:pt idx="177">
                  <c:v>2.855148148148148E-2</c:v>
                </c:pt>
                <c:pt idx="178">
                  <c:v>2.8692222222222223E-2</c:v>
                </c:pt>
                <c:pt idx="179">
                  <c:v>2.8817407407407406E-2</c:v>
                </c:pt>
                <c:pt idx="180">
                  <c:v>2.8914074074074075E-2</c:v>
                </c:pt>
                <c:pt idx="181">
                  <c:v>2.9009259259259259E-2</c:v>
                </c:pt>
                <c:pt idx="182">
                  <c:v>2.907888888888889E-2</c:v>
                </c:pt>
                <c:pt idx="183">
                  <c:v>2.9172222222222221E-2</c:v>
                </c:pt>
                <c:pt idx="184">
                  <c:v>2.9320370370370372E-2</c:v>
                </c:pt>
                <c:pt idx="185">
                  <c:v>2.942074074074074E-2</c:v>
                </c:pt>
                <c:pt idx="186">
                  <c:v>2.959111111111111E-2</c:v>
                </c:pt>
                <c:pt idx="187">
                  <c:v>2.9693703703703705E-2</c:v>
                </c:pt>
                <c:pt idx="188">
                  <c:v>2.9784814814814816E-2</c:v>
                </c:pt>
                <c:pt idx="189">
                  <c:v>2.9860000000000001E-2</c:v>
                </c:pt>
                <c:pt idx="190">
                  <c:v>2.9973333333333334E-2</c:v>
                </c:pt>
                <c:pt idx="191">
                  <c:v>3.0107037037037036E-2</c:v>
                </c:pt>
                <c:pt idx="192">
                  <c:v>3.0241111111111111E-2</c:v>
                </c:pt>
                <c:pt idx="193">
                  <c:v>3.0393333333333335E-2</c:v>
                </c:pt>
                <c:pt idx="194">
                  <c:v>3.0496666666666665E-2</c:v>
                </c:pt>
                <c:pt idx="195">
                  <c:v>3.0637407407407408E-2</c:v>
                </c:pt>
                <c:pt idx="196">
                  <c:v>3.0702962962962963E-2</c:v>
                </c:pt>
                <c:pt idx="197">
                  <c:v>3.0824074074074073E-2</c:v>
                </c:pt>
                <c:pt idx="198">
                  <c:v>3.097851851851852E-2</c:v>
                </c:pt>
                <c:pt idx="199">
                  <c:v>3.1102222222222222E-2</c:v>
                </c:pt>
                <c:pt idx="200">
                  <c:v>3.1270740740740738E-2</c:v>
                </c:pt>
                <c:pt idx="201">
                  <c:v>3.1362222222222222E-2</c:v>
                </c:pt>
                <c:pt idx="202">
                  <c:v>3.1487777777777781E-2</c:v>
                </c:pt>
                <c:pt idx="203">
                  <c:v>3.1559999999999998E-2</c:v>
                </c:pt>
                <c:pt idx="204">
                  <c:v>3.1681481481481484E-2</c:v>
                </c:pt>
                <c:pt idx="205">
                  <c:v>3.187148148148148E-2</c:v>
                </c:pt>
                <c:pt idx="206">
                  <c:v>3.2035925925925926E-2</c:v>
                </c:pt>
                <c:pt idx="207">
                  <c:v>3.2250000000000001E-2</c:v>
                </c:pt>
                <c:pt idx="208">
                  <c:v>3.2458148148148146E-2</c:v>
                </c:pt>
                <c:pt idx="209">
                  <c:v>3.2645925925925925E-2</c:v>
                </c:pt>
                <c:pt idx="210">
                  <c:v>3.2827777777777775E-2</c:v>
                </c:pt>
                <c:pt idx="211">
                  <c:v>3.2996666666666667E-2</c:v>
                </c:pt>
                <c:pt idx="212">
                  <c:v>3.3260740740740743E-2</c:v>
                </c:pt>
                <c:pt idx="213">
                  <c:v>3.3548888888888892E-2</c:v>
                </c:pt>
                <c:pt idx="214">
                  <c:v>3.3878888888888889E-2</c:v>
                </c:pt>
                <c:pt idx="215">
                  <c:v>3.4225185185185185E-2</c:v>
                </c:pt>
                <c:pt idx="216">
                  <c:v>3.4435185185185187E-2</c:v>
                </c:pt>
                <c:pt idx="217">
                  <c:v>3.463666666666667E-2</c:v>
                </c:pt>
                <c:pt idx="218">
                  <c:v>3.4974444444444447E-2</c:v>
                </c:pt>
                <c:pt idx="219">
                  <c:v>3.5355555555555557E-2</c:v>
                </c:pt>
                <c:pt idx="220">
                  <c:v>3.5652962962962963E-2</c:v>
                </c:pt>
                <c:pt idx="221">
                  <c:v>3.6092962962962966E-2</c:v>
                </c:pt>
                <c:pt idx="222">
                  <c:v>3.648296296296296E-2</c:v>
                </c:pt>
                <c:pt idx="223">
                  <c:v>3.682888888888889E-2</c:v>
                </c:pt>
                <c:pt idx="224">
                  <c:v>3.7071481481481483E-2</c:v>
                </c:pt>
                <c:pt idx="225">
                  <c:v>3.7443703703703701E-2</c:v>
                </c:pt>
                <c:pt idx="226">
                  <c:v>3.7967037037037035E-2</c:v>
                </c:pt>
                <c:pt idx="227">
                  <c:v>3.8525925925925929E-2</c:v>
                </c:pt>
                <c:pt idx="228">
                  <c:v>3.9152592592592593E-2</c:v>
                </c:pt>
                <c:pt idx="229">
                  <c:v>3.9853333333333331E-2</c:v>
                </c:pt>
                <c:pt idx="230">
                  <c:v>4.0400370370370371E-2</c:v>
                </c:pt>
                <c:pt idx="231">
                  <c:v>4.0839629629629629E-2</c:v>
                </c:pt>
                <c:pt idx="232">
                  <c:v>4.1359629629629628E-2</c:v>
                </c:pt>
                <c:pt idx="233">
                  <c:v>4.2171481481481483E-2</c:v>
                </c:pt>
                <c:pt idx="234">
                  <c:v>4.3131851851851852E-2</c:v>
                </c:pt>
                <c:pt idx="235">
                  <c:v>4.398703703703704E-2</c:v>
                </c:pt>
                <c:pt idx="236">
                  <c:v>4.4689629629629628E-2</c:v>
                </c:pt>
                <c:pt idx="237">
                  <c:v>4.5591851851851849E-2</c:v>
                </c:pt>
                <c:pt idx="238">
                  <c:v>4.6367777777777779E-2</c:v>
                </c:pt>
                <c:pt idx="239">
                  <c:v>4.7062592592592593E-2</c:v>
                </c:pt>
                <c:pt idx="240">
                  <c:v>4.8064814814814817E-2</c:v>
                </c:pt>
                <c:pt idx="241">
                  <c:v>4.9171481481481483E-2</c:v>
                </c:pt>
                <c:pt idx="242">
                  <c:v>4.9924814814814818E-2</c:v>
                </c:pt>
                <c:pt idx="243">
                  <c:v>5.0772962962962964E-2</c:v>
                </c:pt>
                <c:pt idx="244">
                  <c:v>5.1678518518518519E-2</c:v>
                </c:pt>
                <c:pt idx="245">
                  <c:v>5.2448518518518519E-2</c:v>
                </c:pt>
                <c:pt idx="246">
                  <c:v>5.2999999999999999E-2</c:v>
                </c:pt>
                <c:pt idx="247">
                  <c:v>5.4057777777777781E-2</c:v>
                </c:pt>
                <c:pt idx="248">
                  <c:v>5.4926666666666665E-2</c:v>
                </c:pt>
                <c:pt idx="249">
                  <c:v>5.5727407407407406E-2</c:v>
                </c:pt>
                <c:pt idx="250">
                  <c:v>5.6451481481481484E-2</c:v>
                </c:pt>
                <c:pt idx="251">
                  <c:v>5.7084074074074072E-2</c:v>
                </c:pt>
                <c:pt idx="252">
                  <c:v>5.7661851851851853E-2</c:v>
                </c:pt>
                <c:pt idx="253">
                  <c:v>5.8410740740740742E-2</c:v>
                </c:pt>
                <c:pt idx="254">
                  <c:v>5.9378888888888891E-2</c:v>
                </c:pt>
                <c:pt idx="255">
                  <c:v>5.993222222222222E-2</c:v>
                </c:pt>
                <c:pt idx="256">
                  <c:v>6.0387777777777776E-2</c:v>
                </c:pt>
                <c:pt idx="257">
                  <c:v>6.0835555555555552E-2</c:v>
                </c:pt>
                <c:pt idx="258">
                  <c:v>6.1205185185185182E-2</c:v>
                </c:pt>
                <c:pt idx="259">
                  <c:v>6.1938148148148145E-2</c:v>
                </c:pt>
                <c:pt idx="260">
                  <c:v>6.2485555555555558E-2</c:v>
                </c:pt>
                <c:pt idx="261">
                  <c:v>6.331481481481481E-2</c:v>
                </c:pt>
                <c:pt idx="262">
                  <c:v>6.3972222222222222E-2</c:v>
                </c:pt>
                <c:pt idx="263">
                  <c:v>6.4685555555555552E-2</c:v>
                </c:pt>
                <c:pt idx="264">
                  <c:v>6.5301111111111115E-2</c:v>
                </c:pt>
                <c:pt idx="265">
                  <c:v>6.6000000000000003E-2</c:v>
                </c:pt>
                <c:pt idx="266">
                  <c:v>6.6443333333333326E-2</c:v>
                </c:pt>
                <c:pt idx="267">
                  <c:v>6.6934444444444449E-2</c:v>
                </c:pt>
                <c:pt idx="268">
                  <c:v>6.7724814814814821E-2</c:v>
                </c:pt>
                <c:pt idx="269">
                  <c:v>6.8424074074074068E-2</c:v>
                </c:pt>
                <c:pt idx="270">
                  <c:v>6.9063333333333338E-2</c:v>
                </c:pt>
                <c:pt idx="271">
                  <c:v>6.9612592592592587E-2</c:v>
                </c:pt>
                <c:pt idx="272">
                  <c:v>7.0254814814814812E-2</c:v>
                </c:pt>
                <c:pt idx="273">
                  <c:v>7.0699259259259253E-2</c:v>
                </c:pt>
                <c:pt idx="274">
                  <c:v>7.1155925925925928E-2</c:v>
                </c:pt>
              </c:numCache>
            </c:numRef>
          </c:xVal>
          <c:yVal>
            <c:numRef>
              <c:f>[0]!chicago_percent_increase</c:f>
              <c:numCache>
                <c:formatCode>0.0%</c:formatCode>
                <c:ptCount val="275"/>
                <c:pt idx="3">
                  <c:v>0.39869281045751626</c:v>
                </c:pt>
                <c:pt idx="4">
                  <c:v>0.62149532710280364</c:v>
                </c:pt>
                <c:pt idx="5">
                  <c:v>0.50720461095100866</c:v>
                </c:pt>
                <c:pt idx="6">
                  <c:v>0.22461211463671038</c:v>
                </c:pt>
                <c:pt idx="7">
                  <c:v>0.2287810129733665</c:v>
                </c:pt>
                <c:pt idx="8">
                  <c:v>0.16899618805590855</c:v>
                </c:pt>
                <c:pt idx="9">
                  <c:v>0.27173913043478271</c:v>
                </c:pt>
                <c:pt idx="10">
                  <c:v>0.17350427350427355</c:v>
                </c:pt>
                <c:pt idx="11">
                  <c:v>0.1813546977421705</c:v>
                </c:pt>
                <c:pt idx="12">
                  <c:v>0.25893958076448831</c:v>
                </c:pt>
                <c:pt idx="13">
                  <c:v>8.4231145935357521E-2</c:v>
                </c:pt>
                <c:pt idx="14">
                  <c:v>0.22628726287262868</c:v>
                </c:pt>
                <c:pt idx="15">
                  <c:v>0.15138121546961325</c:v>
                </c:pt>
                <c:pt idx="16">
                  <c:v>6.2060140754958359E-2</c:v>
                </c:pt>
                <c:pt idx="17">
                  <c:v>0.16626506024096388</c:v>
                </c:pt>
                <c:pt idx="18">
                  <c:v>0.12913223140495877</c:v>
                </c:pt>
                <c:pt idx="19">
                  <c:v>7.5937785910338507E-2</c:v>
                </c:pt>
                <c:pt idx="20">
                  <c:v>0.10012755102040827</c:v>
                </c:pt>
                <c:pt idx="21">
                  <c:v>9.0048309178744068E-2</c:v>
                </c:pt>
                <c:pt idx="22">
                  <c:v>0.11132777876263078</c:v>
                </c:pt>
                <c:pt idx="23">
                  <c:v>9.2040197798691992E-2</c:v>
                </c:pt>
                <c:pt idx="24">
                  <c:v>8.7934560327198374E-2</c:v>
                </c:pt>
                <c:pt idx="25">
                  <c:v>7.8544575725026933E-2</c:v>
                </c:pt>
                <c:pt idx="26">
                  <c:v>9.1746545499813204E-2</c:v>
                </c:pt>
                <c:pt idx="27">
                  <c:v>7.09236031927023E-2</c:v>
                </c:pt>
                <c:pt idx="28">
                  <c:v>5.8773424190800672E-2</c:v>
                </c:pt>
                <c:pt idx="29">
                  <c:v>6.1242960579243721E-2</c:v>
                </c:pt>
                <c:pt idx="30">
                  <c:v>4.7664171325689342E-2</c:v>
                </c:pt>
                <c:pt idx="31">
                  <c:v>7.0549927641099908E-2</c:v>
                </c:pt>
                <c:pt idx="32">
                  <c:v>5.5931057789793792E-2</c:v>
                </c:pt>
                <c:pt idx="33">
                  <c:v>4.2166746679468625E-2</c:v>
                </c:pt>
                <c:pt idx="34">
                  <c:v>3.8541266794625662E-2</c:v>
                </c:pt>
                <c:pt idx="35">
                  <c:v>4.4060028091964298E-2</c:v>
                </c:pt>
                <c:pt idx="36">
                  <c:v>6.1955675139842903E-2</c:v>
                </c:pt>
                <c:pt idx="37">
                  <c:v>4.7739698626483529E-2</c:v>
                </c:pt>
                <c:pt idx="38">
                  <c:v>6.847397225404106E-2</c:v>
                </c:pt>
                <c:pt idx="39">
                  <c:v>6.1167361524717023E-2</c:v>
                </c:pt>
                <c:pt idx="40">
                  <c:v>4.4227423247460207E-2</c:v>
                </c:pt>
                <c:pt idx="41">
                  <c:v>4.563289438323026E-2</c:v>
                </c:pt>
                <c:pt idx="42">
                  <c:v>4.8473321681916426E-2</c:v>
                </c:pt>
                <c:pt idx="43">
                  <c:v>4.2506250919252864E-2</c:v>
                </c:pt>
                <c:pt idx="44">
                  <c:v>5.2718209179834385E-2</c:v>
                </c:pt>
                <c:pt idx="45">
                  <c:v>5.7091802546348047E-2</c:v>
                </c:pt>
                <c:pt idx="46">
                  <c:v>3.934412373748053E-2</c:v>
                </c:pt>
                <c:pt idx="47">
                  <c:v>5.2004553956249477E-2</c:v>
                </c:pt>
                <c:pt idx="48">
                  <c:v>3.683376492869006E-2</c:v>
                </c:pt>
                <c:pt idx="49">
                  <c:v>3.1611123536867236E-2</c:v>
                </c:pt>
                <c:pt idx="50">
                  <c:v>3.1726530317265356E-2</c:v>
                </c:pt>
                <c:pt idx="51">
                  <c:v>3.7580554777248532E-2</c:v>
                </c:pt>
                <c:pt idx="52">
                  <c:v>3.9088607594936819E-2</c:v>
                </c:pt>
                <c:pt idx="53">
                  <c:v>2.9204431017119781E-2</c:v>
                </c:pt>
                <c:pt idx="54">
                  <c:v>1.9096016665614446E-2</c:v>
                </c:pt>
                <c:pt idx="55">
                  <c:v>1.2884442654938599E-2</c:v>
                </c:pt>
                <c:pt idx="56">
                  <c:v>3.9598813564504676E-2</c:v>
                </c:pt>
                <c:pt idx="57">
                  <c:v>1.67362786046239E-2</c:v>
                </c:pt>
                <c:pt idx="58">
                  <c:v>3.8360285821737561E-2</c:v>
                </c:pt>
                <c:pt idx="59">
                  <c:v>2.4963084724040963E-2</c:v>
                </c:pt>
                <c:pt idx="60">
                  <c:v>2.2751365897414999E-2</c:v>
                </c:pt>
                <c:pt idx="61">
                  <c:v>1.6770318396853279E-2</c:v>
                </c:pt>
                <c:pt idx="62">
                  <c:v>2.2427268212353191E-2</c:v>
                </c:pt>
                <c:pt idx="63">
                  <c:v>1.3626486002812133E-2</c:v>
                </c:pt>
                <c:pt idx="64">
                  <c:v>2.4667070217917697E-2</c:v>
                </c:pt>
                <c:pt idx="65">
                  <c:v>2.3211736326490318E-2</c:v>
                </c:pt>
                <c:pt idx="66">
                  <c:v>1.7946065577714165E-2</c:v>
                </c:pt>
                <c:pt idx="67">
                  <c:v>2.318326834455875E-2</c:v>
                </c:pt>
                <c:pt idx="68">
                  <c:v>2.3466371027346611E-2</c:v>
                </c:pt>
                <c:pt idx="69">
                  <c:v>1.3766022747788487E-2</c:v>
                </c:pt>
                <c:pt idx="70">
                  <c:v>9.5721472775032179E-3</c:v>
                </c:pt>
                <c:pt idx="71">
                  <c:v>9.8562356676663576E-3</c:v>
                </c:pt>
                <c:pt idx="72">
                  <c:v>9.1705059062425764E-3</c:v>
                </c:pt>
                <c:pt idx="73">
                  <c:v>1.1294056556827359E-2</c:v>
                </c:pt>
                <c:pt idx="74">
                  <c:v>9.4563659314093051E-3</c:v>
                </c:pt>
                <c:pt idx="75">
                  <c:v>9.8764385477820849E-3</c:v>
                </c:pt>
                <c:pt idx="76">
                  <c:v>6.7157757770361926E-3</c:v>
                </c:pt>
                <c:pt idx="77">
                  <c:v>1.8949738372699088E-2</c:v>
                </c:pt>
                <c:pt idx="78">
                  <c:v>5.7694668357952672E-3</c:v>
                </c:pt>
                <c:pt idx="79">
                  <c:v>6.2855980471927531E-3</c:v>
                </c:pt>
                <c:pt idx="80">
                  <c:v>6.5091269279751174E-3</c:v>
                </c:pt>
                <c:pt idx="81">
                  <c:v>7.3105581329959701E-3</c:v>
                </c:pt>
                <c:pt idx="82">
                  <c:v>5.8020137573522312E-3</c:v>
                </c:pt>
                <c:pt idx="83">
                  <c:v>3.964635451770171E-3</c:v>
                </c:pt>
                <c:pt idx="84">
                  <c:v>5.1731627374322908E-3</c:v>
                </c:pt>
                <c:pt idx="85">
                  <c:v>2.9072051543961308E-3</c:v>
                </c:pt>
                <c:pt idx="86">
                  <c:v>4.6027890943278749E-3</c:v>
                </c:pt>
                <c:pt idx="87">
                  <c:v>3.4898910140179762E-3</c:v>
                </c:pt>
                <c:pt idx="88">
                  <c:v>3.6331843792500873E-3</c:v>
                </c:pt>
                <c:pt idx="89">
                  <c:v>3.407089068277358E-3</c:v>
                </c:pt>
                <c:pt idx="90">
                  <c:v>3.2604711284316412E-3</c:v>
                </c:pt>
                <c:pt idx="91">
                  <c:v>3.8652359524633528E-3</c:v>
                </c:pt>
                <c:pt idx="92">
                  <c:v>3.2182058502385757E-3</c:v>
                </c:pt>
                <c:pt idx="93">
                  <c:v>3.2842603731073616E-3</c:v>
                </c:pt>
                <c:pt idx="94">
                  <c:v>4.0918866452239744E-3</c:v>
                </c:pt>
                <c:pt idx="95">
                  <c:v>2.9948064748475112E-3</c:v>
                </c:pt>
                <c:pt idx="96">
                  <c:v>2.4567238642376754E-3</c:v>
                </c:pt>
                <c:pt idx="97">
                  <c:v>2.1113750329901926E-3</c:v>
                </c:pt>
                <c:pt idx="98">
                  <c:v>3.781180631325487E-3</c:v>
                </c:pt>
                <c:pt idx="99">
                  <c:v>3.3171536198204343E-3</c:v>
                </c:pt>
                <c:pt idx="100">
                  <c:v>5.3982367005378507E-3</c:v>
                </c:pt>
                <c:pt idx="101">
                  <c:v>4.8490478402229975E-3</c:v>
                </c:pt>
                <c:pt idx="102">
                  <c:v>4.1045741966498905E-3</c:v>
                </c:pt>
                <c:pt idx="103">
                  <c:v>4.1246225233850797E-3</c:v>
                </c:pt>
                <c:pt idx="104">
                  <c:v>3.8692877576469442E-3</c:v>
                </c:pt>
                <c:pt idx="105">
                  <c:v>3.8178397238002315E-3</c:v>
                </c:pt>
                <c:pt idx="106">
                  <c:v>3.9852962585529284E-3</c:v>
                </c:pt>
                <c:pt idx="107">
                  <c:v>5.1657573725327754E-3</c:v>
                </c:pt>
                <c:pt idx="108">
                  <c:v>4.7064339296019053E-3</c:v>
                </c:pt>
                <c:pt idx="109">
                  <c:v>5.1869267907460603E-3</c:v>
                </c:pt>
                <c:pt idx="110">
                  <c:v>2.8389815376923533E-3</c:v>
                </c:pt>
                <c:pt idx="111">
                  <c:v>2.5104602510459539E-3</c:v>
                </c:pt>
                <c:pt idx="112">
                  <c:v>2.8238553617732087E-3</c:v>
                </c:pt>
                <c:pt idx="113">
                  <c:v>4.0556096697068611E-3</c:v>
                </c:pt>
                <c:pt idx="114">
                  <c:v>5.4150351007160591E-3</c:v>
                </c:pt>
                <c:pt idx="115">
                  <c:v>5.982351186821333E-3</c:v>
                </c:pt>
                <c:pt idx="116">
                  <c:v>5.2666457395975641E-3</c:v>
                </c:pt>
                <c:pt idx="117">
                  <c:v>4.5971827076538574E-3</c:v>
                </c:pt>
                <c:pt idx="118">
                  <c:v>3.0737881849107751E-3</c:v>
                </c:pt>
                <c:pt idx="119">
                  <c:v>3.322602303441391E-3</c:v>
                </c:pt>
                <c:pt idx="120">
                  <c:v>4.7872340425532123E-3</c:v>
                </c:pt>
                <c:pt idx="121">
                  <c:v>5.7719564883280672E-3</c:v>
                </c:pt>
                <c:pt idx="122">
                  <c:v>6.027471687861885E-3</c:v>
                </c:pt>
                <c:pt idx="123">
                  <c:v>4.2530209950719655E-3</c:v>
                </c:pt>
                <c:pt idx="124">
                  <c:v>3.1426458725463124E-3</c:v>
                </c:pt>
                <c:pt idx="125">
                  <c:v>3.1328005897035549E-3</c:v>
                </c:pt>
                <c:pt idx="126">
                  <c:v>3.2733224222585289E-3</c:v>
                </c:pt>
                <c:pt idx="127">
                  <c:v>5.9260245696972635E-3</c:v>
                </c:pt>
                <c:pt idx="128">
                  <c:v>6.5033923547905825E-3</c:v>
                </c:pt>
                <c:pt idx="129">
                  <c:v>6.0667839468622198E-3</c:v>
                </c:pt>
                <c:pt idx="130">
                  <c:v>5.4909138449470429E-3</c:v>
                </c:pt>
                <c:pt idx="131">
                  <c:v>5.7534780912755767E-3</c:v>
                </c:pt>
                <c:pt idx="132">
                  <c:v>4.4762612714521754E-3</c:v>
                </c:pt>
                <c:pt idx="133">
                  <c:v>4.7780691452565804E-3</c:v>
                </c:pt>
                <c:pt idx="134">
                  <c:v>5.059561931599843E-3</c:v>
                </c:pt>
                <c:pt idx="135">
                  <c:v>5.97400114700819E-3</c:v>
                </c:pt>
                <c:pt idx="136">
                  <c:v>7.3320981202591451E-3</c:v>
                </c:pt>
                <c:pt idx="137">
                  <c:v>5.9896242729131632E-3</c:v>
                </c:pt>
                <c:pt idx="138">
                  <c:v>6.2039974371395079E-3</c:v>
                </c:pt>
                <c:pt idx="139">
                  <c:v>5.327079580045968E-3</c:v>
                </c:pt>
                <c:pt idx="140">
                  <c:v>3.1978495620337277E-3</c:v>
                </c:pt>
                <c:pt idx="141">
                  <c:v>4.8815793526133522E-3</c:v>
                </c:pt>
                <c:pt idx="142">
                  <c:v>5.3942226649299485E-3</c:v>
                </c:pt>
                <c:pt idx="143">
                  <c:v>4.9384974164341511E-3</c:v>
                </c:pt>
                <c:pt idx="144">
                  <c:v>6.8859868650559264E-3</c:v>
                </c:pt>
                <c:pt idx="145">
                  <c:v>4.5190931686374114E-3</c:v>
                </c:pt>
                <c:pt idx="146">
                  <c:v>3.7939566619180631E-3</c:v>
                </c:pt>
                <c:pt idx="147">
                  <c:v>3.4360154172516921E-3</c:v>
                </c:pt>
                <c:pt idx="148">
                  <c:v>3.7964506908052531E-3</c:v>
                </c:pt>
                <c:pt idx="149">
                  <c:v>5.7547127834716161E-3</c:v>
                </c:pt>
                <c:pt idx="150">
                  <c:v>7.2997006385395746E-3</c:v>
                </c:pt>
                <c:pt idx="151">
                  <c:v>4.6555207448832903E-3</c:v>
                </c:pt>
                <c:pt idx="152">
                  <c:v>4.9836791792958746E-3</c:v>
                </c:pt>
                <c:pt idx="153">
                  <c:v>4.2774700577095093E-3</c:v>
                </c:pt>
                <c:pt idx="154">
                  <c:v>3.5084679689869613E-3</c:v>
                </c:pt>
                <c:pt idx="155">
                  <c:v>6.3593462246778198E-3</c:v>
                </c:pt>
                <c:pt idx="156">
                  <c:v>5.1325308094816169E-3</c:v>
                </c:pt>
                <c:pt idx="157">
                  <c:v>6.4575776971766974E-3</c:v>
                </c:pt>
                <c:pt idx="158">
                  <c:v>6.4868073319295227E-3</c:v>
                </c:pt>
                <c:pt idx="159">
                  <c:v>5.0268190625966103E-3</c:v>
                </c:pt>
                <c:pt idx="160">
                  <c:v>4.2053202190679428E-3</c:v>
                </c:pt>
                <c:pt idx="161">
                  <c:v>3.4225134604950469E-3</c:v>
                </c:pt>
                <c:pt idx="162">
                  <c:v>4.6032472304258221E-3</c:v>
                </c:pt>
                <c:pt idx="163">
                  <c:v>3.0777724104615878E-3</c:v>
                </c:pt>
                <c:pt idx="164">
                  <c:v>7.1686067310603452E-3</c:v>
                </c:pt>
                <c:pt idx="165">
                  <c:v>2.9918441508762772E-3</c:v>
                </c:pt>
                <c:pt idx="166">
                  <c:v>6.0067013538913638E-3</c:v>
                </c:pt>
                <c:pt idx="167">
                  <c:v>4.1024113513585814E-3</c:v>
                </c:pt>
                <c:pt idx="168">
                  <c:v>2.1304711307676971E-3</c:v>
                </c:pt>
                <c:pt idx="169">
                  <c:v>3.8751345532830328E-3</c:v>
                </c:pt>
                <c:pt idx="170">
                  <c:v>2.3321895775252344E-3</c:v>
                </c:pt>
                <c:pt idx="171">
                  <c:v>9.6413575459335377E-3</c:v>
                </c:pt>
                <c:pt idx="172">
                  <c:v>6.9666105982544302E-3</c:v>
                </c:pt>
                <c:pt idx="173">
                  <c:v>2.7752568099015384E-3</c:v>
                </c:pt>
                <c:pt idx="174">
                  <c:v>3.8037775445960431E-3</c:v>
                </c:pt>
                <c:pt idx="175">
                  <c:v>2.5480203841630189E-3</c:v>
                </c:pt>
                <c:pt idx="176">
                  <c:v>1.6813294232649323E-3</c:v>
                </c:pt>
                <c:pt idx="177">
                  <c:v>3.0577458557785597E-3</c:v>
                </c:pt>
                <c:pt idx="178">
                  <c:v>4.929367354616021E-3</c:v>
                </c:pt>
                <c:pt idx="179">
                  <c:v>4.363035536795401E-3</c:v>
                </c:pt>
                <c:pt idx="180">
                  <c:v>3.3544539694372322E-3</c:v>
                </c:pt>
                <c:pt idx="181">
                  <c:v>3.2920018445457E-3</c:v>
                </c:pt>
                <c:pt idx="182">
                  <c:v>2.4002553463133847E-3</c:v>
                </c:pt>
                <c:pt idx="183">
                  <c:v>3.2096595468267264E-3</c:v>
                </c:pt>
                <c:pt idx="184">
                  <c:v>5.078397765504894E-3</c:v>
                </c:pt>
                <c:pt idx="185">
                  <c:v>3.4232299627361407E-3</c:v>
                </c:pt>
                <c:pt idx="186">
                  <c:v>5.7908253184952851E-3</c:v>
                </c:pt>
                <c:pt idx="187">
                  <c:v>3.4670071092419708E-3</c:v>
                </c:pt>
                <c:pt idx="188">
                  <c:v>3.0683646614195759E-3</c:v>
                </c:pt>
                <c:pt idx="189">
                  <c:v>2.5242790882751276E-3</c:v>
                </c:pt>
                <c:pt idx="190">
                  <c:v>3.7954900647465539E-3</c:v>
                </c:pt>
                <c:pt idx="191">
                  <c:v>4.4607552392250671E-3</c:v>
                </c:pt>
                <c:pt idx="192">
                  <c:v>4.4532470567972826E-3</c:v>
                </c:pt>
                <c:pt idx="193">
                  <c:v>5.0336186941983829E-3</c:v>
                </c:pt>
                <c:pt idx="194">
                  <c:v>3.3998683921911965E-3</c:v>
                </c:pt>
                <c:pt idx="195">
                  <c:v>4.6149548827436604E-3</c:v>
                </c:pt>
                <c:pt idx="196">
                  <c:v>2.1397226822692517E-3</c:v>
                </c:pt>
                <c:pt idx="197">
                  <c:v>3.9446066250090617E-3</c:v>
                </c:pt>
                <c:pt idx="198">
                  <c:v>5.0105136677680573E-3</c:v>
                </c:pt>
                <c:pt idx="199">
                  <c:v>3.9932091532961511E-3</c:v>
                </c:pt>
                <c:pt idx="200">
                  <c:v>5.4182147280175119E-3</c:v>
                </c:pt>
                <c:pt idx="201">
                  <c:v>2.925465764944235E-3</c:v>
                </c:pt>
                <c:pt idx="202">
                  <c:v>4.0034011195351216E-3</c:v>
                </c:pt>
                <c:pt idx="203">
                  <c:v>2.2936589152757758E-3</c:v>
                </c:pt>
                <c:pt idx="204">
                  <c:v>3.8492231141153965E-3</c:v>
                </c:pt>
                <c:pt idx="205">
                  <c:v>5.9971942950667323E-3</c:v>
                </c:pt>
                <c:pt idx="206">
                  <c:v>5.1596109374454358E-3</c:v>
                </c:pt>
                <c:pt idx="207">
                  <c:v>6.6823126813646549E-3</c:v>
                </c:pt>
                <c:pt idx="208">
                  <c:v>6.4542061441286158E-3</c:v>
                </c:pt>
                <c:pt idx="209">
                  <c:v>5.7852277006287256E-3</c:v>
                </c:pt>
                <c:pt idx="210">
                  <c:v>5.5704302051189369E-3</c:v>
                </c:pt>
                <c:pt idx="211">
                  <c:v>5.1446945337620953E-3</c:v>
                </c:pt>
                <c:pt idx="212">
                  <c:v>8.0030530581092219E-3</c:v>
                </c:pt>
                <c:pt idx="213">
                  <c:v>8.6633112110818811E-3</c:v>
                </c:pt>
                <c:pt idx="214">
                  <c:v>9.8363913360270949E-3</c:v>
                </c:pt>
                <c:pt idx="215">
                  <c:v>1.0221595443464127E-2</c:v>
                </c:pt>
                <c:pt idx="216">
                  <c:v>6.1358323954636695E-3</c:v>
                </c:pt>
                <c:pt idx="217">
                  <c:v>5.8510352245226827E-3</c:v>
                </c:pt>
                <c:pt idx="218">
                  <c:v>9.7520289994545983E-3</c:v>
                </c:pt>
                <c:pt idx="219">
                  <c:v>1.089684531562729E-2</c:v>
                </c:pt>
                <c:pt idx="220">
                  <c:v>8.4119002723654912E-3</c:v>
                </c:pt>
                <c:pt idx="221">
                  <c:v>1.2341190280793279E-2</c:v>
                </c:pt>
                <c:pt idx="222">
                  <c:v>1.0805430421442663E-2</c:v>
                </c:pt>
                <c:pt idx="223">
                  <c:v>9.4818484528547131E-3</c:v>
                </c:pt>
                <c:pt idx="224">
                  <c:v>6.5870190470442846E-3</c:v>
                </c:pt>
                <c:pt idx="225">
                  <c:v>1.0040662184168658E-2</c:v>
                </c:pt>
                <c:pt idx="226">
                  <c:v>1.3976537616965823E-2</c:v>
                </c:pt>
                <c:pt idx="227">
                  <c:v>1.4720371472329852E-2</c:v>
                </c:pt>
                <c:pt idx="228">
                  <c:v>1.626610267256301E-2</c:v>
                </c:pt>
                <c:pt idx="229">
                  <c:v>1.7897684274254644E-2</c:v>
                </c:pt>
                <c:pt idx="230">
                  <c:v>1.3726255529534326E-2</c:v>
                </c:pt>
                <c:pt idx="231">
                  <c:v>1.0872654266095738E-2</c:v>
                </c:pt>
                <c:pt idx="232">
                  <c:v>1.2732730554018801E-2</c:v>
                </c:pt>
                <c:pt idx="233">
                  <c:v>1.9629089020426038E-2</c:v>
                </c:pt>
                <c:pt idx="234">
                  <c:v>2.2772981565565731E-2</c:v>
                </c:pt>
                <c:pt idx="235">
                  <c:v>1.9827230885484548E-2</c:v>
                </c:pt>
                <c:pt idx="236">
                  <c:v>1.597271923546506E-2</c:v>
                </c:pt>
                <c:pt idx="237">
                  <c:v>2.0188626079461702E-2</c:v>
                </c:pt>
                <c:pt idx="238">
                  <c:v>1.7018960503013769E-2</c:v>
                </c:pt>
                <c:pt idx="239">
                  <c:v>1.4984863370955281E-2</c:v>
                </c:pt>
                <c:pt idx="240">
                  <c:v>2.1295516609086462E-2</c:v>
                </c:pt>
                <c:pt idx="241">
                  <c:v>2.3024465420920848E-2</c:v>
                </c:pt>
                <c:pt idx="242">
                  <c:v>1.532053358239871E-2</c:v>
                </c:pt>
                <c:pt idx="243">
                  <c:v>1.6988508646334832E-2</c:v>
                </c:pt>
                <c:pt idx="244">
                  <c:v>1.7835389205395069E-2</c:v>
                </c:pt>
                <c:pt idx="245">
                  <c:v>1.4899807929363851E-2</c:v>
                </c:pt>
                <c:pt idx="246">
                  <c:v>1.0514719901702607E-2</c:v>
                </c:pt>
                <c:pt idx="247">
                  <c:v>1.9958071278826095E-2</c:v>
                </c:pt>
                <c:pt idx="248">
                  <c:v>1.6073337170106061E-2</c:v>
                </c:pt>
                <c:pt idx="249">
                  <c:v>1.4578360372752952E-2</c:v>
                </c:pt>
                <c:pt idx="250">
                  <c:v>1.2993141216503634E-2</c:v>
                </c:pt>
                <c:pt idx="251">
                  <c:v>1.1205952013856546E-2</c:v>
                </c:pt>
                <c:pt idx="252">
                  <c:v>1.0121523159472456E-2</c:v>
                </c:pt>
                <c:pt idx="253">
                  <c:v>1.2987596909183274E-2</c:v>
                </c:pt>
                <c:pt idx="254">
                  <c:v>1.6574830859367617E-2</c:v>
                </c:pt>
                <c:pt idx="255">
                  <c:v>9.3186878988043009E-3</c:v>
                </c:pt>
                <c:pt idx="256">
                  <c:v>7.6011791097350123E-3</c:v>
                </c:pt>
                <c:pt idx="257">
                  <c:v>7.4150398351395808E-3</c:v>
                </c:pt>
                <c:pt idx="258">
                  <c:v>6.0758815507500064E-3</c:v>
                </c:pt>
                <c:pt idx="259">
                  <c:v>1.1975504375083101E-2</c:v>
                </c:pt>
                <c:pt idx="260">
                  <c:v>8.8379685827557619E-3</c:v>
                </c:pt>
                <c:pt idx="261">
                  <c:v>1.3271215273455761E-2</c:v>
                </c:pt>
                <c:pt idx="262">
                  <c:v>1.0383152968704401E-2</c:v>
                </c:pt>
                <c:pt idx="263">
                  <c:v>1.1150673035171588E-2</c:v>
                </c:pt>
                <c:pt idx="264">
                  <c:v>9.5161207207516973E-3</c:v>
                </c:pt>
                <c:pt idx="265">
                  <c:v>1.0702557383743594E-2</c:v>
                </c:pt>
                <c:pt idx="266">
                  <c:v>6.7171717171716772E-3</c:v>
                </c:pt>
                <c:pt idx="267">
                  <c:v>7.3914279503002334E-3</c:v>
                </c:pt>
                <c:pt idx="268">
                  <c:v>1.1808126248457507E-2</c:v>
                </c:pt>
                <c:pt idx="269">
                  <c:v>1.0325008066412567E-2</c:v>
                </c:pt>
                <c:pt idx="270">
                  <c:v>9.3426073777369556E-3</c:v>
                </c:pt>
                <c:pt idx="271">
                  <c:v>7.9529792836419144E-3</c:v>
                </c:pt>
                <c:pt idx="272">
                  <c:v>9.2256615980506051E-3</c:v>
                </c:pt>
                <c:pt idx="273">
                  <c:v>6.3261777234195904E-3</c:v>
                </c:pt>
                <c:pt idx="274">
                  <c:v>6.4592850257743084E-3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44-4584-98BF-3841172BB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2702384"/>
        <c:axId val="1432236560"/>
      </c:scatterChart>
      <c:valAx>
        <c:axId val="143270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36560"/>
        <c:crosses val="autoZero"/>
        <c:crossBetween val="midCat"/>
      </c:valAx>
      <c:valAx>
        <c:axId val="14322365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70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Chicago!$H$1</c:f>
              <c:strCache>
                <c:ptCount val="1"/>
                <c:pt idx="0">
                  <c:v>new deaths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275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</c:numCache>
            </c:numRef>
          </c:xVal>
          <c:yVal>
            <c:numRef>
              <c:f>[0]!chicago_new_deaths</c:f>
              <c:numCache>
                <c:formatCode>General</c:formatCode>
                <c:ptCount val="275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0.47213595499957961</c:v>
                </c:pt>
                <c:pt idx="7">
                  <c:v>0.52786404500042039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3</c:v>
                </c:pt>
                <c:pt idx="12">
                  <c:v>4</c:v>
                </c:pt>
                <c:pt idx="13">
                  <c:v>0</c:v>
                </c:pt>
                <c:pt idx="14">
                  <c:v>6</c:v>
                </c:pt>
                <c:pt idx="15">
                  <c:v>17</c:v>
                </c:pt>
                <c:pt idx="16">
                  <c:v>2</c:v>
                </c:pt>
                <c:pt idx="17">
                  <c:v>16</c:v>
                </c:pt>
                <c:pt idx="18">
                  <c:v>19</c:v>
                </c:pt>
                <c:pt idx="19">
                  <c:v>14</c:v>
                </c:pt>
                <c:pt idx="20">
                  <c:v>18</c:v>
                </c:pt>
                <c:pt idx="21">
                  <c:v>27</c:v>
                </c:pt>
                <c:pt idx="22">
                  <c:v>42</c:v>
                </c:pt>
                <c:pt idx="23">
                  <c:v>21</c:v>
                </c:pt>
                <c:pt idx="24">
                  <c:v>20</c:v>
                </c:pt>
                <c:pt idx="25">
                  <c:v>31</c:v>
                </c:pt>
                <c:pt idx="26">
                  <c:v>18</c:v>
                </c:pt>
                <c:pt idx="27">
                  <c:v>41</c:v>
                </c:pt>
                <c:pt idx="28">
                  <c:v>20</c:v>
                </c:pt>
                <c:pt idx="29">
                  <c:v>33</c:v>
                </c:pt>
                <c:pt idx="30">
                  <c:v>53</c:v>
                </c:pt>
                <c:pt idx="31">
                  <c:v>13</c:v>
                </c:pt>
                <c:pt idx="32">
                  <c:v>64</c:v>
                </c:pt>
                <c:pt idx="33">
                  <c:v>1</c:v>
                </c:pt>
                <c:pt idx="34">
                  <c:v>22</c:v>
                </c:pt>
                <c:pt idx="35">
                  <c:v>55</c:v>
                </c:pt>
                <c:pt idx="36">
                  <c:v>35</c:v>
                </c:pt>
                <c:pt idx="37">
                  <c:v>37</c:v>
                </c:pt>
                <c:pt idx="38">
                  <c:v>37</c:v>
                </c:pt>
                <c:pt idx="39">
                  <c:v>30</c:v>
                </c:pt>
                <c:pt idx="40">
                  <c:v>32</c:v>
                </c:pt>
                <c:pt idx="41">
                  <c:v>32</c:v>
                </c:pt>
                <c:pt idx="42">
                  <c:v>31</c:v>
                </c:pt>
                <c:pt idx="43">
                  <c:v>48</c:v>
                </c:pt>
                <c:pt idx="44">
                  <c:v>43</c:v>
                </c:pt>
                <c:pt idx="45">
                  <c:v>51</c:v>
                </c:pt>
                <c:pt idx="46">
                  <c:v>33</c:v>
                </c:pt>
                <c:pt idx="47">
                  <c:v>31</c:v>
                </c:pt>
                <c:pt idx="48">
                  <c:v>12</c:v>
                </c:pt>
                <c:pt idx="49">
                  <c:v>47</c:v>
                </c:pt>
                <c:pt idx="50">
                  <c:v>44</c:v>
                </c:pt>
                <c:pt idx="51">
                  <c:v>72</c:v>
                </c:pt>
                <c:pt idx="52">
                  <c:v>64</c:v>
                </c:pt>
                <c:pt idx="53">
                  <c:v>41</c:v>
                </c:pt>
                <c:pt idx="54">
                  <c:v>48</c:v>
                </c:pt>
                <c:pt idx="55">
                  <c:v>39</c:v>
                </c:pt>
                <c:pt idx="56">
                  <c:v>65</c:v>
                </c:pt>
                <c:pt idx="57">
                  <c:v>52</c:v>
                </c:pt>
                <c:pt idx="58">
                  <c:v>59</c:v>
                </c:pt>
                <c:pt idx="59">
                  <c:v>54</c:v>
                </c:pt>
                <c:pt idx="60">
                  <c:v>14</c:v>
                </c:pt>
                <c:pt idx="61">
                  <c:v>16</c:v>
                </c:pt>
                <c:pt idx="62">
                  <c:v>45</c:v>
                </c:pt>
                <c:pt idx="63">
                  <c:v>48</c:v>
                </c:pt>
                <c:pt idx="64">
                  <c:v>58</c:v>
                </c:pt>
                <c:pt idx="65">
                  <c:v>27</c:v>
                </c:pt>
                <c:pt idx="66">
                  <c:v>36</c:v>
                </c:pt>
                <c:pt idx="67">
                  <c:v>44</c:v>
                </c:pt>
                <c:pt idx="68">
                  <c:v>46</c:v>
                </c:pt>
                <c:pt idx="69">
                  <c:v>15</c:v>
                </c:pt>
                <c:pt idx="70">
                  <c:v>25</c:v>
                </c:pt>
                <c:pt idx="71">
                  <c:v>41</c:v>
                </c:pt>
                <c:pt idx="72">
                  <c:v>28</c:v>
                </c:pt>
                <c:pt idx="73">
                  <c:v>26</c:v>
                </c:pt>
                <c:pt idx="74">
                  <c:v>23</c:v>
                </c:pt>
                <c:pt idx="75">
                  <c:v>24</c:v>
                </c:pt>
                <c:pt idx="76">
                  <c:v>10</c:v>
                </c:pt>
                <c:pt idx="77">
                  <c:v>13</c:v>
                </c:pt>
                <c:pt idx="78">
                  <c:v>38</c:v>
                </c:pt>
                <c:pt idx="79">
                  <c:v>35</c:v>
                </c:pt>
                <c:pt idx="80">
                  <c:v>22</c:v>
                </c:pt>
                <c:pt idx="81">
                  <c:v>11</c:v>
                </c:pt>
                <c:pt idx="82">
                  <c:v>20</c:v>
                </c:pt>
                <c:pt idx="83">
                  <c:v>12</c:v>
                </c:pt>
                <c:pt idx="84">
                  <c:v>22</c:v>
                </c:pt>
                <c:pt idx="85">
                  <c:v>9</c:v>
                </c:pt>
                <c:pt idx="86">
                  <c:v>38</c:v>
                </c:pt>
                <c:pt idx="87">
                  <c:v>17</c:v>
                </c:pt>
                <c:pt idx="88">
                  <c:v>3</c:v>
                </c:pt>
                <c:pt idx="89">
                  <c:v>12</c:v>
                </c:pt>
                <c:pt idx="90">
                  <c:v>15</c:v>
                </c:pt>
                <c:pt idx="91">
                  <c:v>28</c:v>
                </c:pt>
                <c:pt idx="92">
                  <c:v>15</c:v>
                </c:pt>
                <c:pt idx="93">
                  <c:v>17</c:v>
                </c:pt>
                <c:pt idx="94">
                  <c:v>22</c:v>
                </c:pt>
                <c:pt idx="95">
                  <c:v>10</c:v>
                </c:pt>
                <c:pt idx="96">
                  <c:v>14</c:v>
                </c:pt>
                <c:pt idx="97">
                  <c:v>18</c:v>
                </c:pt>
                <c:pt idx="98">
                  <c:v>3</c:v>
                </c:pt>
                <c:pt idx="99">
                  <c:v>14</c:v>
                </c:pt>
                <c:pt idx="100">
                  <c:v>18</c:v>
                </c:pt>
                <c:pt idx="101">
                  <c:v>17</c:v>
                </c:pt>
                <c:pt idx="102">
                  <c:v>5</c:v>
                </c:pt>
                <c:pt idx="103">
                  <c:v>2</c:v>
                </c:pt>
                <c:pt idx="104">
                  <c:v>11</c:v>
                </c:pt>
                <c:pt idx="105">
                  <c:v>5</c:v>
                </c:pt>
                <c:pt idx="106">
                  <c:v>13</c:v>
                </c:pt>
                <c:pt idx="107">
                  <c:v>12</c:v>
                </c:pt>
                <c:pt idx="108">
                  <c:v>5</c:v>
                </c:pt>
                <c:pt idx="109">
                  <c:v>3</c:v>
                </c:pt>
                <c:pt idx="110">
                  <c:v>3</c:v>
                </c:pt>
                <c:pt idx="111">
                  <c:v>2</c:v>
                </c:pt>
                <c:pt idx="112">
                  <c:v>9</c:v>
                </c:pt>
                <c:pt idx="113">
                  <c:v>5</c:v>
                </c:pt>
                <c:pt idx="114">
                  <c:v>7</c:v>
                </c:pt>
                <c:pt idx="115">
                  <c:v>9</c:v>
                </c:pt>
                <c:pt idx="116">
                  <c:v>10</c:v>
                </c:pt>
                <c:pt idx="117">
                  <c:v>7</c:v>
                </c:pt>
                <c:pt idx="118">
                  <c:v>5</c:v>
                </c:pt>
                <c:pt idx="119">
                  <c:v>9</c:v>
                </c:pt>
                <c:pt idx="120">
                  <c:v>5</c:v>
                </c:pt>
                <c:pt idx="121">
                  <c:v>5</c:v>
                </c:pt>
                <c:pt idx="122">
                  <c:v>9</c:v>
                </c:pt>
                <c:pt idx="123">
                  <c:v>8</c:v>
                </c:pt>
                <c:pt idx="124">
                  <c:v>4</c:v>
                </c:pt>
                <c:pt idx="125">
                  <c:v>0</c:v>
                </c:pt>
                <c:pt idx="126">
                  <c:v>4</c:v>
                </c:pt>
                <c:pt idx="127">
                  <c:v>4</c:v>
                </c:pt>
                <c:pt idx="128">
                  <c:v>7</c:v>
                </c:pt>
                <c:pt idx="129">
                  <c:v>4</c:v>
                </c:pt>
                <c:pt idx="130">
                  <c:v>1</c:v>
                </c:pt>
                <c:pt idx="131">
                  <c:v>-1</c:v>
                </c:pt>
                <c:pt idx="132">
                  <c:v>9</c:v>
                </c:pt>
                <c:pt idx="133">
                  <c:v>9</c:v>
                </c:pt>
                <c:pt idx="134">
                  <c:v>5</c:v>
                </c:pt>
                <c:pt idx="135">
                  <c:v>5</c:v>
                </c:pt>
                <c:pt idx="136">
                  <c:v>8</c:v>
                </c:pt>
                <c:pt idx="137">
                  <c:v>3</c:v>
                </c:pt>
                <c:pt idx="138">
                  <c:v>1</c:v>
                </c:pt>
                <c:pt idx="139">
                  <c:v>2</c:v>
                </c:pt>
                <c:pt idx="140">
                  <c:v>4</c:v>
                </c:pt>
                <c:pt idx="141">
                  <c:v>5</c:v>
                </c:pt>
                <c:pt idx="142">
                  <c:v>2</c:v>
                </c:pt>
                <c:pt idx="143">
                  <c:v>7</c:v>
                </c:pt>
                <c:pt idx="144">
                  <c:v>1</c:v>
                </c:pt>
                <c:pt idx="145">
                  <c:v>1</c:v>
                </c:pt>
                <c:pt idx="146">
                  <c:v>0</c:v>
                </c:pt>
                <c:pt idx="147">
                  <c:v>3</c:v>
                </c:pt>
                <c:pt idx="148">
                  <c:v>0</c:v>
                </c:pt>
                <c:pt idx="149">
                  <c:v>5</c:v>
                </c:pt>
                <c:pt idx="150">
                  <c:v>5</c:v>
                </c:pt>
                <c:pt idx="151">
                  <c:v>1</c:v>
                </c:pt>
                <c:pt idx="152">
                  <c:v>5</c:v>
                </c:pt>
                <c:pt idx="153">
                  <c:v>2</c:v>
                </c:pt>
                <c:pt idx="154">
                  <c:v>1</c:v>
                </c:pt>
                <c:pt idx="155">
                  <c:v>5</c:v>
                </c:pt>
                <c:pt idx="156">
                  <c:v>1</c:v>
                </c:pt>
                <c:pt idx="157">
                  <c:v>7</c:v>
                </c:pt>
                <c:pt idx="158">
                  <c:v>6</c:v>
                </c:pt>
                <c:pt idx="159">
                  <c:v>4</c:v>
                </c:pt>
                <c:pt idx="160">
                  <c:v>1</c:v>
                </c:pt>
                <c:pt idx="161">
                  <c:v>2</c:v>
                </c:pt>
                <c:pt idx="162">
                  <c:v>4</c:v>
                </c:pt>
                <c:pt idx="163">
                  <c:v>2</c:v>
                </c:pt>
                <c:pt idx="164">
                  <c:v>5</c:v>
                </c:pt>
                <c:pt idx="165">
                  <c:v>1</c:v>
                </c:pt>
                <c:pt idx="166">
                  <c:v>6</c:v>
                </c:pt>
                <c:pt idx="167">
                  <c:v>2</c:v>
                </c:pt>
                <c:pt idx="168">
                  <c:v>2</c:v>
                </c:pt>
                <c:pt idx="169">
                  <c:v>4</c:v>
                </c:pt>
                <c:pt idx="170">
                  <c:v>4</c:v>
                </c:pt>
                <c:pt idx="171">
                  <c:v>3</c:v>
                </c:pt>
                <c:pt idx="172">
                  <c:v>3</c:v>
                </c:pt>
                <c:pt idx="173">
                  <c:v>1</c:v>
                </c:pt>
                <c:pt idx="174">
                  <c:v>2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4</c:v>
                </c:pt>
                <c:pt idx="179">
                  <c:v>10</c:v>
                </c:pt>
                <c:pt idx="180">
                  <c:v>3</c:v>
                </c:pt>
                <c:pt idx="181">
                  <c:v>0</c:v>
                </c:pt>
                <c:pt idx="182">
                  <c:v>3</c:v>
                </c:pt>
                <c:pt idx="183">
                  <c:v>4</c:v>
                </c:pt>
                <c:pt idx="184">
                  <c:v>0</c:v>
                </c:pt>
                <c:pt idx="185">
                  <c:v>2</c:v>
                </c:pt>
                <c:pt idx="186">
                  <c:v>5</c:v>
                </c:pt>
                <c:pt idx="187">
                  <c:v>2</c:v>
                </c:pt>
                <c:pt idx="188">
                  <c:v>1</c:v>
                </c:pt>
                <c:pt idx="189">
                  <c:v>2</c:v>
                </c:pt>
                <c:pt idx="190">
                  <c:v>4</c:v>
                </c:pt>
                <c:pt idx="191">
                  <c:v>5</c:v>
                </c:pt>
                <c:pt idx="192">
                  <c:v>0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3</c:v>
                </c:pt>
                <c:pt idx="197">
                  <c:v>1</c:v>
                </c:pt>
                <c:pt idx="198">
                  <c:v>2</c:v>
                </c:pt>
                <c:pt idx="199">
                  <c:v>2</c:v>
                </c:pt>
                <c:pt idx="200">
                  <c:v>4</c:v>
                </c:pt>
                <c:pt idx="201">
                  <c:v>8</c:v>
                </c:pt>
                <c:pt idx="202">
                  <c:v>0</c:v>
                </c:pt>
                <c:pt idx="203">
                  <c:v>3</c:v>
                </c:pt>
                <c:pt idx="204">
                  <c:v>4</c:v>
                </c:pt>
                <c:pt idx="205">
                  <c:v>0</c:v>
                </c:pt>
                <c:pt idx="206">
                  <c:v>4</c:v>
                </c:pt>
                <c:pt idx="207">
                  <c:v>3</c:v>
                </c:pt>
                <c:pt idx="208">
                  <c:v>0</c:v>
                </c:pt>
                <c:pt idx="209">
                  <c:v>1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3</c:v>
                </c:pt>
                <c:pt idx="216">
                  <c:v>1</c:v>
                </c:pt>
                <c:pt idx="217">
                  <c:v>2</c:v>
                </c:pt>
                <c:pt idx="218">
                  <c:v>6</c:v>
                </c:pt>
                <c:pt idx="219">
                  <c:v>4</c:v>
                </c:pt>
                <c:pt idx="220">
                  <c:v>0</c:v>
                </c:pt>
                <c:pt idx="221">
                  <c:v>6</c:v>
                </c:pt>
                <c:pt idx="222">
                  <c:v>6</c:v>
                </c:pt>
                <c:pt idx="223">
                  <c:v>8</c:v>
                </c:pt>
                <c:pt idx="224">
                  <c:v>3</c:v>
                </c:pt>
                <c:pt idx="225">
                  <c:v>6</c:v>
                </c:pt>
                <c:pt idx="226">
                  <c:v>8</c:v>
                </c:pt>
                <c:pt idx="227">
                  <c:v>2</c:v>
                </c:pt>
                <c:pt idx="228">
                  <c:v>6</c:v>
                </c:pt>
                <c:pt idx="229">
                  <c:v>4</c:v>
                </c:pt>
                <c:pt idx="230">
                  <c:v>4</c:v>
                </c:pt>
                <c:pt idx="231">
                  <c:v>2</c:v>
                </c:pt>
                <c:pt idx="232">
                  <c:v>17</c:v>
                </c:pt>
                <c:pt idx="233">
                  <c:v>10</c:v>
                </c:pt>
                <c:pt idx="234">
                  <c:v>10</c:v>
                </c:pt>
                <c:pt idx="235">
                  <c:v>9</c:v>
                </c:pt>
                <c:pt idx="236">
                  <c:v>7</c:v>
                </c:pt>
                <c:pt idx="237">
                  <c:v>1</c:v>
                </c:pt>
                <c:pt idx="238">
                  <c:v>15</c:v>
                </c:pt>
                <c:pt idx="239">
                  <c:v>16</c:v>
                </c:pt>
                <c:pt idx="240">
                  <c:v>7</c:v>
                </c:pt>
                <c:pt idx="241">
                  <c:v>2</c:v>
                </c:pt>
                <c:pt idx="242">
                  <c:v>22</c:v>
                </c:pt>
                <c:pt idx="243">
                  <c:v>13</c:v>
                </c:pt>
                <c:pt idx="244">
                  <c:v>3</c:v>
                </c:pt>
                <c:pt idx="245">
                  <c:v>12</c:v>
                </c:pt>
                <c:pt idx="246">
                  <c:v>44</c:v>
                </c:pt>
                <c:pt idx="247">
                  <c:v>15</c:v>
                </c:pt>
                <c:pt idx="248">
                  <c:v>12</c:v>
                </c:pt>
                <c:pt idx="249">
                  <c:v>17</c:v>
                </c:pt>
                <c:pt idx="250">
                  <c:v>19</c:v>
                </c:pt>
                <c:pt idx="251">
                  <c:v>19</c:v>
                </c:pt>
                <c:pt idx="252">
                  <c:v>23</c:v>
                </c:pt>
                <c:pt idx="253">
                  <c:v>17</c:v>
                </c:pt>
                <c:pt idx="254">
                  <c:v>3</c:v>
                </c:pt>
                <c:pt idx="255">
                  <c:v>16</c:v>
                </c:pt>
                <c:pt idx="256">
                  <c:v>30</c:v>
                </c:pt>
                <c:pt idx="257">
                  <c:v>11</c:v>
                </c:pt>
                <c:pt idx="258">
                  <c:v>24</c:v>
                </c:pt>
                <c:pt idx="259">
                  <c:v>14</c:v>
                </c:pt>
                <c:pt idx="260">
                  <c:v>37</c:v>
                </c:pt>
                <c:pt idx="261">
                  <c:v>12</c:v>
                </c:pt>
                <c:pt idx="262">
                  <c:v>18</c:v>
                </c:pt>
                <c:pt idx="263">
                  <c:v>30</c:v>
                </c:pt>
                <c:pt idx="264">
                  <c:v>13</c:v>
                </c:pt>
                <c:pt idx="265">
                  <c:v>25</c:v>
                </c:pt>
                <c:pt idx="266">
                  <c:v>18</c:v>
                </c:pt>
                <c:pt idx="267">
                  <c:v>17</c:v>
                </c:pt>
                <c:pt idx="268">
                  <c:v>36</c:v>
                </c:pt>
                <c:pt idx="269">
                  <c:v>52</c:v>
                </c:pt>
                <c:pt idx="270">
                  <c:v>2</c:v>
                </c:pt>
                <c:pt idx="271">
                  <c:v>10</c:v>
                </c:pt>
                <c:pt idx="272">
                  <c:v>43</c:v>
                </c:pt>
                <c:pt idx="273">
                  <c:v>3</c:v>
                </c:pt>
                <c:pt idx="274">
                  <c:v>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9-4864-9580-72DF3575B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305520"/>
        <c:axId val="459332640"/>
      </c:scatterChart>
      <c:valAx>
        <c:axId val="45630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332640"/>
        <c:crosses val="autoZero"/>
        <c:crossBetween val="midCat"/>
      </c:valAx>
      <c:valAx>
        <c:axId val="45933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30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275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</c:numCache>
            </c:numRef>
          </c:xVal>
          <c:yVal>
            <c:numRef>
              <c:f>[0]!chicago_new_cases</c:f>
              <c:numCache>
                <c:formatCode>General</c:formatCode>
                <c:ptCount val="275"/>
                <c:pt idx="3">
                  <c:v>61</c:v>
                </c:pt>
                <c:pt idx="4">
                  <c:v>133</c:v>
                </c:pt>
                <c:pt idx="5">
                  <c:v>176</c:v>
                </c:pt>
                <c:pt idx="6">
                  <c:v>117.47213595499954</c:v>
                </c:pt>
                <c:pt idx="7">
                  <c:v>146.52786404500046</c:v>
                </c:pt>
                <c:pt idx="8">
                  <c:v>133</c:v>
                </c:pt>
                <c:pt idx="9">
                  <c:v>250</c:v>
                </c:pt>
                <c:pt idx="10">
                  <c:v>203</c:v>
                </c:pt>
                <c:pt idx="11">
                  <c:v>249</c:v>
                </c:pt>
                <c:pt idx="12">
                  <c:v>420</c:v>
                </c:pt>
                <c:pt idx="13">
                  <c:v>172</c:v>
                </c:pt>
                <c:pt idx="14">
                  <c:v>501</c:v>
                </c:pt>
                <c:pt idx="15">
                  <c:v>411</c:v>
                </c:pt>
                <c:pt idx="16">
                  <c:v>194</c:v>
                </c:pt>
                <c:pt idx="17">
                  <c:v>552</c:v>
                </c:pt>
                <c:pt idx="18">
                  <c:v>500</c:v>
                </c:pt>
                <c:pt idx="19">
                  <c:v>332</c:v>
                </c:pt>
                <c:pt idx="20">
                  <c:v>471</c:v>
                </c:pt>
                <c:pt idx="21">
                  <c:v>466</c:v>
                </c:pt>
                <c:pt idx="22">
                  <c:v>628</c:v>
                </c:pt>
                <c:pt idx="23">
                  <c:v>577</c:v>
                </c:pt>
                <c:pt idx="24">
                  <c:v>602</c:v>
                </c:pt>
                <c:pt idx="25">
                  <c:v>585</c:v>
                </c:pt>
                <c:pt idx="26">
                  <c:v>737</c:v>
                </c:pt>
                <c:pt idx="27">
                  <c:v>622</c:v>
                </c:pt>
                <c:pt idx="28">
                  <c:v>552</c:v>
                </c:pt>
                <c:pt idx="29">
                  <c:v>609</c:v>
                </c:pt>
                <c:pt idx="30">
                  <c:v>503</c:v>
                </c:pt>
                <c:pt idx="31">
                  <c:v>780</c:v>
                </c:pt>
                <c:pt idx="32">
                  <c:v>662</c:v>
                </c:pt>
                <c:pt idx="33">
                  <c:v>527</c:v>
                </c:pt>
                <c:pt idx="34">
                  <c:v>502</c:v>
                </c:pt>
                <c:pt idx="35">
                  <c:v>596</c:v>
                </c:pt>
                <c:pt idx="36">
                  <c:v>875</c:v>
                </c:pt>
                <c:pt idx="37">
                  <c:v>716</c:v>
                </c:pt>
                <c:pt idx="38">
                  <c:v>1076</c:v>
                </c:pt>
                <c:pt idx="39">
                  <c:v>1027</c:v>
                </c:pt>
                <c:pt idx="40">
                  <c:v>788</c:v>
                </c:pt>
                <c:pt idx="41">
                  <c:v>849</c:v>
                </c:pt>
                <c:pt idx="42">
                  <c:v>943</c:v>
                </c:pt>
                <c:pt idx="43">
                  <c:v>867</c:v>
                </c:pt>
                <c:pt idx="44">
                  <c:v>1121</c:v>
                </c:pt>
                <c:pt idx="45">
                  <c:v>1278</c:v>
                </c:pt>
                <c:pt idx="46">
                  <c:v>931</c:v>
                </c:pt>
                <c:pt idx="47">
                  <c:v>1279</c:v>
                </c:pt>
                <c:pt idx="48">
                  <c:v>953</c:v>
                </c:pt>
                <c:pt idx="49">
                  <c:v>848</c:v>
                </c:pt>
                <c:pt idx="50">
                  <c:v>878</c:v>
                </c:pt>
                <c:pt idx="51">
                  <c:v>1073</c:v>
                </c:pt>
                <c:pt idx="52">
                  <c:v>1158</c:v>
                </c:pt>
                <c:pt idx="53">
                  <c:v>899</c:v>
                </c:pt>
                <c:pt idx="54">
                  <c:v>605</c:v>
                </c:pt>
                <c:pt idx="55">
                  <c:v>416</c:v>
                </c:pt>
                <c:pt idx="56">
                  <c:v>1295</c:v>
                </c:pt>
                <c:pt idx="57">
                  <c:v>569</c:v>
                </c:pt>
                <c:pt idx="58">
                  <c:v>1326</c:v>
                </c:pt>
                <c:pt idx="59">
                  <c:v>896</c:v>
                </c:pt>
                <c:pt idx="60">
                  <c:v>837</c:v>
                </c:pt>
                <c:pt idx="61">
                  <c:v>631</c:v>
                </c:pt>
                <c:pt idx="62">
                  <c:v>858</c:v>
                </c:pt>
                <c:pt idx="63">
                  <c:v>533</c:v>
                </c:pt>
                <c:pt idx="64">
                  <c:v>978</c:v>
                </c:pt>
                <c:pt idx="65">
                  <c:v>943</c:v>
                </c:pt>
                <c:pt idx="66">
                  <c:v>746</c:v>
                </c:pt>
                <c:pt idx="67">
                  <c:v>981</c:v>
                </c:pt>
                <c:pt idx="68">
                  <c:v>1016</c:v>
                </c:pt>
                <c:pt idx="69">
                  <c:v>610</c:v>
                </c:pt>
                <c:pt idx="70">
                  <c:v>430</c:v>
                </c:pt>
                <c:pt idx="71">
                  <c:v>447</c:v>
                </c:pt>
                <c:pt idx="72">
                  <c:v>420</c:v>
                </c:pt>
                <c:pt idx="73">
                  <c:v>522</c:v>
                </c:pt>
                <c:pt idx="74">
                  <c:v>442</c:v>
                </c:pt>
                <c:pt idx="75">
                  <c:v>466</c:v>
                </c:pt>
                <c:pt idx="76">
                  <c:v>320</c:v>
                </c:pt>
                <c:pt idx="77">
                  <c:v>909</c:v>
                </c:pt>
                <c:pt idx="78">
                  <c:v>282</c:v>
                </c:pt>
                <c:pt idx="79">
                  <c:v>309</c:v>
                </c:pt>
                <c:pt idx="80">
                  <c:v>322</c:v>
                </c:pt>
                <c:pt idx="81">
                  <c:v>364</c:v>
                </c:pt>
                <c:pt idx="82">
                  <c:v>291</c:v>
                </c:pt>
                <c:pt idx="83">
                  <c:v>200</c:v>
                </c:pt>
                <c:pt idx="84">
                  <c:v>262</c:v>
                </c:pt>
                <c:pt idx="85">
                  <c:v>148</c:v>
                </c:pt>
                <c:pt idx="86">
                  <c:v>235</c:v>
                </c:pt>
                <c:pt idx="87">
                  <c:v>179</c:v>
                </c:pt>
                <c:pt idx="88">
                  <c:v>187</c:v>
                </c:pt>
                <c:pt idx="89">
                  <c:v>176</c:v>
                </c:pt>
                <c:pt idx="90">
                  <c:v>169</c:v>
                </c:pt>
                <c:pt idx="91">
                  <c:v>201</c:v>
                </c:pt>
                <c:pt idx="92">
                  <c:v>168</c:v>
                </c:pt>
                <c:pt idx="93">
                  <c:v>172</c:v>
                </c:pt>
                <c:pt idx="94">
                  <c:v>215</c:v>
                </c:pt>
                <c:pt idx="95">
                  <c:v>158</c:v>
                </c:pt>
                <c:pt idx="96">
                  <c:v>130</c:v>
                </c:pt>
                <c:pt idx="97">
                  <c:v>112</c:v>
                </c:pt>
                <c:pt idx="98">
                  <c:v>201</c:v>
                </c:pt>
                <c:pt idx="99">
                  <c:v>177</c:v>
                </c:pt>
                <c:pt idx="100">
                  <c:v>289</c:v>
                </c:pt>
                <c:pt idx="101">
                  <c:v>261</c:v>
                </c:pt>
                <c:pt idx="102">
                  <c:v>222</c:v>
                </c:pt>
                <c:pt idx="103">
                  <c:v>224</c:v>
                </c:pt>
                <c:pt idx="104">
                  <c:v>211</c:v>
                </c:pt>
                <c:pt idx="105">
                  <c:v>209</c:v>
                </c:pt>
                <c:pt idx="106">
                  <c:v>219</c:v>
                </c:pt>
                <c:pt idx="107">
                  <c:v>285</c:v>
                </c:pt>
                <c:pt idx="108">
                  <c:v>261</c:v>
                </c:pt>
                <c:pt idx="109">
                  <c:v>289</c:v>
                </c:pt>
                <c:pt idx="110">
                  <c:v>159</c:v>
                </c:pt>
                <c:pt idx="111">
                  <c:v>141</c:v>
                </c:pt>
                <c:pt idx="112">
                  <c:v>159</c:v>
                </c:pt>
                <c:pt idx="113">
                  <c:v>229</c:v>
                </c:pt>
                <c:pt idx="114">
                  <c:v>307</c:v>
                </c:pt>
                <c:pt idx="115">
                  <c:v>341</c:v>
                </c:pt>
                <c:pt idx="116">
                  <c:v>302</c:v>
                </c:pt>
                <c:pt idx="117">
                  <c:v>265</c:v>
                </c:pt>
                <c:pt idx="118">
                  <c:v>178</c:v>
                </c:pt>
                <c:pt idx="119">
                  <c:v>193</c:v>
                </c:pt>
                <c:pt idx="120">
                  <c:v>279</c:v>
                </c:pt>
                <c:pt idx="121">
                  <c:v>338</c:v>
                </c:pt>
                <c:pt idx="122">
                  <c:v>355</c:v>
                </c:pt>
                <c:pt idx="123">
                  <c:v>252</c:v>
                </c:pt>
                <c:pt idx="124">
                  <c:v>187</c:v>
                </c:pt>
                <c:pt idx="125">
                  <c:v>187</c:v>
                </c:pt>
                <c:pt idx="126">
                  <c:v>196</c:v>
                </c:pt>
                <c:pt idx="127">
                  <c:v>356</c:v>
                </c:pt>
                <c:pt idx="128">
                  <c:v>393</c:v>
                </c:pt>
                <c:pt idx="129">
                  <c:v>369</c:v>
                </c:pt>
                <c:pt idx="130">
                  <c:v>336</c:v>
                </c:pt>
                <c:pt idx="131">
                  <c:v>354</c:v>
                </c:pt>
                <c:pt idx="132">
                  <c:v>277</c:v>
                </c:pt>
                <c:pt idx="133">
                  <c:v>297</c:v>
                </c:pt>
                <c:pt idx="134">
                  <c:v>316</c:v>
                </c:pt>
                <c:pt idx="135">
                  <c:v>375</c:v>
                </c:pt>
                <c:pt idx="136">
                  <c:v>463</c:v>
                </c:pt>
                <c:pt idx="137">
                  <c:v>381</c:v>
                </c:pt>
                <c:pt idx="138">
                  <c:v>397</c:v>
                </c:pt>
                <c:pt idx="139">
                  <c:v>343</c:v>
                </c:pt>
                <c:pt idx="140">
                  <c:v>207</c:v>
                </c:pt>
                <c:pt idx="141">
                  <c:v>317</c:v>
                </c:pt>
                <c:pt idx="142">
                  <c:v>352</c:v>
                </c:pt>
                <c:pt idx="143">
                  <c:v>324</c:v>
                </c:pt>
                <c:pt idx="144">
                  <c:v>454</c:v>
                </c:pt>
                <c:pt idx="145">
                  <c:v>300</c:v>
                </c:pt>
                <c:pt idx="146">
                  <c:v>253</c:v>
                </c:pt>
                <c:pt idx="147">
                  <c:v>230</c:v>
                </c:pt>
                <c:pt idx="148">
                  <c:v>255</c:v>
                </c:pt>
                <c:pt idx="149">
                  <c:v>388</c:v>
                </c:pt>
                <c:pt idx="150">
                  <c:v>495</c:v>
                </c:pt>
                <c:pt idx="151">
                  <c:v>318</c:v>
                </c:pt>
                <c:pt idx="152">
                  <c:v>342</c:v>
                </c:pt>
                <c:pt idx="153">
                  <c:v>295</c:v>
                </c:pt>
                <c:pt idx="154">
                  <c:v>243</c:v>
                </c:pt>
                <c:pt idx="155">
                  <c:v>442</c:v>
                </c:pt>
                <c:pt idx="156">
                  <c:v>359</c:v>
                </c:pt>
                <c:pt idx="157">
                  <c:v>454</c:v>
                </c:pt>
                <c:pt idx="158">
                  <c:v>459</c:v>
                </c:pt>
                <c:pt idx="159">
                  <c:v>358</c:v>
                </c:pt>
                <c:pt idx="160">
                  <c:v>301</c:v>
                </c:pt>
                <c:pt idx="161">
                  <c:v>246</c:v>
                </c:pt>
                <c:pt idx="162">
                  <c:v>332</c:v>
                </c:pt>
                <c:pt idx="163">
                  <c:v>223</c:v>
                </c:pt>
                <c:pt idx="164">
                  <c:v>521</c:v>
                </c:pt>
                <c:pt idx="165">
                  <c:v>219</c:v>
                </c:pt>
                <c:pt idx="166">
                  <c:v>441</c:v>
                </c:pt>
                <c:pt idx="167">
                  <c:v>303</c:v>
                </c:pt>
                <c:pt idx="168">
                  <c:v>158</c:v>
                </c:pt>
                <c:pt idx="169">
                  <c:v>288</c:v>
                </c:pt>
                <c:pt idx="170">
                  <c:v>174</c:v>
                </c:pt>
                <c:pt idx="171">
                  <c:v>721</c:v>
                </c:pt>
                <c:pt idx="172">
                  <c:v>526</c:v>
                </c:pt>
                <c:pt idx="173">
                  <c:v>211</c:v>
                </c:pt>
                <c:pt idx="174">
                  <c:v>290</c:v>
                </c:pt>
                <c:pt idx="175">
                  <c:v>195</c:v>
                </c:pt>
                <c:pt idx="176">
                  <c:v>129</c:v>
                </c:pt>
                <c:pt idx="177">
                  <c:v>235</c:v>
                </c:pt>
                <c:pt idx="178">
                  <c:v>380</c:v>
                </c:pt>
                <c:pt idx="179">
                  <c:v>338</c:v>
                </c:pt>
                <c:pt idx="180">
                  <c:v>261</c:v>
                </c:pt>
                <c:pt idx="181">
                  <c:v>257</c:v>
                </c:pt>
                <c:pt idx="182">
                  <c:v>188</c:v>
                </c:pt>
                <c:pt idx="183">
                  <c:v>252</c:v>
                </c:pt>
                <c:pt idx="184">
                  <c:v>400</c:v>
                </c:pt>
                <c:pt idx="185">
                  <c:v>271</c:v>
                </c:pt>
                <c:pt idx="186">
                  <c:v>460</c:v>
                </c:pt>
                <c:pt idx="187">
                  <c:v>277</c:v>
                </c:pt>
                <c:pt idx="188">
                  <c:v>246</c:v>
                </c:pt>
                <c:pt idx="189">
                  <c:v>203</c:v>
                </c:pt>
                <c:pt idx="190">
                  <c:v>306</c:v>
                </c:pt>
                <c:pt idx="191">
                  <c:v>361</c:v>
                </c:pt>
                <c:pt idx="192">
                  <c:v>362</c:v>
                </c:pt>
                <c:pt idx="193">
                  <c:v>411</c:v>
                </c:pt>
                <c:pt idx="194">
                  <c:v>279</c:v>
                </c:pt>
                <c:pt idx="195">
                  <c:v>380</c:v>
                </c:pt>
                <c:pt idx="196">
                  <c:v>177</c:v>
                </c:pt>
                <c:pt idx="197">
                  <c:v>327</c:v>
                </c:pt>
                <c:pt idx="198">
                  <c:v>417</c:v>
                </c:pt>
                <c:pt idx="199">
                  <c:v>334</c:v>
                </c:pt>
                <c:pt idx="200">
                  <c:v>455</c:v>
                </c:pt>
                <c:pt idx="201">
                  <c:v>247</c:v>
                </c:pt>
                <c:pt idx="202">
                  <c:v>339</c:v>
                </c:pt>
                <c:pt idx="203">
                  <c:v>195</c:v>
                </c:pt>
                <c:pt idx="204">
                  <c:v>328</c:v>
                </c:pt>
                <c:pt idx="205">
                  <c:v>513</c:v>
                </c:pt>
                <c:pt idx="206">
                  <c:v>444</c:v>
                </c:pt>
                <c:pt idx="207">
                  <c:v>578</c:v>
                </c:pt>
                <c:pt idx="208">
                  <c:v>562</c:v>
                </c:pt>
                <c:pt idx="209">
                  <c:v>507</c:v>
                </c:pt>
                <c:pt idx="210">
                  <c:v>491</c:v>
                </c:pt>
                <c:pt idx="211">
                  <c:v>456</c:v>
                </c:pt>
                <c:pt idx="212">
                  <c:v>713</c:v>
                </c:pt>
                <c:pt idx="213">
                  <c:v>778</c:v>
                </c:pt>
                <c:pt idx="214">
                  <c:v>891</c:v>
                </c:pt>
                <c:pt idx="215">
                  <c:v>935</c:v>
                </c:pt>
                <c:pt idx="216">
                  <c:v>567</c:v>
                </c:pt>
                <c:pt idx="217">
                  <c:v>544</c:v>
                </c:pt>
                <c:pt idx="218">
                  <c:v>912</c:v>
                </c:pt>
                <c:pt idx="219">
                  <c:v>1029</c:v>
                </c:pt>
                <c:pt idx="220">
                  <c:v>803</c:v>
                </c:pt>
                <c:pt idx="221">
                  <c:v>1188</c:v>
                </c:pt>
                <c:pt idx="222">
                  <c:v>1053</c:v>
                </c:pt>
                <c:pt idx="223">
                  <c:v>934</c:v>
                </c:pt>
                <c:pt idx="224">
                  <c:v>655</c:v>
                </c:pt>
                <c:pt idx="225">
                  <c:v>1005</c:v>
                </c:pt>
                <c:pt idx="226">
                  <c:v>1413</c:v>
                </c:pt>
                <c:pt idx="227">
                  <c:v>1509</c:v>
                </c:pt>
                <c:pt idx="228">
                  <c:v>1692</c:v>
                </c:pt>
                <c:pt idx="229">
                  <c:v>1892</c:v>
                </c:pt>
                <c:pt idx="230">
                  <c:v>1477</c:v>
                </c:pt>
                <c:pt idx="231">
                  <c:v>1186</c:v>
                </c:pt>
                <c:pt idx="232">
                  <c:v>1404</c:v>
                </c:pt>
                <c:pt idx="233">
                  <c:v>2192</c:v>
                </c:pt>
                <c:pt idx="234">
                  <c:v>2593</c:v>
                </c:pt>
                <c:pt idx="235">
                  <c:v>2309</c:v>
                </c:pt>
                <c:pt idx="236">
                  <c:v>1897</c:v>
                </c:pt>
                <c:pt idx="237">
                  <c:v>2436</c:v>
                </c:pt>
                <c:pt idx="238">
                  <c:v>2095</c:v>
                </c:pt>
                <c:pt idx="239">
                  <c:v>1876</c:v>
                </c:pt>
                <c:pt idx="240">
                  <c:v>2706</c:v>
                </c:pt>
                <c:pt idx="241">
                  <c:v>2988</c:v>
                </c:pt>
                <c:pt idx="242">
                  <c:v>2034</c:v>
                </c:pt>
                <c:pt idx="243">
                  <c:v>2290</c:v>
                </c:pt>
                <c:pt idx="244">
                  <c:v>2445</c:v>
                </c:pt>
                <c:pt idx="245">
                  <c:v>2079</c:v>
                </c:pt>
                <c:pt idx="246">
                  <c:v>1489</c:v>
                </c:pt>
                <c:pt idx="247">
                  <c:v>2856</c:v>
                </c:pt>
                <c:pt idx="248">
                  <c:v>2346</c:v>
                </c:pt>
                <c:pt idx="249">
                  <c:v>2162</c:v>
                </c:pt>
                <c:pt idx="250">
                  <c:v>1955</c:v>
                </c:pt>
                <c:pt idx="251">
                  <c:v>1708</c:v>
                </c:pt>
                <c:pt idx="252">
                  <c:v>1560</c:v>
                </c:pt>
                <c:pt idx="253">
                  <c:v>2022</c:v>
                </c:pt>
                <c:pt idx="254">
                  <c:v>2614</c:v>
                </c:pt>
                <c:pt idx="255">
                  <c:v>1494</c:v>
                </c:pt>
                <c:pt idx="256">
                  <c:v>1230</c:v>
                </c:pt>
                <c:pt idx="257">
                  <c:v>1209</c:v>
                </c:pt>
                <c:pt idx="258">
                  <c:v>998</c:v>
                </c:pt>
                <c:pt idx="259">
                  <c:v>1979</c:v>
                </c:pt>
                <c:pt idx="260">
                  <c:v>1478</c:v>
                </c:pt>
                <c:pt idx="261">
                  <c:v>2239</c:v>
                </c:pt>
                <c:pt idx="262">
                  <c:v>1775</c:v>
                </c:pt>
                <c:pt idx="263">
                  <c:v>1926</c:v>
                </c:pt>
                <c:pt idx="264">
                  <c:v>1662</c:v>
                </c:pt>
                <c:pt idx="265">
                  <c:v>1887</c:v>
                </c:pt>
                <c:pt idx="266">
                  <c:v>1197</c:v>
                </c:pt>
                <c:pt idx="267">
                  <c:v>1326</c:v>
                </c:pt>
                <c:pt idx="268">
                  <c:v>2134</c:v>
                </c:pt>
                <c:pt idx="269">
                  <c:v>1888</c:v>
                </c:pt>
                <c:pt idx="270">
                  <c:v>1726</c:v>
                </c:pt>
                <c:pt idx="271">
                  <c:v>1483</c:v>
                </c:pt>
                <c:pt idx="272">
                  <c:v>1734</c:v>
                </c:pt>
                <c:pt idx="273">
                  <c:v>1200</c:v>
                </c:pt>
                <c:pt idx="274">
                  <c:v>1233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30-43A6-A413-4172F72F5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703584"/>
        <c:axId val="122991264"/>
      </c:scatterChart>
      <c:valAx>
        <c:axId val="206370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91264"/>
        <c:crosses val="autoZero"/>
        <c:crossBetween val="midCat"/>
      </c:valAx>
      <c:valAx>
        <c:axId val="12299126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70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275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</c:numCache>
            </c:numRef>
          </c:xVal>
          <c:yVal>
            <c:numRef>
              <c:f>[0]!chicago_new_tests</c:f>
              <c:numCache>
                <c:formatCode>General</c:formatCode>
                <c:ptCount val="275"/>
                <c:pt idx="49">
                  <c:v>3987</c:v>
                </c:pt>
                <c:pt idx="50">
                  <c:v>3716</c:v>
                </c:pt>
                <c:pt idx="51">
                  <c:v>4707</c:v>
                </c:pt>
                <c:pt idx="52">
                  <c:v>5405</c:v>
                </c:pt>
                <c:pt idx="53">
                  <c:v>4632</c:v>
                </c:pt>
                <c:pt idx="54">
                  <c:v>3536</c:v>
                </c:pt>
                <c:pt idx="55">
                  <c:v>2798</c:v>
                </c:pt>
                <c:pt idx="56">
                  <c:v>6701</c:v>
                </c:pt>
                <c:pt idx="57">
                  <c:v>3691</c:v>
                </c:pt>
                <c:pt idx="58">
                  <c:v>4523</c:v>
                </c:pt>
                <c:pt idx="59">
                  <c:v>7144</c:v>
                </c:pt>
                <c:pt idx="60">
                  <c:v>5991</c:v>
                </c:pt>
                <c:pt idx="61">
                  <c:v>4436</c:v>
                </c:pt>
                <c:pt idx="62">
                  <c:v>5363</c:v>
                </c:pt>
                <c:pt idx="63">
                  <c:v>4509</c:v>
                </c:pt>
                <c:pt idx="64">
                  <c:v>8139</c:v>
                </c:pt>
                <c:pt idx="65">
                  <c:v>7826</c:v>
                </c:pt>
                <c:pt idx="66">
                  <c:v>6752</c:v>
                </c:pt>
                <c:pt idx="67">
                  <c:v>9477</c:v>
                </c:pt>
                <c:pt idx="68">
                  <c:v>7482</c:v>
                </c:pt>
                <c:pt idx="69">
                  <c:v>6359</c:v>
                </c:pt>
                <c:pt idx="70">
                  <c:v>4230</c:v>
                </c:pt>
                <c:pt idx="71">
                  <c:v>4171</c:v>
                </c:pt>
                <c:pt idx="72">
                  <c:v>5591</c:v>
                </c:pt>
                <c:pt idx="73">
                  <c:v>4669</c:v>
                </c:pt>
                <c:pt idx="74">
                  <c:v>6188</c:v>
                </c:pt>
                <c:pt idx="75">
                  <c:v>5686</c:v>
                </c:pt>
                <c:pt idx="76">
                  <c:v>4944</c:v>
                </c:pt>
                <c:pt idx="77">
                  <c:v>3947</c:v>
                </c:pt>
                <c:pt idx="78">
                  <c:v>7924</c:v>
                </c:pt>
                <c:pt idx="79">
                  <c:v>4095</c:v>
                </c:pt>
                <c:pt idx="80">
                  <c:v>4010</c:v>
                </c:pt>
                <c:pt idx="81">
                  <c:v>4472</c:v>
                </c:pt>
                <c:pt idx="82">
                  <c:v>4973</c:v>
                </c:pt>
                <c:pt idx="83">
                  <c:v>3676</c:v>
                </c:pt>
                <c:pt idx="84">
                  <c:v>4570</c:v>
                </c:pt>
                <c:pt idx="85">
                  <c:v>3993</c:v>
                </c:pt>
                <c:pt idx="86">
                  <c:v>4688</c:v>
                </c:pt>
                <c:pt idx="87">
                  <c:v>5455</c:v>
                </c:pt>
                <c:pt idx="88">
                  <c:v>4954</c:v>
                </c:pt>
                <c:pt idx="89">
                  <c:v>5484</c:v>
                </c:pt>
                <c:pt idx="90">
                  <c:v>4664</c:v>
                </c:pt>
                <c:pt idx="91">
                  <c:v>4487</c:v>
                </c:pt>
                <c:pt idx="92">
                  <c:v>5943</c:v>
                </c:pt>
                <c:pt idx="93">
                  <c:v>4870</c:v>
                </c:pt>
                <c:pt idx="94">
                  <c:v>5108</c:v>
                </c:pt>
                <c:pt idx="95">
                  <c:v>5107</c:v>
                </c:pt>
                <c:pt idx="96">
                  <c:v>5960</c:v>
                </c:pt>
                <c:pt idx="97">
                  <c:v>3974</c:v>
                </c:pt>
                <c:pt idx="98">
                  <c:v>4432</c:v>
                </c:pt>
                <c:pt idx="99">
                  <c:v>5329</c:v>
                </c:pt>
                <c:pt idx="100">
                  <c:v>6571</c:v>
                </c:pt>
                <c:pt idx="101">
                  <c:v>6932</c:v>
                </c:pt>
                <c:pt idx="102">
                  <c:v>7308</c:v>
                </c:pt>
                <c:pt idx="103">
                  <c:v>6718</c:v>
                </c:pt>
                <c:pt idx="104">
                  <c:v>6666</c:v>
                </c:pt>
                <c:pt idx="105">
                  <c:v>6188</c:v>
                </c:pt>
                <c:pt idx="106">
                  <c:v>7150</c:v>
                </c:pt>
                <c:pt idx="107">
                  <c:v>6602</c:v>
                </c:pt>
                <c:pt idx="108">
                  <c:v>7868</c:v>
                </c:pt>
                <c:pt idx="109">
                  <c:v>9386</c:v>
                </c:pt>
                <c:pt idx="110">
                  <c:v>7218</c:v>
                </c:pt>
                <c:pt idx="111">
                  <c:v>5334</c:v>
                </c:pt>
                <c:pt idx="112">
                  <c:v>5229</c:v>
                </c:pt>
                <c:pt idx="113">
                  <c:v>6637</c:v>
                </c:pt>
                <c:pt idx="114">
                  <c:v>7708</c:v>
                </c:pt>
                <c:pt idx="115">
                  <c:v>7822</c:v>
                </c:pt>
                <c:pt idx="116">
                  <c:v>8669</c:v>
                </c:pt>
                <c:pt idx="117">
                  <c:v>9038</c:v>
                </c:pt>
                <c:pt idx="118">
                  <c:v>8144</c:v>
                </c:pt>
                <c:pt idx="119">
                  <c:v>5129</c:v>
                </c:pt>
                <c:pt idx="120">
                  <c:v>8306</c:v>
                </c:pt>
                <c:pt idx="121">
                  <c:v>7976</c:v>
                </c:pt>
                <c:pt idx="122">
                  <c:v>10954</c:v>
                </c:pt>
                <c:pt idx="123">
                  <c:v>10217</c:v>
                </c:pt>
                <c:pt idx="124">
                  <c:v>7845</c:v>
                </c:pt>
                <c:pt idx="125">
                  <c:v>7815</c:v>
                </c:pt>
                <c:pt idx="126">
                  <c:v>6407</c:v>
                </c:pt>
                <c:pt idx="127">
                  <c:v>6995</c:v>
                </c:pt>
                <c:pt idx="128">
                  <c:v>8234</c:v>
                </c:pt>
                <c:pt idx="129">
                  <c:v>10554</c:v>
                </c:pt>
                <c:pt idx="130">
                  <c:v>7723</c:v>
                </c:pt>
                <c:pt idx="131">
                  <c:v>10788</c:v>
                </c:pt>
                <c:pt idx="132">
                  <c:v>6757</c:v>
                </c:pt>
                <c:pt idx="133">
                  <c:v>6394</c:v>
                </c:pt>
                <c:pt idx="134">
                  <c:v>6605</c:v>
                </c:pt>
                <c:pt idx="135">
                  <c:v>8886</c:v>
                </c:pt>
                <c:pt idx="136">
                  <c:v>10592</c:v>
                </c:pt>
                <c:pt idx="137">
                  <c:v>9385</c:v>
                </c:pt>
                <c:pt idx="138">
                  <c:v>9142</c:v>
                </c:pt>
                <c:pt idx="139">
                  <c:v>6844</c:v>
                </c:pt>
                <c:pt idx="140">
                  <c:v>9945</c:v>
                </c:pt>
                <c:pt idx="141">
                  <c:v>8091</c:v>
                </c:pt>
                <c:pt idx="142">
                  <c:v>6756</c:v>
                </c:pt>
                <c:pt idx="143">
                  <c:v>9927</c:v>
                </c:pt>
                <c:pt idx="144">
                  <c:v>10046</c:v>
                </c:pt>
                <c:pt idx="145">
                  <c:v>9047</c:v>
                </c:pt>
                <c:pt idx="146">
                  <c:v>8802</c:v>
                </c:pt>
                <c:pt idx="147">
                  <c:v>7991</c:v>
                </c:pt>
                <c:pt idx="148">
                  <c:v>6029</c:v>
                </c:pt>
                <c:pt idx="149">
                  <c:v>6294</c:v>
                </c:pt>
                <c:pt idx="150">
                  <c:v>10429</c:v>
                </c:pt>
                <c:pt idx="151">
                  <c:v>10035</c:v>
                </c:pt>
                <c:pt idx="152">
                  <c:v>7876</c:v>
                </c:pt>
                <c:pt idx="153">
                  <c:v>9669</c:v>
                </c:pt>
                <c:pt idx="154">
                  <c:v>7480</c:v>
                </c:pt>
                <c:pt idx="155">
                  <c:v>7247</c:v>
                </c:pt>
                <c:pt idx="156">
                  <c:v>9342</c:v>
                </c:pt>
                <c:pt idx="157">
                  <c:v>9674</c:v>
                </c:pt>
                <c:pt idx="158">
                  <c:v>9918</c:v>
                </c:pt>
                <c:pt idx="159">
                  <c:v>8960</c:v>
                </c:pt>
                <c:pt idx="160">
                  <c:v>7963</c:v>
                </c:pt>
                <c:pt idx="161">
                  <c:v>7749</c:v>
                </c:pt>
                <c:pt idx="162">
                  <c:v>7047</c:v>
                </c:pt>
                <c:pt idx="163">
                  <c:v>5939</c:v>
                </c:pt>
                <c:pt idx="164">
                  <c:v>8417</c:v>
                </c:pt>
                <c:pt idx="165">
                  <c:v>8267</c:v>
                </c:pt>
                <c:pt idx="166">
                  <c:v>8878</c:v>
                </c:pt>
                <c:pt idx="167">
                  <c:v>7880</c:v>
                </c:pt>
                <c:pt idx="168">
                  <c:v>4883</c:v>
                </c:pt>
                <c:pt idx="169">
                  <c:v>5604</c:v>
                </c:pt>
                <c:pt idx="170">
                  <c:v>6689</c:v>
                </c:pt>
                <c:pt idx="171">
                  <c:v>20189</c:v>
                </c:pt>
                <c:pt idx="172">
                  <c:v>10214</c:v>
                </c:pt>
                <c:pt idx="173">
                  <c:v>7861</c:v>
                </c:pt>
                <c:pt idx="174">
                  <c:v>5102</c:v>
                </c:pt>
                <c:pt idx="175">
                  <c:v>8828</c:v>
                </c:pt>
                <c:pt idx="176">
                  <c:v>6211</c:v>
                </c:pt>
                <c:pt idx="177">
                  <c:v>5061</c:v>
                </c:pt>
                <c:pt idx="178">
                  <c:v>7959</c:v>
                </c:pt>
                <c:pt idx="179">
                  <c:v>8651</c:v>
                </c:pt>
                <c:pt idx="180">
                  <c:v>8316</c:v>
                </c:pt>
                <c:pt idx="181">
                  <c:v>7931</c:v>
                </c:pt>
                <c:pt idx="182">
                  <c:v>5649</c:v>
                </c:pt>
                <c:pt idx="183">
                  <c:v>7120</c:v>
                </c:pt>
                <c:pt idx="184">
                  <c:v>7493</c:v>
                </c:pt>
                <c:pt idx="185">
                  <c:v>11398</c:v>
                </c:pt>
                <c:pt idx="186">
                  <c:v>11609</c:v>
                </c:pt>
                <c:pt idx="187">
                  <c:v>9534</c:v>
                </c:pt>
                <c:pt idx="188">
                  <c:v>6600</c:v>
                </c:pt>
                <c:pt idx="189">
                  <c:v>6935</c:v>
                </c:pt>
                <c:pt idx="190">
                  <c:v>6418</c:v>
                </c:pt>
                <c:pt idx="191">
                  <c:v>8578</c:v>
                </c:pt>
                <c:pt idx="192">
                  <c:v>11229</c:v>
                </c:pt>
                <c:pt idx="193">
                  <c:v>11525</c:v>
                </c:pt>
                <c:pt idx="194">
                  <c:v>9749</c:v>
                </c:pt>
                <c:pt idx="195">
                  <c:v>8398</c:v>
                </c:pt>
                <c:pt idx="196">
                  <c:v>7818</c:v>
                </c:pt>
                <c:pt idx="197">
                  <c:v>6410</c:v>
                </c:pt>
                <c:pt idx="198">
                  <c:v>10110</c:v>
                </c:pt>
                <c:pt idx="199">
                  <c:v>12509</c:v>
                </c:pt>
                <c:pt idx="200">
                  <c:v>12814</c:v>
                </c:pt>
                <c:pt idx="201">
                  <c:v>10494</c:v>
                </c:pt>
                <c:pt idx="202">
                  <c:v>8392</c:v>
                </c:pt>
                <c:pt idx="203">
                  <c:v>8421</c:v>
                </c:pt>
                <c:pt idx="204">
                  <c:v>6593</c:v>
                </c:pt>
                <c:pt idx="205">
                  <c:v>11708</c:v>
                </c:pt>
                <c:pt idx="206">
                  <c:v>12912</c:v>
                </c:pt>
                <c:pt idx="207">
                  <c:v>12784</c:v>
                </c:pt>
                <c:pt idx="208">
                  <c:v>14162</c:v>
                </c:pt>
                <c:pt idx="209">
                  <c:v>10872</c:v>
                </c:pt>
                <c:pt idx="210">
                  <c:v>10544</c:v>
                </c:pt>
                <c:pt idx="211">
                  <c:v>8362</c:v>
                </c:pt>
                <c:pt idx="212">
                  <c:v>8724</c:v>
                </c:pt>
                <c:pt idx="213">
                  <c:v>14603</c:v>
                </c:pt>
                <c:pt idx="214">
                  <c:v>14569</c:v>
                </c:pt>
                <c:pt idx="215">
                  <c:v>16686</c:v>
                </c:pt>
                <c:pt idx="216">
                  <c:v>11192</c:v>
                </c:pt>
                <c:pt idx="217">
                  <c:v>10460</c:v>
                </c:pt>
                <c:pt idx="218">
                  <c:v>9808</c:v>
                </c:pt>
                <c:pt idx="219">
                  <c:v>14165</c:v>
                </c:pt>
                <c:pt idx="220">
                  <c:v>15388</c:v>
                </c:pt>
                <c:pt idx="221">
                  <c:v>14053</c:v>
                </c:pt>
                <c:pt idx="222">
                  <c:v>14347</c:v>
                </c:pt>
                <c:pt idx="223">
                  <c:v>12888</c:v>
                </c:pt>
                <c:pt idx="224">
                  <c:v>11296</c:v>
                </c:pt>
                <c:pt idx="225">
                  <c:v>10260</c:v>
                </c:pt>
                <c:pt idx="226">
                  <c:v>11726</c:v>
                </c:pt>
                <c:pt idx="227">
                  <c:v>18336</c:v>
                </c:pt>
                <c:pt idx="228">
                  <c:v>17411</c:v>
                </c:pt>
                <c:pt idx="229">
                  <c:v>19536</c:v>
                </c:pt>
                <c:pt idx="230">
                  <c:v>15889</c:v>
                </c:pt>
                <c:pt idx="231">
                  <c:v>14985</c:v>
                </c:pt>
                <c:pt idx="232">
                  <c:v>11226</c:v>
                </c:pt>
                <c:pt idx="233">
                  <c:v>14513</c:v>
                </c:pt>
                <c:pt idx="234">
                  <c:v>16063</c:v>
                </c:pt>
                <c:pt idx="235">
                  <c:v>17132</c:v>
                </c:pt>
                <c:pt idx="236">
                  <c:v>17315</c:v>
                </c:pt>
                <c:pt idx="237">
                  <c:v>14185</c:v>
                </c:pt>
                <c:pt idx="238">
                  <c:v>19848</c:v>
                </c:pt>
                <c:pt idx="239">
                  <c:v>15085</c:v>
                </c:pt>
                <c:pt idx="240">
                  <c:v>15569</c:v>
                </c:pt>
                <c:pt idx="241">
                  <c:v>18712</c:v>
                </c:pt>
                <c:pt idx="242">
                  <c:v>21632</c:v>
                </c:pt>
                <c:pt idx="243">
                  <c:v>20365</c:v>
                </c:pt>
                <c:pt idx="244">
                  <c:v>16720</c:v>
                </c:pt>
                <c:pt idx="245">
                  <c:v>19547</c:v>
                </c:pt>
                <c:pt idx="246">
                  <c:v>17316</c:v>
                </c:pt>
                <c:pt idx="247">
                  <c:v>17879</c:v>
                </c:pt>
                <c:pt idx="248">
                  <c:v>20386</c:v>
                </c:pt>
                <c:pt idx="249">
                  <c:v>22872</c:v>
                </c:pt>
                <c:pt idx="250">
                  <c:v>18726</c:v>
                </c:pt>
                <c:pt idx="251">
                  <c:v>21730</c:v>
                </c:pt>
                <c:pt idx="252">
                  <c:v>17404</c:v>
                </c:pt>
                <c:pt idx="253">
                  <c:v>22485</c:v>
                </c:pt>
                <c:pt idx="254">
                  <c:v>23129</c:v>
                </c:pt>
                <c:pt idx="255">
                  <c:v>18802</c:v>
                </c:pt>
                <c:pt idx="256">
                  <c:v>14685</c:v>
                </c:pt>
                <c:pt idx="257">
                  <c:v>10353</c:v>
                </c:pt>
                <c:pt idx="258">
                  <c:v>11229</c:v>
                </c:pt>
                <c:pt idx="259">
                  <c:v>17415</c:v>
                </c:pt>
                <c:pt idx="260">
                  <c:v>14057</c:v>
                </c:pt>
                <c:pt idx="261">
                  <c:v>18147</c:v>
                </c:pt>
                <c:pt idx="262">
                  <c:v>19663</c:v>
                </c:pt>
                <c:pt idx="263">
                  <c:v>18440</c:v>
                </c:pt>
                <c:pt idx="264">
                  <c:v>15159</c:v>
                </c:pt>
                <c:pt idx="265">
                  <c:v>15948</c:v>
                </c:pt>
                <c:pt idx="266">
                  <c:v>15891</c:v>
                </c:pt>
                <c:pt idx="267">
                  <c:v>12616</c:v>
                </c:pt>
                <c:pt idx="268">
                  <c:v>18926</c:v>
                </c:pt>
                <c:pt idx="269">
                  <c:v>18608</c:v>
                </c:pt>
                <c:pt idx="270">
                  <c:v>19040</c:v>
                </c:pt>
                <c:pt idx="271">
                  <c:v>11353</c:v>
                </c:pt>
                <c:pt idx="272">
                  <c:v>19129</c:v>
                </c:pt>
                <c:pt idx="273">
                  <c:v>16716</c:v>
                </c:pt>
                <c:pt idx="274">
                  <c:v>15651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FB-42D5-8740-94BB783EA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275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</c:numCache>
            </c:numRef>
          </c:xVal>
          <c:yVal>
            <c:numRef>
              <c:f>[0]!chicago_positive_rate_deriv.</c:f>
              <c:numCache>
                <c:formatCode>General</c:formatCode>
                <c:ptCount val="275"/>
                <c:pt idx="49" formatCode="0.0%">
                  <c:v>0.21269124655129171</c:v>
                </c:pt>
                <c:pt idx="50" formatCode="0.0%">
                  <c:v>0.23627556512378903</c:v>
                </c:pt>
                <c:pt idx="51" formatCode="0.0%">
                  <c:v>0.22795835988952623</c:v>
                </c:pt>
                <c:pt idx="52" formatCode="0.0%">
                  <c:v>0.21424606845513414</c:v>
                </c:pt>
                <c:pt idx="53" formatCode="0.0%">
                  <c:v>0.19408462867012088</c:v>
                </c:pt>
                <c:pt idx="54" formatCode="0.0%">
                  <c:v>0.17109728506787331</c:v>
                </c:pt>
                <c:pt idx="55" formatCode="0.0%">
                  <c:v>0.14867762687634023</c:v>
                </c:pt>
                <c:pt idx="56" formatCode="0.0%">
                  <c:v>0.19325473809879123</c:v>
                </c:pt>
                <c:pt idx="57" formatCode="0.0%">
                  <c:v>0.1541587645624492</c:v>
                </c:pt>
                <c:pt idx="58" formatCode="0.0%">
                  <c:v>0.29316825116073403</c:v>
                </c:pt>
                <c:pt idx="59" formatCode="0.0%">
                  <c:v>0.12541993281075028</c:v>
                </c:pt>
                <c:pt idx="60" formatCode="0.0%">
                  <c:v>0.13970956434651979</c:v>
                </c:pt>
                <c:pt idx="61" formatCode="0.0%">
                  <c:v>0.14224526600541029</c:v>
                </c:pt>
                <c:pt idx="62" formatCode="0.0%">
                  <c:v>0.1599850829759463</c:v>
                </c:pt>
                <c:pt idx="63" formatCode="0.0%">
                  <c:v>0.11820802838766911</c:v>
                </c:pt>
                <c:pt idx="64" formatCode="0.0%">
                  <c:v>0.12016218208625139</c:v>
                </c:pt>
                <c:pt idx="65" formatCode="0.0%">
                  <c:v>0.12049578328648096</c:v>
                </c:pt>
                <c:pt idx="66" formatCode="0.0%">
                  <c:v>0.11048578199052132</c:v>
                </c:pt>
                <c:pt idx="67" formatCode="0.0%">
                  <c:v>0.10351377018043685</c:v>
                </c:pt>
                <c:pt idx="68" formatCode="0.0%">
                  <c:v>0.13579256883186314</c:v>
                </c:pt>
                <c:pt idx="69" formatCode="0.0%">
                  <c:v>9.59270325522881E-2</c:v>
                </c:pt>
                <c:pt idx="70" formatCode="0.0%">
                  <c:v>0.10165484633569739</c:v>
                </c:pt>
                <c:pt idx="71" formatCode="0.0%">
                  <c:v>0.10716854471349796</c:v>
                </c:pt>
                <c:pt idx="72" formatCode="0.0%">
                  <c:v>7.5120729744231798E-2</c:v>
                </c:pt>
                <c:pt idx="73" formatCode="0.0%">
                  <c:v>0.11180124223602485</c:v>
                </c:pt>
                <c:pt idx="74" formatCode="0.0%">
                  <c:v>7.1428571428571425E-2</c:v>
                </c:pt>
                <c:pt idx="75" formatCode="0.0%">
                  <c:v>8.1955680619064372E-2</c:v>
                </c:pt>
                <c:pt idx="76" formatCode="0.0%">
                  <c:v>6.4724919093851127E-2</c:v>
                </c:pt>
                <c:pt idx="77" formatCode="0.0%">
                  <c:v>0.23030149480618192</c:v>
                </c:pt>
                <c:pt idx="78" formatCode="0.0%">
                  <c:v>3.5588086824835941E-2</c:v>
                </c:pt>
                <c:pt idx="79" formatCode="0.0%">
                  <c:v>7.5457875457875453E-2</c:v>
                </c:pt>
                <c:pt idx="80" formatCode="0.0%">
                  <c:v>8.029925187032419E-2</c:v>
                </c:pt>
                <c:pt idx="81" formatCode="0.0%">
                  <c:v>8.1395348837209308E-2</c:v>
                </c:pt>
                <c:pt idx="82" formatCode="0.0%">
                  <c:v>5.8515986326161271E-2</c:v>
                </c:pt>
                <c:pt idx="83" formatCode="0.0%">
                  <c:v>5.4406964091403699E-2</c:v>
                </c:pt>
                <c:pt idx="84" formatCode="0.0%">
                  <c:v>5.7330415754923411E-2</c:v>
                </c:pt>
                <c:pt idx="85" formatCode="0.0%">
                  <c:v>3.7064863511144505E-2</c:v>
                </c:pt>
                <c:pt idx="86" formatCode="0.0%">
                  <c:v>5.012798634812287E-2</c:v>
                </c:pt>
                <c:pt idx="87" formatCode="0.0%">
                  <c:v>3.2813932172318976E-2</c:v>
                </c:pt>
                <c:pt idx="88" formatCode="0.0%">
                  <c:v>3.7747274929350018E-2</c:v>
                </c:pt>
                <c:pt idx="89" formatCode="0.0%">
                  <c:v>3.2093362509117436E-2</c:v>
                </c:pt>
                <c:pt idx="90" formatCode="0.0%">
                  <c:v>3.6234991423670669E-2</c:v>
                </c:pt>
                <c:pt idx="91" formatCode="0.0%">
                  <c:v>4.4796077557388007E-2</c:v>
                </c:pt>
                <c:pt idx="92" formatCode="0.0%">
                  <c:v>2.8268551236749116E-2</c:v>
                </c:pt>
                <c:pt idx="93" formatCode="0.0%">
                  <c:v>3.5318275154004104E-2</c:v>
                </c:pt>
                <c:pt idx="94" formatCode="0.0%">
                  <c:v>4.2090837901331245E-2</c:v>
                </c:pt>
                <c:pt idx="95" formatCode="0.0%">
                  <c:v>3.0937928333659683E-2</c:v>
                </c:pt>
                <c:pt idx="96" formatCode="0.0%">
                  <c:v>2.1812080536912751E-2</c:v>
                </c:pt>
                <c:pt idx="97" formatCode="0.0%">
                  <c:v>2.8183190739808756E-2</c:v>
                </c:pt>
                <c:pt idx="98" formatCode="0.0%">
                  <c:v>4.5351985559566786E-2</c:v>
                </c:pt>
                <c:pt idx="99" formatCode="0.0%">
                  <c:v>3.3214486770501032E-2</c:v>
                </c:pt>
                <c:pt idx="100" formatCode="0.0%">
                  <c:v>4.3981129204078526E-2</c:v>
                </c:pt>
                <c:pt idx="101" formatCode="0.0%">
                  <c:v>3.7651471436814771E-2</c:v>
                </c:pt>
                <c:pt idx="102" formatCode="0.0%">
                  <c:v>3.0377668308702793E-2</c:v>
                </c:pt>
                <c:pt idx="103" formatCode="0.0%">
                  <c:v>3.3343256921702889E-2</c:v>
                </c:pt>
                <c:pt idx="104" formatCode="0.0%">
                  <c:v>3.1653165316531652E-2</c:v>
                </c:pt>
                <c:pt idx="105" formatCode="0.0%">
                  <c:v>3.3775048480930832E-2</c:v>
                </c:pt>
                <c:pt idx="106" formatCode="0.0%">
                  <c:v>3.0629370629370628E-2</c:v>
                </c:pt>
                <c:pt idx="107" formatCode="0.0%">
                  <c:v>4.3168736746440471E-2</c:v>
                </c:pt>
                <c:pt idx="108" formatCode="0.0%">
                  <c:v>3.3172343670564312E-2</c:v>
                </c:pt>
                <c:pt idx="109" formatCode="0.0%">
                  <c:v>3.0790539100788408E-2</c:v>
                </c:pt>
                <c:pt idx="110" formatCode="0.0%">
                  <c:v>2.2028262676641729E-2</c:v>
                </c:pt>
                <c:pt idx="111" formatCode="0.0%">
                  <c:v>2.6434195725534307E-2</c:v>
                </c:pt>
                <c:pt idx="112" formatCode="0.0%">
                  <c:v>3.0407343660355707E-2</c:v>
                </c:pt>
                <c:pt idx="113" formatCode="0.0%">
                  <c:v>3.450354075636583E-2</c:v>
                </c:pt>
                <c:pt idx="114" formatCode="0.0%">
                  <c:v>3.98287493513233E-2</c:v>
                </c:pt>
                <c:pt idx="115" formatCode="0.0%">
                  <c:v>4.3594988493991307E-2</c:v>
                </c:pt>
                <c:pt idx="116" formatCode="0.0%">
                  <c:v>3.4836774714499939E-2</c:v>
                </c:pt>
                <c:pt idx="117" formatCode="0.0%">
                  <c:v>2.9320646160655012E-2</c:v>
                </c:pt>
                <c:pt idx="118" formatCode="0.0%">
                  <c:v>2.1856581532416503E-2</c:v>
                </c:pt>
                <c:pt idx="119" formatCode="0.0%">
                  <c:v>3.762916747904075E-2</c:v>
                </c:pt>
                <c:pt idx="120" formatCode="0.0%">
                  <c:v>3.3590175776547077E-2</c:v>
                </c:pt>
                <c:pt idx="121" formatCode="0.0%">
                  <c:v>4.2377131394182546E-2</c:v>
                </c:pt>
                <c:pt idx="122" formatCode="0.0%">
                  <c:v>3.2408252693080154E-2</c:v>
                </c:pt>
                <c:pt idx="123" formatCode="0.0%">
                  <c:v>2.4664774395615152E-2</c:v>
                </c:pt>
                <c:pt idx="124" formatCode="0.0%">
                  <c:v>2.3836838750796684E-2</c:v>
                </c:pt>
                <c:pt idx="125" formatCode="0.0%">
                  <c:v>2.3928342930262317E-2</c:v>
                </c:pt>
                <c:pt idx="126" formatCode="0.0%">
                  <c:v>3.0591540502575308E-2</c:v>
                </c:pt>
                <c:pt idx="127" formatCode="0.0%">
                  <c:v>5.0893495353824161E-2</c:v>
                </c:pt>
                <c:pt idx="128" formatCode="0.0%">
                  <c:v>4.7728928831673546E-2</c:v>
                </c:pt>
                <c:pt idx="129" formatCode="0.0%">
                  <c:v>3.4963047185901083E-2</c:v>
                </c:pt>
                <c:pt idx="130" formatCode="0.0%">
                  <c:v>4.3506409426388712E-2</c:v>
                </c:pt>
                <c:pt idx="131" formatCode="0.0%">
                  <c:v>3.2814238042269191E-2</c:v>
                </c:pt>
                <c:pt idx="132" formatCode="0.0%">
                  <c:v>4.0994524197128901E-2</c:v>
                </c:pt>
                <c:pt idx="133" formatCode="0.0%">
                  <c:v>4.6449796684391614E-2</c:v>
                </c:pt>
                <c:pt idx="134" formatCode="0.0%">
                  <c:v>4.7842543527630586E-2</c:v>
                </c:pt>
                <c:pt idx="135" formatCode="0.0%">
                  <c:v>4.2201215395003377E-2</c:v>
                </c:pt>
                <c:pt idx="136" formatCode="0.0%">
                  <c:v>4.3712235649546828E-2</c:v>
                </c:pt>
                <c:pt idx="137" formatCode="0.0%">
                  <c:v>4.0596696856686203E-2</c:v>
                </c:pt>
                <c:pt idx="138" formatCode="0.0%">
                  <c:v>4.3425946182454607E-2</c:v>
                </c:pt>
                <c:pt idx="139" formatCode="0.0%">
                  <c:v>5.0116890707188777E-2</c:v>
                </c:pt>
                <c:pt idx="140" formatCode="0.0%">
                  <c:v>2.0814479638009049E-2</c:v>
                </c:pt>
                <c:pt idx="141" formatCode="0.0%">
                  <c:v>3.9179335063650969E-2</c:v>
                </c:pt>
                <c:pt idx="142" formatCode="0.0%">
                  <c:v>5.2101835405565421E-2</c:v>
                </c:pt>
                <c:pt idx="143" formatCode="0.0%">
                  <c:v>3.2638259292837715E-2</c:v>
                </c:pt>
                <c:pt idx="144" formatCode="0.0%">
                  <c:v>4.5192116265180174E-2</c:v>
                </c:pt>
                <c:pt idx="145" formatCode="0.0%">
                  <c:v>3.316016359014038E-2</c:v>
                </c:pt>
                <c:pt idx="146" formatCode="0.0%">
                  <c:v>2.8743467393774143E-2</c:v>
                </c:pt>
                <c:pt idx="147" formatCode="0.0%">
                  <c:v>2.8782380177699914E-2</c:v>
                </c:pt>
                <c:pt idx="148" formatCode="0.0%">
                  <c:v>4.2295571404876428E-2</c:v>
                </c:pt>
                <c:pt idx="149" formatCode="0.0%">
                  <c:v>6.1646012074992054E-2</c:v>
                </c:pt>
                <c:pt idx="150" formatCode="0.0%">
                  <c:v>4.7463802857416817E-2</c:v>
                </c:pt>
                <c:pt idx="151" formatCode="0.0%">
                  <c:v>3.1689088191330345E-2</c:v>
                </c:pt>
                <c:pt idx="152" formatCode="0.0%">
                  <c:v>4.3423057389537834E-2</c:v>
                </c:pt>
                <c:pt idx="153" formatCode="0.0%">
                  <c:v>3.0509876926259179E-2</c:v>
                </c:pt>
                <c:pt idx="154" formatCode="0.0%">
                  <c:v>3.248663101604278E-2</c:v>
                </c:pt>
                <c:pt idx="155" formatCode="0.0%">
                  <c:v>6.0990754795087622E-2</c:v>
                </c:pt>
                <c:pt idx="156" formatCode="0.0%">
                  <c:v>3.8428602012417039E-2</c:v>
                </c:pt>
                <c:pt idx="157" formatCode="0.0%">
                  <c:v>4.6929915236716975E-2</c:v>
                </c:pt>
                <c:pt idx="158" formatCode="0.0%">
                  <c:v>4.6279491833030852E-2</c:v>
                </c:pt>
                <c:pt idx="159" formatCode="0.0%">
                  <c:v>3.995535714285714E-2</c:v>
                </c:pt>
                <c:pt idx="160" formatCode="0.0%">
                  <c:v>3.7799824186864249E-2</c:v>
                </c:pt>
                <c:pt idx="161" formatCode="0.0%">
                  <c:v>3.1746031746031744E-2</c:v>
                </c:pt>
                <c:pt idx="162" formatCode="0.0%">
                  <c:v>4.7112246345962824E-2</c:v>
                </c:pt>
                <c:pt idx="163" formatCode="0.0%">
                  <c:v>3.7548408823034181E-2</c:v>
                </c:pt>
                <c:pt idx="164" formatCode="0.0%">
                  <c:v>6.1898538671735774E-2</c:v>
                </c:pt>
                <c:pt idx="165" formatCode="0.0%">
                  <c:v>2.6490867303737752E-2</c:v>
                </c:pt>
                <c:pt idx="166" formatCode="0.0%">
                  <c:v>4.9673349853570622E-2</c:v>
                </c:pt>
                <c:pt idx="167" formatCode="0.0%">
                  <c:v>3.8451776649746194E-2</c:v>
                </c:pt>
                <c:pt idx="168" formatCode="0.0%">
                  <c:v>3.2357157485152568E-2</c:v>
                </c:pt>
                <c:pt idx="169" formatCode="0.0%">
                  <c:v>5.1391862955032119E-2</c:v>
                </c:pt>
                <c:pt idx="170" formatCode="0.0%">
                  <c:v>2.6012856929286888E-2</c:v>
                </c:pt>
                <c:pt idx="171" formatCode="0.0%">
                  <c:v>3.571251671702412E-2</c:v>
                </c:pt>
                <c:pt idx="172" formatCode="0.0%">
                  <c:v>5.1497943998433521E-2</c:v>
                </c:pt>
                <c:pt idx="173" formatCode="0.0%">
                  <c:v>2.6841368782597633E-2</c:v>
                </c:pt>
                <c:pt idx="174" formatCode="0.0%">
                  <c:v>5.6840454723637787E-2</c:v>
                </c:pt>
                <c:pt idx="175" formatCode="0.0%">
                  <c:v>2.20888083371092E-2</c:v>
                </c:pt>
                <c:pt idx="176" formatCode="0.0%">
                  <c:v>2.0769602318467237E-2</c:v>
                </c:pt>
                <c:pt idx="177" formatCode="0.0%">
                  <c:v>4.6433511163801622E-2</c:v>
                </c:pt>
                <c:pt idx="178" formatCode="0.0%">
                  <c:v>4.7744691544163838E-2</c:v>
                </c:pt>
                <c:pt idx="179" formatCode="0.0%">
                  <c:v>3.9070627673101377E-2</c:v>
                </c:pt>
                <c:pt idx="180" formatCode="0.0%">
                  <c:v>3.1385281385281384E-2</c:v>
                </c:pt>
                <c:pt idx="181" formatCode="0.0%">
                  <c:v>3.2404488715168329E-2</c:v>
                </c:pt>
                <c:pt idx="182" formatCode="0.0%">
                  <c:v>3.3280226588776773E-2</c:v>
                </c:pt>
                <c:pt idx="183" formatCode="0.0%">
                  <c:v>3.5393258426966293E-2</c:v>
                </c:pt>
                <c:pt idx="184" formatCode="0.0%">
                  <c:v>5.3383157613772853E-2</c:v>
                </c:pt>
                <c:pt idx="185" formatCode="0.0%">
                  <c:v>2.3776101070363223E-2</c:v>
                </c:pt>
                <c:pt idx="186" formatCode="0.0%">
                  <c:v>3.9624429322077701E-2</c:v>
                </c:pt>
                <c:pt idx="187" formatCode="0.0%">
                  <c:v>2.9053912313824207E-2</c:v>
                </c:pt>
                <c:pt idx="188" formatCode="0.0%">
                  <c:v>3.727272727272727E-2</c:v>
                </c:pt>
                <c:pt idx="189" formatCode="0.0%">
                  <c:v>2.927180966113915E-2</c:v>
                </c:pt>
                <c:pt idx="190" formatCode="0.0%">
                  <c:v>4.7678404487379249E-2</c:v>
                </c:pt>
                <c:pt idx="191" formatCode="0.0%">
                  <c:v>4.2084401958498482E-2</c:v>
                </c:pt>
                <c:pt idx="192" formatCode="0.0%">
                  <c:v>3.2237955294327186E-2</c:v>
                </c:pt>
                <c:pt idx="193" formatCode="0.0%">
                  <c:v>3.5661605206073754E-2</c:v>
                </c:pt>
                <c:pt idx="194" formatCode="0.0%">
                  <c:v>2.8618319827674633E-2</c:v>
                </c:pt>
                <c:pt idx="195" formatCode="0.0%">
                  <c:v>4.5248868778280542E-2</c:v>
                </c:pt>
                <c:pt idx="196" formatCode="0.0%">
                  <c:v>2.264006139677667E-2</c:v>
                </c:pt>
                <c:pt idx="197" formatCode="0.0%">
                  <c:v>5.1014040561622467E-2</c:v>
                </c:pt>
                <c:pt idx="198" formatCode="0.0%">
                  <c:v>4.1246290801186941E-2</c:v>
                </c:pt>
                <c:pt idx="199" formatCode="0.0%">
                  <c:v>2.6700775441681989E-2</c:v>
                </c:pt>
                <c:pt idx="200" formatCode="0.0%">
                  <c:v>3.5508038083346342E-2</c:v>
                </c:pt>
                <c:pt idx="201" formatCode="0.0%">
                  <c:v>2.3537259386315991E-2</c:v>
                </c:pt>
                <c:pt idx="202" formatCode="0.0%">
                  <c:v>4.0395614871306003E-2</c:v>
                </c:pt>
                <c:pt idx="203" formatCode="0.0%">
                  <c:v>2.3156394727467045E-2</c:v>
                </c:pt>
                <c:pt idx="204" formatCode="0.0%">
                  <c:v>4.9749734566964965E-2</c:v>
                </c:pt>
                <c:pt idx="205" formatCode="0.0%">
                  <c:v>4.3816194055346772E-2</c:v>
                </c:pt>
                <c:pt idx="206" formatCode="0.0%">
                  <c:v>3.4386617100371747E-2</c:v>
                </c:pt>
                <c:pt idx="207" formatCode="0.0%">
                  <c:v>4.5212765957446811E-2</c:v>
                </c:pt>
                <c:pt idx="208" formatCode="0.0%">
                  <c:v>3.9683660499929385E-2</c:v>
                </c:pt>
                <c:pt idx="209" formatCode="0.0%">
                  <c:v>4.6633554083885212E-2</c:v>
                </c:pt>
                <c:pt idx="210" formatCode="0.0%">
                  <c:v>4.656676783004552E-2</c:v>
                </c:pt>
                <c:pt idx="211" formatCode="0.0%">
                  <c:v>5.4532408514709398E-2</c:v>
                </c:pt>
                <c:pt idx="212" formatCode="0.0%">
                  <c:v>8.1728564878496099E-2</c:v>
                </c:pt>
                <c:pt idx="213" formatCode="0.0%">
                  <c:v>5.3276723960829969E-2</c:v>
                </c:pt>
                <c:pt idx="214" formatCode="0.0%">
                  <c:v>6.1157251698812545E-2</c:v>
                </c:pt>
                <c:pt idx="215" formatCode="0.0%">
                  <c:v>5.6034999400695194E-2</c:v>
                </c:pt>
                <c:pt idx="216" formatCode="0.0%">
                  <c:v>5.0661186561829878E-2</c:v>
                </c:pt>
                <c:pt idx="217" formatCode="0.0%">
                  <c:v>5.2007648183556403E-2</c:v>
                </c:pt>
                <c:pt idx="218" formatCode="0.0%">
                  <c:v>9.2985318107667206E-2</c:v>
                </c:pt>
                <c:pt idx="219" formatCode="0.0%">
                  <c:v>7.2643840451817862E-2</c:v>
                </c:pt>
                <c:pt idx="220" formatCode="0.0%">
                  <c:v>5.2183519625682351E-2</c:v>
                </c:pt>
                <c:pt idx="221" formatCode="0.0%">
                  <c:v>8.4537109513982786E-2</c:v>
                </c:pt>
                <c:pt idx="222" formatCode="0.0%">
                  <c:v>7.3395134871401688E-2</c:v>
                </c:pt>
                <c:pt idx="223" formatCode="0.0%">
                  <c:v>7.2470515207945382E-2</c:v>
                </c:pt>
                <c:pt idx="224" formatCode="0.0%">
                  <c:v>5.7985127478753541E-2</c:v>
                </c:pt>
                <c:pt idx="225" formatCode="0.0%">
                  <c:v>9.7953216374269E-2</c:v>
                </c:pt>
                <c:pt idx="226" formatCode="0.0%">
                  <c:v>0.12050144976974245</c:v>
                </c:pt>
                <c:pt idx="227" formatCode="0.0%">
                  <c:v>8.2297120418848166E-2</c:v>
                </c:pt>
                <c:pt idx="228" formatCode="0.0%">
                  <c:v>9.717994371374418E-2</c:v>
                </c:pt>
                <c:pt idx="229" formatCode="0.0%">
                  <c:v>9.6846846846846843E-2</c:v>
                </c:pt>
                <c:pt idx="230" formatCode="0.0%">
                  <c:v>9.2957391906350301E-2</c:v>
                </c:pt>
                <c:pt idx="231" formatCode="0.0%">
                  <c:v>7.9145812479145816E-2</c:v>
                </c:pt>
                <c:pt idx="232" formatCode="0.0%">
                  <c:v>0.12506680919294494</c:v>
                </c:pt>
                <c:pt idx="233" formatCode="0.0%">
                  <c:v>0.15103700130917108</c:v>
                </c:pt>
                <c:pt idx="234" formatCode="0.0%">
                  <c:v>0.1614268816534894</c:v>
                </c:pt>
                <c:pt idx="235" formatCode="0.0%">
                  <c:v>0.13477702544945133</c:v>
                </c:pt>
                <c:pt idx="236" formatCode="0.0%">
                  <c:v>0.10955818654345943</c:v>
                </c:pt>
                <c:pt idx="237" formatCode="0.0%">
                  <c:v>0.17173070144518857</c:v>
                </c:pt>
                <c:pt idx="238" formatCode="0.0%">
                  <c:v>0.1055521966948811</c:v>
                </c:pt>
                <c:pt idx="239" formatCode="0.0%">
                  <c:v>0.12436194895591647</c:v>
                </c:pt>
                <c:pt idx="240" formatCode="0.0%">
                  <c:v>0.17380692401567216</c:v>
                </c:pt>
                <c:pt idx="241" formatCode="0.0%">
                  <c:v>0.15968362548097478</c:v>
                </c:pt>
                <c:pt idx="242" formatCode="0.0%">
                  <c:v>9.4027366863905323E-2</c:v>
                </c:pt>
                <c:pt idx="243" formatCode="0.0%">
                  <c:v>0.11244782715443162</c:v>
                </c:pt>
                <c:pt idx="244" formatCode="0.0%">
                  <c:v>0.14623205741626794</c:v>
                </c:pt>
                <c:pt idx="245" formatCode="0.0%">
                  <c:v>0.10635903207653348</c:v>
                </c:pt>
                <c:pt idx="246" formatCode="0.0%">
                  <c:v>8.5989835989835992E-2</c:v>
                </c:pt>
                <c:pt idx="247" formatCode="0.0%">
                  <c:v>0.15974047765534985</c:v>
                </c:pt>
                <c:pt idx="248" formatCode="0.0%">
                  <c:v>0.11507897576768371</c:v>
                </c:pt>
                <c:pt idx="249" formatCode="0.0%">
                  <c:v>9.4526058062259527E-2</c:v>
                </c:pt>
                <c:pt idx="250" formatCode="0.0%">
                  <c:v>0.10440029904944996</c:v>
                </c:pt>
                <c:pt idx="251" formatCode="0.0%">
                  <c:v>7.8601012425218594E-2</c:v>
                </c:pt>
                <c:pt idx="252" formatCode="0.0%">
                  <c:v>8.9634566766260623E-2</c:v>
                </c:pt>
                <c:pt idx="253" formatCode="0.0%">
                  <c:v>8.9926617745163445E-2</c:v>
                </c:pt>
                <c:pt idx="254" formatCode="0.0%">
                  <c:v>0.11301828872843617</c:v>
                </c:pt>
                <c:pt idx="255" formatCode="0.0%">
                  <c:v>7.9459631954047441E-2</c:v>
                </c:pt>
                <c:pt idx="256" formatCode="0.0%">
                  <c:v>8.3758937691521956E-2</c:v>
                </c:pt>
                <c:pt idx="257" formatCode="0.0%">
                  <c:v>0.11677774558099102</c:v>
                </c:pt>
                <c:pt idx="258" formatCode="0.0%">
                  <c:v>8.8877014872205895E-2</c:v>
                </c:pt>
                <c:pt idx="259" formatCode="0.0%">
                  <c:v>0.11363766867642837</c:v>
                </c:pt>
                <c:pt idx="260" formatCode="0.0%">
                  <c:v>0.10514334495269261</c:v>
                </c:pt>
                <c:pt idx="261" formatCode="0.0%">
                  <c:v>0.12338127514189673</c:v>
                </c:pt>
                <c:pt idx="262" formatCode="0.0%">
                  <c:v>9.0271067487158629E-2</c:v>
                </c:pt>
                <c:pt idx="263" formatCode="0.0%">
                  <c:v>0.1044468546637744</c:v>
                </c:pt>
                <c:pt idx="264" formatCode="0.0%">
                  <c:v>0.10963783890757965</c:v>
                </c:pt>
                <c:pt idx="265" formatCode="0.0%">
                  <c:v>0.11832204665161776</c:v>
                </c:pt>
                <c:pt idx="266" formatCode="0.0%">
                  <c:v>7.5325656031716065E-2</c:v>
                </c:pt>
                <c:pt idx="267" formatCode="0.0%">
                  <c:v>0.10510462904248573</c:v>
                </c:pt>
                <c:pt idx="268" formatCode="0.0%">
                  <c:v>0.11275494029377575</c:v>
                </c:pt>
                <c:pt idx="269" formatCode="0.0%">
                  <c:v>0.10146173688736028</c:v>
                </c:pt>
                <c:pt idx="270" formatCode="0.0%">
                  <c:v>9.0651260504201678E-2</c:v>
                </c:pt>
                <c:pt idx="271" formatCode="0.0%">
                  <c:v>0.1306262661851493</c:v>
                </c:pt>
                <c:pt idx="272" formatCode="0.0%">
                  <c:v>9.0647707668984265E-2</c:v>
                </c:pt>
                <c:pt idx="273" formatCode="0.0%">
                  <c:v>7.1787508973438621E-2</c:v>
                </c:pt>
                <c:pt idx="274" formatCode="0.0%">
                  <c:v>7.8780908568142613E-2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6F-4668-B01C-EC619E55B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295216"/>
        <c:axId val="1727084592"/>
      </c:scatterChart>
      <c:valAx>
        <c:axId val="198229521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84592"/>
        <c:crosses val="autoZero"/>
        <c:crossBetween val="midCat"/>
      </c:valAx>
      <c:valAx>
        <c:axId val="1727084592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29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[0]!zip_percent_positive</c:f>
              <c:numCache>
                <c:formatCode>0.0000%</c:formatCode>
                <c:ptCount val="222"/>
                <c:pt idx="0">
                  <c:v>8.2807017543859648E-3</c:v>
                </c:pt>
                <c:pt idx="1">
                  <c:v>8.43859649122807E-3</c:v>
                </c:pt>
                <c:pt idx="2">
                  <c:v>8.5614035087719295E-3</c:v>
                </c:pt>
                <c:pt idx="3">
                  <c:v>8.8070175438596486E-3</c:v>
                </c:pt>
                <c:pt idx="4">
                  <c:v>8.9824561403508765E-3</c:v>
                </c:pt>
                <c:pt idx="5">
                  <c:v>9.5438596491228076E-3</c:v>
                </c:pt>
                <c:pt idx="6">
                  <c:v>9.7543859649122811E-3</c:v>
                </c:pt>
                <c:pt idx="7">
                  <c:v>9.9122807017543862E-3</c:v>
                </c:pt>
                <c:pt idx="8">
                  <c:v>1.0140350877192983E-2</c:v>
                </c:pt>
                <c:pt idx="9">
                  <c:v>1.0473684210526316E-2</c:v>
                </c:pt>
                <c:pt idx="10">
                  <c:v>1.0684210526315789E-2</c:v>
                </c:pt>
                <c:pt idx="11">
                  <c:v>1.0964912280701754E-2</c:v>
                </c:pt>
                <c:pt idx="12">
                  <c:v>1.1175438596491227E-2</c:v>
                </c:pt>
                <c:pt idx="13">
                  <c:v>1.1385964912280703E-2</c:v>
                </c:pt>
                <c:pt idx="14">
                  <c:v>1.1789473684210527E-2</c:v>
                </c:pt>
                <c:pt idx="15">
                  <c:v>1.212280701754386E-2</c:v>
                </c:pt>
                <c:pt idx="16">
                  <c:v>1.2245614035087719E-2</c:v>
                </c:pt>
                <c:pt idx="17">
                  <c:v>1.2368421052631579E-2</c:v>
                </c:pt>
                <c:pt idx="18">
                  <c:v>1.2526315789473684E-2</c:v>
                </c:pt>
                <c:pt idx="19">
                  <c:v>1.2649122807017544E-2</c:v>
                </c:pt>
                <c:pt idx="20">
                  <c:v>1.2894736842105263E-2</c:v>
                </c:pt>
                <c:pt idx="21">
                  <c:v>1.3052631578947368E-2</c:v>
                </c:pt>
                <c:pt idx="22">
                  <c:v>1.3140350877192982E-2</c:v>
                </c:pt>
                <c:pt idx="23">
                  <c:v>1.331578947368421E-2</c:v>
                </c:pt>
                <c:pt idx="24">
                  <c:v>1.3456140350877194E-2</c:v>
                </c:pt>
                <c:pt idx="25">
                  <c:v>1.3543859649122808E-2</c:v>
                </c:pt>
                <c:pt idx="26">
                  <c:v>1.3578947368421053E-2</c:v>
                </c:pt>
                <c:pt idx="27">
                  <c:v>1.3719298245614036E-2</c:v>
                </c:pt>
                <c:pt idx="28">
                  <c:v>1.3771929824561404E-2</c:v>
                </c:pt>
                <c:pt idx="29">
                  <c:v>1.3877192982456141E-2</c:v>
                </c:pt>
                <c:pt idx="30">
                  <c:v>1.3920983539332629E-2</c:v>
                </c:pt>
                <c:pt idx="31">
                  <c:v>1.3964912280701755E-2</c:v>
                </c:pt>
                <c:pt idx="32">
                  <c:v>1.3982456140350877E-2</c:v>
                </c:pt>
                <c:pt idx="33">
                  <c:v>1.399998900760242E-2</c:v>
                </c:pt>
                <c:pt idx="34">
                  <c:v>1.4017543859649123E-2</c:v>
                </c:pt>
                <c:pt idx="35">
                  <c:v>1.412280701754386E-2</c:v>
                </c:pt>
                <c:pt idx="36">
                  <c:v>1.4192982456140351E-2</c:v>
                </c:pt>
                <c:pt idx="37">
                  <c:v>1.4263157894736842E-2</c:v>
                </c:pt>
                <c:pt idx="38">
                  <c:v>1.4315789473684211E-2</c:v>
                </c:pt>
                <c:pt idx="39">
                  <c:v>1.4350877192982456E-2</c:v>
                </c:pt>
                <c:pt idx="40">
                  <c:v>1.4385964912280702E-2</c:v>
                </c:pt>
                <c:pt idx="41">
                  <c:v>1.4543859649122807E-2</c:v>
                </c:pt>
                <c:pt idx="42">
                  <c:v>1.4649122807017544E-2</c:v>
                </c:pt>
                <c:pt idx="43">
                  <c:v>1.4736842105263158E-2</c:v>
                </c:pt>
                <c:pt idx="44">
                  <c:v>1.4771929824561403E-2</c:v>
                </c:pt>
                <c:pt idx="45">
                  <c:v>1.4807017543859649E-2</c:v>
                </c:pt>
                <c:pt idx="46">
                  <c:v>1.4859649122807017E-2</c:v>
                </c:pt>
                <c:pt idx="47">
                  <c:v>1.4947368421052631E-2</c:v>
                </c:pt>
                <c:pt idx="48">
                  <c:v>1.5034831826518985E-2</c:v>
                </c:pt>
                <c:pt idx="49">
                  <c:v>1.5122807017543859E-2</c:v>
                </c:pt>
                <c:pt idx="50">
                  <c:v>1.5122807017543859E-2</c:v>
                </c:pt>
                <c:pt idx="51">
                  <c:v>1.5140350877192982E-2</c:v>
                </c:pt>
                <c:pt idx="52">
                  <c:v>1.5175438596491227E-2</c:v>
                </c:pt>
                <c:pt idx="53">
                  <c:v>1.5210526315789473E-2</c:v>
                </c:pt>
                <c:pt idx="54">
                  <c:v>1.5298245614035087E-2</c:v>
                </c:pt>
                <c:pt idx="55">
                  <c:v>1.5333333333333332E-2</c:v>
                </c:pt>
                <c:pt idx="56">
                  <c:v>1.5368421052631578E-2</c:v>
                </c:pt>
                <c:pt idx="57">
                  <c:v>1.5385954910076967E-2</c:v>
                </c:pt>
                <c:pt idx="58">
                  <c:v>1.5403508771929825E-2</c:v>
                </c:pt>
                <c:pt idx="59">
                  <c:v>1.5421052631578948E-2</c:v>
                </c:pt>
                <c:pt idx="60">
                  <c:v>1.5421052631578948E-2</c:v>
                </c:pt>
                <c:pt idx="61">
                  <c:v>1.5438596491228071E-2</c:v>
                </c:pt>
                <c:pt idx="62">
                  <c:v>1.5438596491228071E-2</c:v>
                </c:pt>
                <c:pt idx="63">
                  <c:v>1.5456140350877194E-2</c:v>
                </c:pt>
                <c:pt idx="64">
                  <c:v>1.5491228070175439E-2</c:v>
                </c:pt>
                <c:pt idx="65">
                  <c:v>1.5578947368421053E-2</c:v>
                </c:pt>
                <c:pt idx="66">
                  <c:v>1.5614035087719299E-2</c:v>
                </c:pt>
                <c:pt idx="67">
                  <c:v>1.5666666666666666E-2</c:v>
                </c:pt>
                <c:pt idx="68">
                  <c:v>1.5754385964912281E-2</c:v>
                </c:pt>
                <c:pt idx="69">
                  <c:v>1.576315545402162E-2</c:v>
                </c:pt>
                <c:pt idx="70">
                  <c:v>1.5771929824561402E-2</c:v>
                </c:pt>
                <c:pt idx="71">
                  <c:v>1.5789473684210527E-2</c:v>
                </c:pt>
                <c:pt idx="72">
                  <c:v>1.5894736842105264E-2</c:v>
                </c:pt>
                <c:pt idx="73">
                  <c:v>1.5921030882977749E-2</c:v>
                </c:pt>
                <c:pt idx="74">
                  <c:v>1.594736842105263E-2</c:v>
                </c:pt>
                <c:pt idx="75">
                  <c:v>1.6017543859649121E-2</c:v>
                </c:pt>
                <c:pt idx="76">
                  <c:v>1.6087719298245613E-2</c:v>
                </c:pt>
                <c:pt idx="77">
                  <c:v>1.6157894736842104E-2</c:v>
                </c:pt>
                <c:pt idx="78">
                  <c:v>1.6228070175438595E-2</c:v>
                </c:pt>
                <c:pt idx="79">
                  <c:v>1.626315789473684E-2</c:v>
                </c:pt>
                <c:pt idx="80">
                  <c:v>1.6298245614035086E-2</c:v>
                </c:pt>
                <c:pt idx="81">
                  <c:v>1.6403508771929826E-2</c:v>
                </c:pt>
                <c:pt idx="82">
                  <c:v>1.6526315789473684E-2</c:v>
                </c:pt>
                <c:pt idx="83">
                  <c:v>1.6684210526315791E-2</c:v>
                </c:pt>
                <c:pt idx="84">
                  <c:v>1.6824561403508773E-2</c:v>
                </c:pt>
                <c:pt idx="85">
                  <c:v>1.687719298245614E-2</c:v>
                </c:pt>
                <c:pt idx="86">
                  <c:v>1.6912280701754386E-2</c:v>
                </c:pt>
                <c:pt idx="87">
                  <c:v>1.6912280701754386E-2</c:v>
                </c:pt>
                <c:pt idx="88">
                  <c:v>1.7000000000000001E-2</c:v>
                </c:pt>
                <c:pt idx="89">
                  <c:v>1.7070175438596492E-2</c:v>
                </c:pt>
                <c:pt idx="90">
                  <c:v>1.7263157894736841E-2</c:v>
                </c:pt>
                <c:pt idx="91">
                  <c:v>1.7350877192982457E-2</c:v>
                </c:pt>
                <c:pt idx="92">
                  <c:v>1.7491228070175439E-2</c:v>
                </c:pt>
                <c:pt idx="93">
                  <c:v>1.7491228070175439E-2</c:v>
                </c:pt>
                <c:pt idx="94">
                  <c:v>1.7526315789473685E-2</c:v>
                </c:pt>
                <c:pt idx="95">
                  <c:v>1.7561403508771931E-2</c:v>
                </c:pt>
                <c:pt idx="96">
                  <c:v>1.7719298245614034E-2</c:v>
                </c:pt>
                <c:pt idx="97">
                  <c:v>1.7877192982456141E-2</c:v>
                </c:pt>
                <c:pt idx="98">
                  <c:v>1.8035087719298244E-2</c:v>
                </c:pt>
                <c:pt idx="99">
                  <c:v>1.8140350877192981E-2</c:v>
                </c:pt>
                <c:pt idx="100">
                  <c:v>1.8192982456140351E-2</c:v>
                </c:pt>
                <c:pt idx="101">
                  <c:v>1.8410974686845549E-2</c:v>
                </c:pt>
                <c:pt idx="102">
                  <c:v>1.8631578947368423E-2</c:v>
                </c:pt>
                <c:pt idx="103">
                  <c:v>1.8807017543859651E-2</c:v>
                </c:pt>
                <c:pt idx="104">
                  <c:v>1.8964912280701754E-2</c:v>
                </c:pt>
                <c:pt idx="105">
                  <c:v>1.9087719298245615E-2</c:v>
                </c:pt>
                <c:pt idx="106">
                  <c:v>1.9140350877192982E-2</c:v>
                </c:pt>
                <c:pt idx="107">
                  <c:v>1.9263157894736843E-2</c:v>
                </c:pt>
                <c:pt idx="108">
                  <c:v>1.936842105263158E-2</c:v>
                </c:pt>
                <c:pt idx="109">
                  <c:v>1.9596491228070174E-2</c:v>
                </c:pt>
                <c:pt idx="110">
                  <c:v>1.9929824561403509E-2</c:v>
                </c:pt>
                <c:pt idx="111">
                  <c:v>2.0070175438596492E-2</c:v>
                </c:pt>
                <c:pt idx="112">
                  <c:v>2.0087719298245613E-2</c:v>
                </c:pt>
                <c:pt idx="113">
                  <c:v>2.0192982456140349E-2</c:v>
                </c:pt>
                <c:pt idx="114">
                  <c:v>2.0210526315789474E-2</c:v>
                </c:pt>
                <c:pt idx="115">
                  <c:v>2.0315789473684211E-2</c:v>
                </c:pt>
                <c:pt idx="116">
                  <c:v>2.0508771929824563E-2</c:v>
                </c:pt>
                <c:pt idx="117">
                  <c:v>2.0561336147425734E-2</c:v>
                </c:pt>
                <c:pt idx="118">
                  <c:v>2.06140350877193E-2</c:v>
                </c:pt>
                <c:pt idx="119">
                  <c:v>2.1052631578947368E-2</c:v>
                </c:pt>
                <c:pt idx="120">
                  <c:v>2.1105263157894738E-2</c:v>
                </c:pt>
                <c:pt idx="121">
                  <c:v>2.1210526315789475E-2</c:v>
                </c:pt>
                <c:pt idx="122">
                  <c:v>2.1368421052631578E-2</c:v>
                </c:pt>
                <c:pt idx="123">
                  <c:v>2.1421052631578948E-2</c:v>
                </c:pt>
                <c:pt idx="124">
                  <c:v>2.1543859649122806E-2</c:v>
                </c:pt>
                <c:pt idx="125">
                  <c:v>2.1684210526315788E-2</c:v>
                </c:pt>
                <c:pt idx="126">
                  <c:v>2.1719298245614034E-2</c:v>
                </c:pt>
                <c:pt idx="127">
                  <c:v>2.1771929824561404E-2</c:v>
                </c:pt>
                <c:pt idx="128">
                  <c:v>2.1824561403508771E-2</c:v>
                </c:pt>
                <c:pt idx="129">
                  <c:v>2.1912280701754386E-2</c:v>
                </c:pt>
                <c:pt idx="130">
                  <c:v>2.2192982456140351E-2</c:v>
                </c:pt>
                <c:pt idx="131">
                  <c:v>2.2245614035087718E-2</c:v>
                </c:pt>
                <c:pt idx="132">
                  <c:v>2.2368421052631579E-2</c:v>
                </c:pt>
                <c:pt idx="133">
                  <c:v>2.2473684210526316E-2</c:v>
                </c:pt>
                <c:pt idx="134">
                  <c:v>2.2508771929824561E-2</c:v>
                </c:pt>
                <c:pt idx="135">
                  <c:v>2.2543859649122807E-2</c:v>
                </c:pt>
                <c:pt idx="136">
                  <c:v>2.2684210526315789E-2</c:v>
                </c:pt>
                <c:pt idx="137">
                  <c:v>2.2771929824561405E-2</c:v>
                </c:pt>
                <c:pt idx="138">
                  <c:v>2.2789473684210526E-2</c:v>
                </c:pt>
                <c:pt idx="139">
                  <c:v>2.2912280701754387E-2</c:v>
                </c:pt>
                <c:pt idx="140">
                  <c:v>2.305263157894737E-2</c:v>
                </c:pt>
                <c:pt idx="141">
                  <c:v>2.3122807017543861E-2</c:v>
                </c:pt>
                <c:pt idx="142">
                  <c:v>2.3228070175438598E-2</c:v>
                </c:pt>
                <c:pt idx="143">
                  <c:v>2.3298245614035089E-2</c:v>
                </c:pt>
                <c:pt idx="144">
                  <c:v>2.3421052631578947E-2</c:v>
                </c:pt>
                <c:pt idx="145">
                  <c:v>2.3561403508771929E-2</c:v>
                </c:pt>
                <c:pt idx="146">
                  <c:v>2.3614035087719299E-2</c:v>
                </c:pt>
                <c:pt idx="147">
                  <c:v>2.3754385964912281E-2</c:v>
                </c:pt>
                <c:pt idx="148">
                  <c:v>2.3842105263157894E-2</c:v>
                </c:pt>
                <c:pt idx="149">
                  <c:v>2.4140350877192983E-2</c:v>
                </c:pt>
                <c:pt idx="150">
                  <c:v>2.4280701754385965E-2</c:v>
                </c:pt>
                <c:pt idx="151">
                  <c:v>2.4456140350877193E-2</c:v>
                </c:pt>
                <c:pt idx="152">
                  <c:v>2.4824561403508773E-2</c:v>
                </c:pt>
                <c:pt idx="153">
                  <c:v>2.5070175438596493E-2</c:v>
                </c:pt>
                <c:pt idx="154">
                  <c:v>2.5315789473684212E-2</c:v>
                </c:pt>
                <c:pt idx="155">
                  <c:v>2.5543859649122806E-2</c:v>
                </c:pt>
                <c:pt idx="156">
                  <c:v>2.5701754385964913E-2</c:v>
                </c:pt>
                <c:pt idx="157">
                  <c:v>2.5964912280701753E-2</c:v>
                </c:pt>
                <c:pt idx="158">
                  <c:v>2.6226749952103657E-2</c:v>
                </c:pt>
                <c:pt idx="159">
                  <c:v>2.6491228070175437E-2</c:v>
                </c:pt>
                <c:pt idx="160">
                  <c:v>2.6807017543859651E-2</c:v>
                </c:pt>
                <c:pt idx="161">
                  <c:v>2.7139658579783531E-2</c:v>
                </c:pt>
                <c:pt idx="162">
                  <c:v>2.7476427268423673E-2</c:v>
                </c:pt>
                <c:pt idx="163">
                  <c:v>2.7817374828707157E-2</c:v>
                </c:pt>
                <c:pt idx="164">
                  <c:v>2.8162553115122786E-2</c:v>
                </c:pt>
                <c:pt idx="165">
                  <c:v>2.8512014625607835E-2</c:v>
                </c:pt>
                <c:pt idx="166">
                  <c:v>2.8865812509532098E-2</c:v>
                </c:pt>
                <c:pt idx="167">
                  <c:v>2.922400057578171E-2</c:v>
                </c:pt>
                <c:pt idx="168">
                  <c:v>2.9586633300942685E-2</c:v>
                </c:pt>
                <c:pt idx="169">
                  <c:v>2.9953765837586212E-2</c:v>
                </c:pt>
                <c:pt idx="170">
                  <c:v>3.0325454022656927E-2</c:v>
                </c:pt>
                <c:pt idx="171">
                  <c:v>3.0701754385964911E-2</c:v>
                </c:pt>
                <c:pt idx="172">
                  <c:v>3.1185325918358681E-2</c:v>
                </c:pt>
                <c:pt idx="173">
                  <c:v>3.1676514000087135E-2</c:v>
                </c:pt>
                <c:pt idx="174">
                  <c:v>3.2175438596491225E-2</c:v>
                </c:pt>
                <c:pt idx="175">
                  <c:v>3.2628390713895769E-2</c:v>
                </c:pt>
                <c:pt idx="176">
                  <c:v>3.3087719298245617E-2</c:v>
                </c:pt>
                <c:pt idx="177">
                  <c:v>3.3571829745108042E-2</c:v>
                </c:pt>
                <c:pt idx="178">
                  <c:v>3.4063023270820676E-2</c:v>
                </c:pt>
                <c:pt idx="179">
                  <c:v>3.4561403508771932E-2</c:v>
                </c:pt>
                <c:pt idx="180">
                  <c:v>3.5333333333333335E-2</c:v>
                </c:pt>
                <c:pt idx="181">
                  <c:v>3.6114178907025632E-2</c:v>
                </c:pt>
                <c:pt idx="182">
                  <c:v>3.6912280701754389E-2</c:v>
                </c:pt>
                <c:pt idx="183">
                  <c:v>3.7684210526315792E-2</c:v>
                </c:pt>
                <c:pt idx="184">
                  <c:v>3.8280701754385964E-2</c:v>
                </c:pt>
                <c:pt idx="185">
                  <c:v>3.9122807017543858E-2</c:v>
                </c:pt>
                <c:pt idx="186">
                  <c:v>3.9807017543859652E-2</c:v>
                </c:pt>
                <c:pt idx="187">
                  <c:v>4.0807017543859646E-2</c:v>
                </c:pt>
                <c:pt idx="188">
                  <c:v>4.1877192982456138E-2</c:v>
                </c:pt>
                <c:pt idx="189">
                  <c:v>4.2666666666666665E-2</c:v>
                </c:pt>
                <c:pt idx="190">
                  <c:v>4.3614035087719299E-2</c:v>
                </c:pt>
                <c:pt idx="191">
                  <c:v>4.4280701754385962E-2</c:v>
                </c:pt>
                <c:pt idx="192">
                  <c:v>4.5192982456140354E-2</c:v>
                </c:pt>
                <c:pt idx="193">
                  <c:v>4.5473684210526319E-2</c:v>
                </c:pt>
                <c:pt idx="194">
                  <c:v>4.6666666666666669E-2</c:v>
                </c:pt>
                <c:pt idx="195">
                  <c:v>4.7473684210526314E-2</c:v>
                </c:pt>
                <c:pt idx="196">
                  <c:v>4.8122807017543859E-2</c:v>
                </c:pt>
                <c:pt idx="197">
                  <c:v>4.8596491228070172E-2</c:v>
                </c:pt>
                <c:pt idx="198">
                  <c:v>4.9087719298245611E-2</c:v>
                </c:pt>
                <c:pt idx="199">
                  <c:v>4.9421052631578949E-2</c:v>
                </c:pt>
                <c:pt idx="200">
                  <c:v>5.0596491228070174E-2</c:v>
                </c:pt>
                <c:pt idx="201">
                  <c:v>5.131578947368421E-2</c:v>
                </c:pt>
                <c:pt idx="202">
                  <c:v>5.1526315789473684E-2</c:v>
                </c:pt>
                <c:pt idx="203">
                  <c:v>5.187719298245614E-2</c:v>
                </c:pt>
                <c:pt idx="204">
                  <c:v>5.2280701754385962E-2</c:v>
                </c:pt>
                <c:pt idx="205">
                  <c:v>5.27719298245614E-2</c:v>
                </c:pt>
                <c:pt idx="206">
                  <c:v>5.3614035087719301E-2</c:v>
                </c:pt>
                <c:pt idx="207">
                  <c:v>5.4280701754385964E-2</c:v>
                </c:pt>
                <c:pt idx="208">
                  <c:v>5.5140350877192983E-2</c:v>
                </c:pt>
                <c:pt idx="209">
                  <c:v>5.5754385964912279E-2</c:v>
                </c:pt>
                <c:pt idx="210">
                  <c:v>5.6315789473684208E-2</c:v>
                </c:pt>
                <c:pt idx="211">
                  <c:v>5.6894736842105262E-2</c:v>
                </c:pt>
                <c:pt idx="212">
                  <c:v>5.7508771929824565E-2</c:v>
                </c:pt>
                <c:pt idx="213">
                  <c:v>5.7807017543859647E-2</c:v>
                </c:pt>
                <c:pt idx="214">
                  <c:v>5.8298245614035085E-2</c:v>
                </c:pt>
                <c:pt idx="215">
                  <c:v>5.9122807017543862E-2</c:v>
                </c:pt>
                <c:pt idx="216">
                  <c:v>5.9719298245614033E-2</c:v>
                </c:pt>
                <c:pt idx="217">
                  <c:v>6.054385964912281E-2</c:v>
                </c:pt>
                <c:pt idx="218">
                  <c:v>6.1017543859649123E-2</c:v>
                </c:pt>
                <c:pt idx="219">
                  <c:v>6.1561403508771928E-2</c:v>
                </c:pt>
                <c:pt idx="220">
                  <c:v>6.2070175438596491E-2</c:v>
                </c:pt>
                <c:pt idx="221">
                  <c:v>6.2842105263157894E-2</c:v>
                </c:pt>
              </c:numCache>
            </c:numRef>
          </c:xVal>
          <c:yVal>
            <c:numRef>
              <c:f>[0]!zip_percent_increase</c:f>
              <c:numCache>
                <c:formatCode>0.0%</c:formatCode>
                <c:ptCount val="222"/>
                <c:pt idx="0">
                  <c:v>3.0567685589519611E-2</c:v>
                </c:pt>
                <c:pt idx="1">
                  <c:v>1.9067796610169552E-2</c:v>
                </c:pt>
                <c:pt idx="2">
                  <c:v>1.4553014553014609E-2</c:v>
                </c:pt>
                <c:pt idx="3">
                  <c:v>2.8688524590164022E-2</c:v>
                </c:pt>
                <c:pt idx="4">
                  <c:v>1.9920318725099584E-2</c:v>
                </c:pt>
                <c:pt idx="5">
                  <c:v>6.25E-2</c:v>
                </c:pt>
                <c:pt idx="6">
                  <c:v>2.2058823529411686E-2</c:v>
                </c:pt>
                <c:pt idx="7">
                  <c:v>1.618705035971213E-2</c:v>
                </c:pt>
                <c:pt idx="8">
                  <c:v>2.3008849557522026E-2</c:v>
                </c:pt>
                <c:pt idx="9">
                  <c:v>3.2871972318339049E-2</c:v>
                </c:pt>
                <c:pt idx="10">
                  <c:v>2.0100502512562901E-2</c:v>
                </c:pt>
                <c:pt idx="11">
                  <c:v>2.6272577996715896E-2</c:v>
                </c:pt>
                <c:pt idx="12">
                  <c:v>1.9200000000000106E-2</c:v>
                </c:pt>
                <c:pt idx="13">
                  <c:v>1.8838304552590168E-2</c:v>
                </c:pt>
                <c:pt idx="14">
                  <c:v>3.5439137134052334E-2</c:v>
                </c:pt>
                <c:pt idx="15">
                  <c:v>2.8273809523809534E-2</c:v>
                </c:pt>
                <c:pt idx="16">
                  <c:v>1.013024602026058E-2</c:v>
                </c:pt>
                <c:pt idx="17">
                  <c:v>1.0028653295129031E-2</c:v>
                </c:pt>
                <c:pt idx="18">
                  <c:v>1.2765957446808418E-2</c:v>
                </c:pt>
                <c:pt idx="19">
                  <c:v>9.8039215686274161E-3</c:v>
                </c:pt>
                <c:pt idx="20">
                  <c:v>1.9417475728155331E-2</c:v>
                </c:pt>
                <c:pt idx="21">
                  <c:v>1.2244897959183598E-2</c:v>
                </c:pt>
                <c:pt idx="22">
                  <c:v>6.7204301075269868E-3</c:v>
                </c:pt>
                <c:pt idx="23">
                  <c:v>1.3351134846461887E-2</c:v>
                </c:pt>
                <c:pt idx="24">
                  <c:v>1.0540184453228019E-2</c:v>
                </c:pt>
                <c:pt idx="25">
                  <c:v>6.5189048239895353E-3</c:v>
                </c:pt>
                <c:pt idx="26">
                  <c:v>2.5906735751295429E-3</c:v>
                </c:pt>
                <c:pt idx="27">
                  <c:v>1.0335917312661591E-2</c:v>
                </c:pt>
                <c:pt idx="28">
                  <c:v>3.8363171355497716E-3</c:v>
                </c:pt>
                <c:pt idx="29">
                  <c:v>7.6433121019108263E-3</c:v>
                </c:pt>
                <c:pt idx="30">
                  <c:v>3.155577423463729E-3</c:v>
                </c:pt>
                <c:pt idx="31">
                  <c:v>3.155577423463507E-3</c:v>
                </c:pt>
                <c:pt idx="32">
                  <c:v>1.2562814070351536E-3</c:v>
                </c:pt>
                <c:pt idx="33">
                  <c:v>1.2539189878770785E-3</c:v>
                </c:pt>
                <c:pt idx="34">
                  <c:v>1.2539189878770785E-3</c:v>
                </c:pt>
                <c:pt idx="35">
                  <c:v>7.509386733416834E-3</c:v>
                </c:pt>
                <c:pt idx="36">
                  <c:v>4.9689440993789802E-3</c:v>
                </c:pt>
                <c:pt idx="37">
                  <c:v>4.9443757725586845E-3</c:v>
                </c:pt>
                <c:pt idx="38">
                  <c:v>3.6900369003689537E-3</c:v>
                </c:pt>
                <c:pt idx="39">
                  <c:v>2.450980392156854E-3</c:v>
                </c:pt>
                <c:pt idx="40">
                  <c:v>2.4449877750611915E-3</c:v>
                </c:pt>
                <c:pt idx="41">
                  <c:v>1.0975609756097571E-2</c:v>
                </c:pt>
                <c:pt idx="42">
                  <c:v>7.2376357056693763E-3</c:v>
                </c:pt>
                <c:pt idx="43">
                  <c:v>5.9880239520957446E-3</c:v>
                </c:pt>
                <c:pt idx="44">
                  <c:v>2.3809523809523725E-3</c:v>
                </c:pt>
                <c:pt idx="45">
                  <c:v>2.3752969121140222E-3</c:v>
                </c:pt>
                <c:pt idx="46">
                  <c:v>3.5545023696681444E-3</c:v>
                </c:pt>
                <c:pt idx="47">
                  <c:v>5.9031877213695516E-3</c:v>
                </c:pt>
                <c:pt idx="48">
                  <c:v>5.851425013594147E-3</c:v>
                </c:pt>
                <c:pt idx="49">
                  <c:v>5.851425013594147E-3</c:v>
                </c:pt>
                <c:pt idx="50">
                  <c:v>0</c:v>
                </c:pt>
                <c:pt idx="51">
                  <c:v>1.1600928074246841E-3</c:v>
                </c:pt>
                <c:pt idx="52">
                  <c:v>2.3174971031285629E-3</c:v>
                </c:pt>
                <c:pt idx="53">
                  <c:v>2.3121387283238093E-3</c:v>
                </c:pt>
                <c:pt idx="54">
                  <c:v>5.7670126874278527E-3</c:v>
                </c:pt>
                <c:pt idx="55">
                  <c:v>2.2935779816513069E-3</c:v>
                </c:pt>
                <c:pt idx="56">
                  <c:v>2.2883295194509046E-3</c:v>
                </c:pt>
                <c:pt idx="57">
                  <c:v>1.140901683090334E-3</c:v>
                </c:pt>
                <c:pt idx="58">
                  <c:v>1.140901683090112E-3</c:v>
                </c:pt>
                <c:pt idx="59">
                  <c:v>1.138952164009055E-3</c:v>
                </c:pt>
                <c:pt idx="60">
                  <c:v>0</c:v>
                </c:pt>
                <c:pt idx="61">
                  <c:v>1.1376564277587597E-3</c:v>
                </c:pt>
                <c:pt idx="62">
                  <c:v>0</c:v>
                </c:pt>
                <c:pt idx="63">
                  <c:v>1.1363636363637131E-3</c:v>
                </c:pt>
                <c:pt idx="64">
                  <c:v>2.2701475595914289E-3</c:v>
                </c:pt>
                <c:pt idx="65">
                  <c:v>5.6625141562853809E-3</c:v>
                </c:pt>
                <c:pt idx="66">
                  <c:v>2.2522522522523403E-3</c:v>
                </c:pt>
                <c:pt idx="67">
                  <c:v>3.370786516853963E-3</c:v>
                </c:pt>
                <c:pt idx="68">
                  <c:v>5.5991041433369748E-3</c:v>
                </c:pt>
                <c:pt idx="69">
                  <c:v>5.5663795014737616E-4</c:v>
                </c:pt>
                <c:pt idx="70">
                  <c:v>5.5663795014737616E-4</c:v>
                </c:pt>
                <c:pt idx="71">
                  <c:v>1.1123470522802492E-3</c:v>
                </c:pt>
                <c:pt idx="72">
                  <c:v>6.6666666666665986E-3</c:v>
                </c:pt>
                <c:pt idx="73">
                  <c:v>1.6542608495935252E-3</c:v>
                </c:pt>
                <c:pt idx="74">
                  <c:v>1.6542608495935252E-3</c:v>
                </c:pt>
                <c:pt idx="75">
                  <c:v>4.4004400440043057E-3</c:v>
                </c:pt>
                <c:pt idx="76">
                  <c:v>4.3811610076669449E-3</c:v>
                </c:pt>
                <c:pt idx="77">
                  <c:v>4.362050163576825E-3</c:v>
                </c:pt>
                <c:pt idx="78">
                  <c:v>4.3431053203040193E-3</c:v>
                </c:pt>
                <c:pt idx="79">
                  <c:v>2.1621621621621401E-3</c:v>
                </c:pt>
                <c:pt idx="80">
                  <c:v>2.1574973031284195E-3</c:v>
                </c:pt>
                <c:pt idx="81">
                  <c:v>6.4585575888052027E-3</c:v>
                </c:pt>
                <c:pt idx="82">
                  <c:v>7.4866310160428551E-3</c:v>
                </c:pt>
                <c:pt idx="83">
                  <c:v>9.5541401273886439E-3</c:v>
                </c:pt>
                <c:pt idx="84">
                  <c:v>8.4121976866455839E-3</c:v>
                </c:pt>
                <c:pt idx="85">
                  <c:v>3.1282586027112647E-3</c:v>
                </c:pt>
                <c:pt idx="86">
                  <c:v>2.0790020790020236E-3</c:v>
                </c:pt>
                <c:pt idx="87">
                  <c:v>0</c:v>
                </c:pt>
                <c:pt idx="88">
                  <c:v>5.1867219917012264E-3</c:v>
                </c:pt>
                <c:pt idx="89">
                  <c:v>4.1279669762641635E-3</c:v>
                </c:pt>
                <c:pt idx="90">
                  <c:v>1.1305241521068821E-2</c:v>
                </c:pt>
                <c:pt idx="91">
                  <c:v>5.0813008130081716E-3</c:v>
                </c:pt>
                <c:pt idx="92">
                  <c:v>8.0889787664306656E-3</c:v>
                </c:pt>
                <c:pt idx="93">
                  <c:v>0</c:v>
                </c:pt>
                <c:pt idx="94">
                  <c:v>2.0060180541625616E-3</c:v>
                </c:pt>
                <c:pt idx="95">
                  <c:v>2.0020020020019569E-3</c:v>
                </c:pt>
                <c:pt idx="96">
                  <c:v>8.9910089910090196E-3</c:v>
                </c:pt>
                <c:pt idx="97">
                  <c:v>8.9108910891089188E-3</c:v>
                </c:pt>
                <c:pt idx="98">
                  <c:v>8.8321884200195377E-3</c:v>
                </c:pt>
                <c:pt idx="99">
                  <c:v>5.8365758754863606E-3</c:v>
                </c:pt>
                <c:pt idx="100">
                  <c:v>2.9013539651836506E-3</c:v>
                </c:pt>
                <c:pt idx="101">
                  <c:v>1.1982215188231615E-2</c:v>
                </c:pt>
                <c:pt idx="102">
                  <c:v>1.1982215188231837E-2</c:v>
                </c:pt>
                <c:pt idx="103">
                  <c:v>9.4161958568739212E-3</c:v>
                </c:pt>
                <c:pt idx="104">
                  <c:v>8.3955223880596286E-3</c:v>
                </c:pt>
                <c:pt idx="105">
                  <c:v>6.4754856614246403E-3</c:v>
                </c:pt>
                <c:pt idx="106">
                  <c:v>2.7573529411764053E-3</c:v>
                </c:pt>
                <c:pt idx="107">
                  <c:v>6.4161319890008173E-3</c:v>
                </c:pt>
                <c:pt idx="108">
                  <c:v>5.464480874316946E-3</c:v>
                </c:pt>
                <c:pt idx="109">
                  <c:v>1.1775362318840576E-2</c:v>
                </c:pt>
                <c:pt idx="110">
                  <c:v>1.7009847806624956E-2</c:v>
                </c:pt>
                <c:pt idx="111">
                  <c:v>7.0422535211267512E-3</c:v>
                </c:pt>
                <c:pt idx="112">
                  <c:v>8.7412587412583065E-4</c:v>
                </c:pt>
                <c:pt idx="113">
                  <c:v>5.2401746724890508E-3</c:v>
                </c:pt>
                <c:pt idx="114">
                  <c:v>8.6880973066905121E-4</c:v>
                </c:pt>
                <c:pt idx="115">
                  <c:v>5.2083333333332593E-3</c:v>
                </c:pt>
                <c:pt idx="116">
                  <c:v>9.4991364421417313E-3</c:v>
                </c:pt>
                <c:pt idx="117">
                  <c:v>2.5630114655832426E-3</c:v>
                </c:pt>
                <c:pt idx="118">
                  <c:v>2.5630114655832426E-3</c:v>
                </c:pt>
                <c:pt idx="119">
                  <c:v>2.1276595744680771E-2</c:v>
                </c:pt>
                <c:pt idx="120">
                  <c:v>2.4999999999999467E-3</c:v>
                </c:pt>
                <c:pt idx="121">
                  <c:v>4.9875311720697368E-3</c:v>
                </c:pt>
                <c:pt idx="122">
                  <c:v>7.4441687344912744E-3</c:v>
                </c:pt>
                <c:pt idx="123">
                  <c:v>2.4630541871921707E-3</c:v>
                </c:pt>
                <c:pt idx="124">
                  <c:v>5.7330057330058359E-3</c:v>
                </c:pt>
                <c:pt idx="125">
                  <c:v>6.514657980456029E-3</c:v>
                </c:pt>
                <c:pt idx="126">
                  <c:v>1.6181229773462036E-3</c:v>
                </c:pt>
                <c:pt idx="127">
                  <c:v>2.4232633279483995E-3</c:v>
                </c:pt>
                <c:pt idx="128">
                  <c:v>2.4174053182917099E-3</c:v>
                </c:pt>
                <c:pt idx="129">
                  <c:v>4.019292604501512E-3</c:v>
                </c:pt>
                <c:pt idx="130">
                  <c:v>1.2810248198558805E-2</c:v>
                </c:pt>
                <c:pt idx="131">
                  <c:v>2.3715415019762709E-3</c:v>
                </c:pt>
                <c:pt idx="132">
                  <c:v>5.5205047318611644E-3</c:v>
                </c:pt>
                <c:pt idx="133">
                  <c:v>4.7058823529411153E-3</c:v>
                </c:pt>
                <c:pt idx="134">
                  <c:v>1.5612802498048417E-3</c:v>
                </c:pt>
                <c:pt idx="135">
                  <c:v>1.5588464536242519E-3</c:v>
                </c:pt>
                <c:pt idx="136">
                  <c:v>6.225680933852118E-3</c:v>
                </c:pt>
                <c:pt idx="137">
                  <c:v>3.866976024748725E-3</c:v>
                </c:pt>
                <c:pt idx="138">
                  <c:v>7.7041602465333092E-4</c:v>
                </c:pt>
                <c:pt idx="139">
                  <c:v>5.388760585065544E-3</c:v>
                </c:pt>
                <c:pt idx="140">
                  <c:v>6.1255742725880857E-3</c:v>
                </c:pt>
                <c:pt idx="141">
                  <c:v>3.0441400304415112E-3</c:v>
                </c:pt>
                <c:pt idx="142">
                  <c:v>4.5523520485584168E-3</c:v>
                </c:pt>
                <c:pt idx="143">
                  <c:v>3.0211480362538623E-3</c:v>
                </c:pt>
                <c:pt idx="144">
                  <c:v>5.2710843373493521E-3</c:v>
                </c:pt>
                <c:pt idx="145">
                  <c:v>5.9925093632959836E-3</c:v>
                </c:pt>
                <c:pt idx="146">
                  <c:v>2.2338049143708627E-3</c:v>
                </c:pt>
                <c:pt idx="147">
                  <c:v>5.9435364041604544E-3</c:v>
                </c:pt>
                <c:pt idx="148">
                  <c:v>3.6927621861151394E-3</c:v>
                </c:pt>
                <c:pt idx="149">
                  <c:v>1.2509197939661432E-2</c:v>
                </c:pt>
                <c:pt idx="150">
                  <c:v>5.8139534883721034E-3</c:v>
                </c:pt>
                <c:pt idx="151">
                  <c:v>7.225433526011571E-3</c:v>
                </c:pt>
                <c:pt idx="152">
                  <c:v>1.5064562410330051E-2</c:v>
                </c:pt>
                <c:pt idx="153">
                  <c:v>9.8939929328620835E-3</c:v>
                </c:pt>
                <c:pt idx="154">
                  <c:v>9.7970608817354865E-3</c:v>
                </c:pt>
                <c:pt idx="155">
                  <c:v>9.009009009008917E-3</c:v>
                </c:pt>
                <c:pt idx="156">
                  <c:v>6.1813186813186594E-3</c:v>
                </c:pt>
                <c:pt idx="157">
                  <c:v>1.0238907849829282E-2</c:v>
                </c:pt>
                <c:pt idx="158">
                  <c:v>1.0084288695884069E-2</c:v>
                </c:pt>
                <c:pt idx="159">
                  <c:v>1.0084288695884291E-2</c:v>
                </c:pt>
                <c:pt idx="160">
                  <c:v>1.192052980132452E-2</c:v>
                </c:pt>
                <c:pt idx="161">
                  <c:v>1.2408729743233815E-2</c:v>
                </c:pt>
                <c:pt idx="162">
                  <c:v>1.2408729743232705E-2</c:v>
                </c:pt>
                <c:pt idx="163">
                  <c:v>1.2408729743233593E-2</c:v>
                </c:pt>
                <c:pt idx="164">
                  <c:v>1.2408729743232705E-2</c:v>
                </c:pt>
                <c:pt idx="165">
                  <c:v>1.2408729743234481E-2</c:v>
                </c:pt>
                <c:pt idx="166">
                  <c:v>1.2408729743232705E-2</c:v>
                </c:pt>
                <c:pt idx="167">
                  <c:v>1.2408729743232705E-2</c:v>
                </c:pt>
                <c:pt idx="168">
                  <c:v>1.2408729743233593E-2</c:v>
                </c:pt>
                <c:pt idx="169">
                  <c:v>1.2408729743232705E-2</c:v>
                </c:pt>
                <c:pt idx="170">
                  <c:v>1.2408729743233593E-2</c:v>
                </c:pt>
                <c:pt idx="171">
                  <c:v>1.2408729743232927E-2</c:v>
                </c:pt>
                <c:pt idx="172">
                  <c:v>1.5750615626539899E-2</c:v>
                </c:pt>
                <c:pt idx="173">
                  <c:v>1.5750615626540343E-2</c:v>
                </c:pt>
                <c:pt idx="174">
                  <c:v>1.5750615626540343E-2</c:v>
                </c:pt>
                <c:pt idx="175">
                  <c:v>1.4077573986945868E-2</c:v>
                </c:pt>
                <c:pt idx="176">
                  <c:v>1.4077573986945868E-2</c:v>
                </c:pt>
                <c:pt idx="177">
                  <c:v>1.4631121670815705E-2</c:v>
                </c:pt>
                <c:pt idx="178">
                  <c:v>1.463112167081726E-2</c:v>
                </c:pt>
                <c:pt idx="179">
                  <c:v>1.4631121670817038E-2</c:v>
                </c:pt>
                <c:pt idx="180">
                  <c:v>2.2335025380710638E-2</c:v>
                </c:pt>
                <c:pt idx="181">
                  <c:v>2.2099403029027354E-2</c:v>
                </c:pt>
                <c:pt idx="182">
                  <c:v>2.2099403029027131E-2</c:v>
                </c:pt>
                <c:pt idx="183">
                  <c:v>2.0912547528517011E-2</c:v>
                </c:pt>
                <c:pt idx="184">
                  <c:v>1.5828677839851091E-2</c:v>
                </c:pt>
                <c:pt idx="185">
                  <c:v>2.1998166819431786E-2</c:v>
                </c:pt>
                <c:pt idx="186">
                  <c:v>1.7488789237668056E-2</c:v>
                </c:pt>
                <c:pt idx="187">
                  <c:v>2.5121198765976294E-2</c:v>
                </c:pt>
                <c:pt idx="188">
                  <c:v>2.6225279449699102E-2</c:v>
                </c:pt>
                <c:pt idx="189">
                  <c:v>1.8852115626309285E-2</c:v>
                </c:pt>
                <c:pt idx="190">
                  <c:v>2.2203947368421018E-2</c:v>
                </c:pt>
                <c:pt idx="191">
                  <c:v>1.528559935639584E-2</c:v>
                </c:pt>
                <c:pt idx="192">
                  <c:v>2.0602218700475516E-2</c:v>
                </c:pt>
                <c:pt idx="193">
                  <c:v>6.2111801242235032E-3</c:v>
                </c:pt>
                <c:pt idx="194">
                  <c:v>2.6234567901234573E-2</c:v>
                </c:pt>
                <c:pt idx="195">
                  <c:v>1.7293233082706694E-2</c:v>
                </c:pt>
                <c:pt idx="196">
                  <c:v>1.3673318551367331E-2</c:v>
                </c:pt>
                <c:pt idx="197">
                  <c:v>9.843237331389032E-3</c:v>
                </c:pt>
                <c:pt idx="198">
                  <c:v>1.0108303249097395E-2</c:v>
                </c:pt>
                <c:pt idx="199">
                  <c:v>6.7905646890635829E-3</c:v>
                </c:pt>
                <c:pt idx="200">
                  <c:v>2.3784167554135704E-2</c:v>
                </c:pt>
                <c:pt idx="201">
                  <c:v>1.4216366158113836E-2</c:v>
                </c:pt>
                <c:pt idx="202">
                  <c:v>4.1025641025640436E-3</c:v>
                </c:pt>
                <c:pt idx="203">
                  <c:v>6.8096697310180421E-3</c:v>
                </c:pt>
                <c:pt idx="204">
                  <c:v>7.7781535339871422E-3</c:v>
                </c:pt>
                <c:pt idx="205">
                  <c:v>9.3959731543624692E-3</c:v>
                </c:pt>
                <c:pt idx="206">
                  <c:v>1.5957446808510634E-2</c:v>
                </c:pt>
                <c:pt idx="207">
                  <c:v>1.2434554973822065E-2</c:v>
                </c:pt>
                <c:pt idx="208">
                  <c:v>1.5837104072398134E-2</c:v>
                </c:pt>
                <c:pt idx="209">
                  <c:v>1.1135857461024523E-2</c:v>
                </c:pt>
                <c:pt idx="210">
                  <c:v>1.0069225928256875E-2</c:v>
                </c:pt>
                <c:pt idx="211">
                  <c:v>1.0280373831775602E-2</c:v>
                </c:pt>
                <c:pt idx="212">
                  <c:v>1.0792476102374327E-2</c:v>
                </c:pt>
                <c:pt idx="213">
                  <c:v>5.1860890787065461E-3</c:v>
                </c:pt>
                <c:pt idx="214">
                  <c:v>8.4977238239756225E-3</c:v>
                </c:pt>
                <c:pt idx="215">
                  <c:v>1.4143845922359288E-2</c:v>
                </c:pt>
                <c:pt idx="216">
                  <c:v>1.0089020771513413E-2</c:v>
                </c:pt>
                <c:pt idx="217">
                  <c:v>1.3807285546415971E-2</c:v>
                </c:pt>
                <c:pt idx="218">
                  <c:v>7.8238191828454706E-3</c:v>
                </c:pt>
                <c:pt idx="219">
                  <c:v>8.9131684876366801E-3</c:v>
                </c:pt>
                <c:pt idx="220">
                  <c:v>8.2644628099173278E-3</c:v>
                </c:pt>
                <c:pt idx="221">
                  <c:v>1.243640474844554E-2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FD-410E-B703-76C9DAA90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2702384"/>
        <c:axId val="1432236560"/>
      </c:scatterChart>
      <c:valAx>
        <c:axId val="143270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36560"/>
        <c:crosses val="autoZero"/>
        <c:crossBetween val="midCat"/>
      </c:valAx>
      <c:valAx>
        <c:axId val="143223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70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222"/>
                <c:pt idx="0">
                  <c:v>43960</c:v>
                </c:pt>
                <c:pt idx="1">
                  <c:v>43961</c:v>
                </c:pt>
                <c:pt idx="2">
                  <c:v>43962</c:v>
                </c:pt>
                <c:pt idx="3">
                  <c:v>43963</c:v>
                </c:pt>
                <c:pt idx="4">
                  <c:v>43964</c:v>
                </c:pt>
                <c:pt idx="5">
                  <c:v>43965</c:v>
                </c:pt>
                <c:pt idx="6">
                  <c:v>43966</c:v>
                </c:pt>
                <c:pt idx="7">
                  <c:v>43967</c:v>
                </c:pt>
                <c:pt idx="8">
                  <c:v>43968</c:v>
                </c:pt>
                <c:pt idx="9">
                  <c:v>43969</c:v>
                </c:pt>
                <c:pt idx="10">
                  <c:v>43970</c:v>
                </c:pt>
                <c:pt idx="11">
                  <c:v>43971</c:v>
                </c:pt>
                <c:pt idx="12">
                  <c:v>43972</c:v>
                </c:pt>
                <c:pt idx="13">
                  <c:v>43973</c:v>
                </c:pt>
                <c:pt idx="14">
                  <c:v>43974</c:v>
                </c:pt>
                <c:pt idx="15">
                  <c:v>43975</c:v>
                </c:pt>
                <c:pt idx="16">
                  <c:v>43976</c:v>
                </c:pt>
                <c:pt idx="17">
                  <c:v>43977</c:v>
                </c:pt>
                <c:pt idx="18">
                  <c:v>43978</c:v>
                </c:pt>
                <c:pt idx="19">
                  <c:v>43979</c:v>
                </c:pt>
                <c:pt idx="20">
                  <c:v>43980</c:v>
                </c:pt>
                <c:pt idx="21">
                  <c:v>43981</c:v>
                </c:pt>
                <c:pt idx="22">
                  <c:v>43982</c:v>
                </c:pt>
                <c:pt idx="23">
                  <c:v>43983</c:v>
                </c:pt>
                <c:pt idx="24">
                  <c:v>43984</c:v>
                </c:pt>
                <c:pt idx="25">
                  <c:v>43985</c:v>
                </c:pt>
                <c:pt idx="26">
                  <c:v>43986</c:v>
                </c:pt>
                <c:pt idx="27">
                  <c:v>43987</c:v>
                </c:pt>
                <c:pt idx="28">
                  <c:v>43988</c:v>
                </c:pt>
                <c:pt idx="29">
                  <c:v>43989</c:v>
                </c:pt>
                <c:pt idx="30">
                  <c:v>43990</c:v>
                </c:pt>
                <c:pt idx="31">
                  <c:v>43991</c:v>
                </c:pt>
                <c:pt idx="32">
                  <c:v>43992</c:v>
                </c:pt>
                <c:pt idx="33">
                  <c:v>43993</c:v>
                </c:pt>
                <c:pt idx="34">
                  <c:v>43994</c:v>
                </c:pt>
                <c:pt idx="35">
                  <c:v>43995</c:v>
                </c:pt>
                <c:pt idx="36">
                  <c:v>43996</c:v>
                </c:pt>
                <c:pt idx="37">
                  <c:v>43997</c:v>
                </c:pt>
                <c:pt idx="38">
                  <c:v>43998</c:v>
                </c:pt>
                <c:pt idx="39">
                  <c:v>43999</c:v>
                </c:pt>
                <c:pt idx="40">
                  <c:v>44000</c:v>
                </c:pt>
                <c:pt idx="41">
                  <c:v>44001</c:v>
                </c:pt>
                <c:pt idx="42">
                  <c:v>44002</c:v>
                </c:pt>
                <c:pt idx="43">
                  <c:v>44003</c:v>
                </c:pt>
                <c:pt idx="44">
                  <c:v>44004</c:v>
                </c:pt>
                <c:pt idx="45">
                  <c:v>44005</c:v>
                </c:pt>
                <c:pt idx="46">
                  <c:v>44006</c:v>
                </c:pt>
                <c:pt idx="47">
                  <c:v>44007</c:v>
                </c:pt>
                <c:pt idx="48">
                  <c:v>44008</c:v>
                </c:pt>
                <c:pt idx="49">
                  <c:v>44009</c:v>
                </c:pt>
                <c:pt idx="50">
                  <c:v>44010</c:v>
                </c:pt>
                <c:pt idx="51">
                  <c:v>44011</c:v>
                </c:pt>
                <c:pt idx="52">
                  <c:v>44012</c:v>
                </c:pt>
                <c:pt idx="53">
                  <c:v>44013</c:v>
                </c:pt>
                <c:pt idx="54">
                  <c:v>44014</c:v>
                </c:pt>
                <c:pt idx="55">
                  <c:v>44015</c:v>
                </c:pt>
                <c:pt idx="56">
                  <c:v>44016</c:v>
                </c:pt>
                <c:pt idx="57">
                  <c:v>44017</c:v>
                </c:pt>
                <c:pt idx="58">
                  <c:v>44018</c:v>
                </c:pt>
                <c:pt idx="59">
                  <c:v>44019</c:v>
                </c:pt>
                <c:pt idx="60">
                  <c:v>44020</c:v>
                </c:pt>
                <c:pt idx="61">
                  <c:v>44021</c:v>
                </c:pt>
                <c:pt idx="62">
                  <c:v>44022</c:v>
                </c:pt>
                <c:pt idx="63">
                  <c:v>44023</c:v>
                </c:pt>
                <c:pt idx="64">
                  <c:v>44024</c:v>
                </c:pt>
                <c:pt idx="65">
                  <c:v>44025</c:v>
                </c:pt>
                <c:pt idx="66">
                  <c:v>44026</c:v>
                </c:pt>
                <c:pt idx="67">
                  <c:v>44027</c:v>
                </c:pt>
                <c:pt idx="68">
                  <c:v>44028</c:v>
                </c:pt>
                <c:pt idx="69">
                  <c:v>44029</c:v>
                </c:pt>
                <c:pt idx="70">
                  <c:v>44030</c:v>
                </c:pt>
                <c:pt idx="71">
                  <c:v>44031</c:v>
                </c:pt>
                <c:pt idx="72">
                  <c:v>44032</c:v>
                </c:pt>
                <c:pt idx="73">
                  <c:v>44033</c:v>
                </c:pt>
                <c:pt idx="74">
                  <c:v>44034</c:v>
                </c:pt>
                <c:pt idx="75">
                  <c:v>44035</c:v>
                </c:pt>
                <c:pt idx="76">
                  <c:v>44036</c:v>
                </c:pt>
                <c:pt idx="77">
                  <c:v>44037</c:v>
                </c:pt>
                <c:pt idx="78">
                  <c:v>44038</c:v>
                </c:pt>
                <c:pt idx="79">
                  <c:v>44039</c:v>
                </c:pt>
                <c:pt idx="80">
                  <c:v>44040</c:v>
                </c:pt>
                <c:pt idx="81">
                  <c:v>44041</c:v>
                </c:pt>
                <c:pt idx="82">
                  <c:v>44042</c:v>
                </c:pt>
                <c:pt idx="83">
                  <c:v>44043</c:v>
                </c:pt>
                <c:pt idx="84">
                  <c:v>44044</c:v>
                </c:pt>
                <c:pt idx="85">
                  <c:v>44045</c:v>
                </c:pt>
                <c:pt idx="86">
                  <c:v>44046</c:v>
                </c:pt>
                <c:pt idx="87">
                  <c:v>44047</c:v>
                </c:pt>
                <c:pt idx="88">
                  <c:v>44048</c:v>
                </c:pt>
                <c:pt idx="89">
                  <c:v>44049</c:v>
                </c:pt>
                <c:pt idx="90">
                  <c:v>44050</c:v>
                </c:pt>
                <c:pt idx="91">
                  <c:v>44051</c:v>
                </c:pt>
                <c:pt idx="92">
                  <c:v>44052</c:v>
                </c:pt>
                <c:pt idx="93">
                  <c:v>44053</c:v>
                </c:pt>
                <c:pt idx="94">
                  <c:v>44054</c:v>
                </c:pt>
                <c:pt idx="95">
                  <c:v>44055</c:v>
                </c:pt>
                <c:pt idx="96">
                  <c:v>44056</c:v>
                </c:pt>
                <c:pt idx="97">
                  <c:v>44057</c:v>
                </c:pt>
                <c:pt idx="98">
                  <c:v>44058</c:v>
                </c:pt>
                <c:pt idx="99">
                  <c:v>44059</c:v>
                </c:pt>
                <c:pt idx="100">
                  <c:v>44060</c:v>
                </c:pt>
                <c:pt idx="101">
                  <c:v>44061</c:v>
                </c:pt>
                <c:pt idx="102">
                  <c:v>44062</c:v>
                </c:pt>
                <c:pt idx="103">
                  <c:v>44063</c:v>
                </c:pt>
                <c:pt idx="104">
                  <c:v>44064</c:v>
                </c:pt>
                <c:pt idx="105">
                  <c:v>44065</c:v>
                </c:pt>
                <c:pt idx="106">
                  <c:v>44066</c:v>
                </c:pt>
                <c:pt idx="107">
                  <c:v>44067</c:v>
                </c:pt>
                <c:pt idx="108">
                  <c:v>44068</c:v>
                </c:pt>
                <c:pt idx="109">
                  <c:v>44069</c:v>
                </c:pt>
                <c:pt idx="110">
                  <c:v>44070</c:v>
                </c:pt>
                <c:pt idx="111">
                  <c:v>44071</c:v>
                </c:pt>
                <c:pt idx="112">
                  <c:v>44072</c:v>
                </c:pt>
                <c:pt idx="113">
                  <c:v>44073</c:v>
                </c:pt>
                <c:pt idx="114">
                  <c:v>44074</c:v>
                </c:pt>
                <c:pt idx="115">
                  <c:v>44075</c:v>
                </c:pt>
                <c:pt idx="116">
                  <c:v>44076</c:v>
                </c:pt>
                <c:pt idx="117">
                  <c:v>44077</c:v>
                </c:pt>
                <c:pt idx="118">
                  <c:v>44078</c:v>
                </c:pt>
                <c:pt idx="119">
                  <c:v>44079</c:v>
                </c:pt>
                <c:pt idx="120">
                  <c:v>44080</c:v>
                </c:pt>
                <c:pt idx="121">
                  <c:v>44081</c:v>
                </c:pt>
                <c:pt idx="122">
                  <c:v>44082</c:v>
                </c:pt>
                <c:pt idx="123">
                  <c:v>44083</c:v>
                </c:pt>
                <c:pt idx="124">
                  <c:v>44084</c:v>
                </c:pt>
                <c:pt idx="125">
                  <c:v>44085</c:v>
                </c:pt>
                <c:pt idx="126">
                  <c:v>44086</c:v>
                </c:pt>
                <c:pt idx="127">
                  <c:v>44087</c:v>
                </c:pt>
                <c:pt idx="128">
                  <c:v>44088</c:v>
                </c:pt>
                <c:pt idx="129">
                  <c:v>44089</c:v>
                </c:pt>
                <c:pt idx="130">
                  <c:v>44090</c:v>
                </c:pt>
                <c:pt idx="131">
                  <c:v>44091</c:v>
                </c:pt>
                <c:pt idx="132">
                  <c:v>44092</c:v>
                </c:pt>
                <c:pt idx="133">
                  <c:v>44093</c:v>
                </c:pt>
                <c:pt idx="134">
                  <c:v>44094</c:v>
                </c:pt>
                <c:pt idx="135">
                  <c:v>44095</c:v>
                </c:pt>
                <c:pt idx="136">
                  <c:v>44096</c:v>
                </c:pt>
                <c:pt idx="137">
                  <c:v>44097</c:v>
                </c:pt>
                <c:pt idx="138">
                  <c:v>44098</c:v>
                </c:pt>
                <c:pt idx="139">
                  <c:v>44099</c:v>
                </c:pt>
                <c:pt idx="140">
                  <c:v>44100</c:v>
                </c:pt>
                <c:pt idx="141">
                  <c:v>44101</c:v>
                </c:pt>
                <c:pt idx="142">
                  <c:v>44102</c:v>
                </c:pt>
                <c:pt idx="143">
                  <c:v>44103</c:v>
                </c:pt>
                <c:pt idx="144">
                  <c:v>44104</c:v>
                </c:pt>
                <c:pt idx="145">
                  <c:v>44105</c:v>
                </c:pt>
                <c:pt idx="146">
                  <c:v>44106</c:v>
                </c:pt>
                <c:pt idx="147">
                  <c:v>44107</c:v>
                </c:pt>
                <c:pt idx="148">
                  <c:v>44108</c:v>
                </c:pt>
                <c:pt idx="149">
                  <c:v>44109</c:v>
                </c:pt>
                <c:pt idx="150">
                  <c:v>44110</c:v>
                </c:pt>
                <c:pt idx="151">
                  <c:v>44111</c:v>
                </c:pt>
                <c:pt idx="152">
                  <c:v>44112</c:v>
                </c:pt>
                <c:pt idx="153">
                  <c:v>44113</c:v>
                </c:pt>
                <c:pt idx="154">
                  <c:v>44114</c:v>
                </c:pt>
                <c:pt idx="155">
                  <c:v>44115</c:v>
                </c:pt>
                <c:pt idx="156">
                  <c:v>44116</c:v>
                </c:pt>
                <c:pt idx="157">
                  <c:v>44117</c:v>
                </c:pt>
                <c:pt idx="158">
                  <c:v>44118</c:v>
                </c:pt>
                <c:pt idx="159">
                  <c:v>44119</c:v>
                </c:pt>
                <c:pt idx="160">
                  <c:v>44120</c:v>
                </c:pt>
                <c:pt idx="161">
                  <c:v>44121</c:v>
                </c:pt>
                <c:pt idx="162">
                  <c:v>44122</c:v>
                </c:pt>
                <c:pt idx="163">
                  <c:v>44123</c:v>
                </c:pt>
                <c:pt idx="164">
                  <c:v>44124</c:v>
                </c:pt>
                <c:pt idx="165">
                  <c:v>44125</c:v>
                </c:pt>
                <c:pt idx="166">
                  <c:v>44126</c:v>
                </c:pt>
                <c:pt idx="167">
                  <c:v>44127</c:v>
                </c:pt>
                <c:pt idx="168">
                  <c:v>44128</c:v>
                </c:pt>
                <c:pt idx="169">
                  <c:v>44129</c:v>
                </c:pt>
                <c:pt idx="170">
                  <c:v>44130</c:v>
                </c:pt>
                <c:pt idx="171">
                  <c:v>44131</c:v>
                </c:pt>
                <c:pt idx="172">
                  <c:v>44132</c:v>
                </c:pt>
                <c:pt idx="173">
                  <c:v>44133</c:v>
                </c:pt>
                <c:pt idx="174">
                  <c:v>44134</c:v>
                </c:pt>
                <c:pt idx="175">
                  <c:v>44135</c:v>
                </c:pt>
                <c:pt idx="176">
                  <c:v>44136</c:v>
                </c:pt>
                <c:pt idx="177">
                  <c:v>44137</c:v>
                </c:pt>
                <c:pt idx="178">
                  <c:v>44138</c:v>
                </c:pt>
                <c:pt idx="179">
                  <c:v>44139</c:v>
                </c:pt>
                <c:pt idx="180">
                  <c:v>44140</c:v>
                </c:pt>
                <c:pt idx="181">
                  <c:v>44141</c:v>
                </c:pt>
                <c:pt idx="182">
                  <c:v>44142</c:v>
                </c:pt>
                <c:pt idx="183">
                  <c:v>44143</c:v>
                </c:pt>
                <c:pt idx="184">
                  <c:v>44144</c:v>
                </c:pt>
                <c:pt idx="185">
                  <c:v>44145</c:v>
                </c:pt>
                <c:pt idx="186">
                  <c:v>44146</c:v>
                </c:pt>
                <c:pt idx="187">
                  <c:v>44147</c:v>
                </c:pt>
                <c:pt idx="188">
                  <c:v>44148</c:v>
                </c:pt>
                <c:pt idx="189">
                  <c:v>44149</c:v>
                </c:pt>
                <c:pt idx="190">
                  <c:v>44150</c:v>
                </c:pt>
                <c:pt idx="191">
                  <c:v>44151</c:v>
                </c:pt>
                <c:pt idx="192">
                  <c:v>44152</c:v>
                </c:pt>
                <c:pt idx="193">
                  <c:v>44153</c:v>
                </c:pt>
                <c:pt idx="194">
                  <c:v>44154</c:v>
                </c:pt>
                <c:pt idx="195">
                  <c:v>44155</c:v>
                </c:pt>
                <c:pt idx="196">
                  <c:v>44156</c:v>
                </c:pt>
                <c:pt idx="197">
                  <c:v>44157</c:v>
                </c:pt>
                <c:pt idx="198">
                  <c:v>44158</c:v>
                </c:pt>
                <c:pt idx="199">
                  <c:v>44159</c:v>
                </c:pt>
                <c:pt idx="200">
                  <c:v>44160</c:v>
                </c:pt>
                <c:pt idx="201">
                  <c:v>44161</c:v>
                </c:pt>
                <c:pt idx="202">
                  <c:v>44162</c:v>
                </c:pt>
                <c:pt idx="203">
                  <c:v>44163</c:v>
                </c:pt>
                <c:pt idx="204">
                  <c:v>44164</c:v>
                </c:pt>
                <c:pt idx="205">
                  <c:v>44165</c:v>
                </c:pt>
                <c:pt idx="206">
                  <c:v>44166</c:v>
                </c:pt>
                <c:pt idx="207">
                  <c:v>44167</c:v>
                </c:pt>
                <c:pt idx="208">
                  <c:v>44168</c:v>
                </c:pt>
                <c:pt idx="209">
                  <c:v>44169</c:v>
                </c:pt>
                <c:pt idx="210">
                  <c:v>44170</c:v>
                </c:pt>
                <c:pt idx="211">
                  <c:v>44171</c:v>
                </c:pt>
                <c:pt idx="212">
                  <c:v>44172</c:v>
                </c:pt>
                <c:pt idx="213">
                  <c:v>44173</c:v>
                </c:pt>
                <c:pt idx="214">
                  <c:v>44174</c:v>
                </c:pt>
                <c:pt idx="215">
                  <c:v>44175</c:v>
                </c:pt>
                <c:pt idx="216">
                  <c:v>44176</c:v>
                </c:pt>
                <c:pt idx="217">
                  <c:v>44177</c:v>
                </c:pt>
                <c:pt idx="218">
                  <c:v>44178</c:v>
                </c:pt>
                <c:pt idx="219">
                  <c:v>44179</c:v>
                </c:pt>
                <c:pt idx="220">
                  <c:v>44180</c:v>
                </c:pt>
                <c:pt idx="221">
                  <c:v>44181</c:v>
                </c:pt>
              </c:numCache>
            </c:numRef>
          </c:xVal>
          <c:yVal>
            <c:numRef>
              <c:f>[0]!zip_new_cases</c:f>
              <c:numCache>
                <c:formatCode>General</c:formatCode>
                <c:ptCount val="222"/>
                <c:pt idx="0">
                  <c:v>14</c:v>
                </c:pt>
                <c:pt idx="1">
                  <c:v>9</c:v>
                </c:pt>
                <c:pt idx="2">
                  <c:v>7</c:v>
                </c:pt>
                <c:pt idx="3">
                  <c:v>14</c:v>
                </c:pt>
                <c:pt idx="4">
                  <c:v>10</c:v>
                </c:pt>
                <c:pt idx="5">
                  <c:v>32</c:v>
                </c:pt>
                <c:pt idx="6">
                  <c:v>12</c:v>
                </c:pt>
                <c:pt idx="7">
                  <c:v>9</c:v>
                </c:pt>
                <c:pt idx="8">
                  <c:v>13</c:v>
                </c:pt>
                <c:pt idx="9">
                  <c:v>19</c:v>
                </c:pt>
                <c:pt idx="10">
                  <c:v>12</c:v>
                </c:pt>
                <c:pt idx="11">
                  <c:v>16</c:v>
                </c:pt>
                <c:pt idx="12">
                  <c:v>12</c:v>
                </c:pt>
                <c:pt idx="13">
                  <c:v>12</c:v>
                </c:pt>
                <c:pt idx="14">
                  <c:v>23</c:v>
                </c:pt>
                <c:pt idx="15">
                  <c:v>19</c:v>
                </c:pt>
                <c:pt idx="16">
                  <c:v>7</c:v>
                </c:pt>
                <c:pt idx="17">
                  <c:v>7</c:v>
                </c:pt>
                <c:pt idx="18">
                  <c:v>9</c:v>
                </c:pt>
                <c:pt idx="19">
                  <c:v>7</c:v>
                </c:pt>
                <c:pt idx="20">
                  <c:v>14</c:v>
                </c:pt>
                <c:pt idx="21">
                  <c:v>9</c:v>
                </c:pt>
                <c:pt idx="22">
                  <c:v>5</c:v>
                </c:pt>
                <c:pt idx="23">
                  <c:v>10</c:v>
                </c:pt>
                <c:pt idx="24">
                  <c:v>8</c:v>
                </c:pt>
                <c:pt idx="25">
                  <c:v>5</c:v>
                </c:pt>
                <c:pt idx="26">
                  <c:v>2</c:v>
                </c:pt>
                <c:pt idx="27">
                  <c:v>8</c:v>
                </c:pt>
                <c:pt idx="28">
                  <c:v>3</c:v>
                </c:pt>
                <c:pt idx="29">
                  <c:v>6</c:v>
                </c:pt>
                <c:pt idx="30">
                  <c:v>2.4960617419598066</c:v>
                </c:pt>
                <c:pt idx="31">
                  <c:v>2.5039382580401934</c:v>
                </c:pt>
                <c:pt idx="32">
                  <c:v>1</c:v>
                </c:pt>
                <c:pt idx="33">
                  <c:v>0.9993734333379507</c:v>
                </c:pt>
                <c:pt idx="34">
                  <c:v>1.0006265666620493</c:v>
                </c:pt>
                <c:pt idx="35">
                  <c:v>6</c:v>
                </c:pt>
                <c:pt idx="36">
                  <c:v>4</c:v>
                </c:pt>
                <c:pt idx="37">
                  <c:v>4</c:v>
                </c:pt>
                <c:pt idx="38">
                  <c:v>3</c:v>
                </c:pt>
                <c:pt idx="39">
                  <c:v>2</c:v>
                </c:pt>
                <c:pt idx="40">
                  <c:v>2</c:v>
                </c:pt>
                <c:pt idx="41">
                  <c:v>9</c:v>
                </c:pt>
                <c:pt idx="42">
                  <c:v>6</c:v>
                </c:pt>
                <c:pt idx="43">
                  <c:v>5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5</c:v>
                </c:pt>
                <c:pt idx="48">
                  <c:v>4.9854141115821449</c:v>
                </c:pt>
                <c:pt idx="49">
                  <c:v>5.0145858884178551</c:v>
                </c:pt>
                <c:pt idx="50">
                  <c:v>0</c:v>
                </c:pt>
                <c:pt idx="51">
                  <c:v>1</c:v>
                </c:pt>
                <c:pt idx="52">
                  <c:v>2</c:v>
                </c:pt>
                <c:pt idx="53">
                  <c:v>2</c:v>
                </c:pt>
                <c:pt idx="54">
                  <c:v>5</c:v>
                </c:pt>
                <c:pt idx="55">
                  <c:v>2</c:v>
                </c:pt>
                <c:pt idx="56">
                  <c:v>2</c:v>
                </c:pt>
                <c:pt idx="57">
                  <c:v>0.99942987438714681</c:v>
                </c:pt>
                <c:pt idx="58">
                  <c:v>1.0005701256128532</c:v>
                </c:pt>
                <c:pt idx="59">
                  <c:v>1</c:v>
                </c:pt>
                <c:pt idx="60">
                  <c:v>0</c:v>
                </c:pt>
                <c:pt idx="61">
                  <c:v>1</c:v>
                </c:pt>
                <c:pt idx="62">
                  <c:v>0</c:v>
                </c:pt>
                <c:pt idx="63">
                  <c:v>1</c:v>
                </c:pt>
                <c:pt idx="64">
                  <c:v>2</c:v>
                </c:pt>
                <c:pt idx="65">
                  <c:v>5</c:v>
                </c:pt>
                <c:pt idx="66">
                  <c:v>2</c:v>
                </c:pt>
                <c:pt idx="67">
                  <c:v>3</c:v>
                </c:pt>
                <c:pt idx="68">
                  <c:v>5</c:v>
                </c:pt>
                <c:pt idx="69">
                  <c:v>0.49986087923241485</c:v>
                </c:pt>
                <c:pt idx="70">
                  <c:v>0.50013912076758515</c:v>
                </c:pt>
                <c:pt idx="71">
                  <c:v>1</c:v>
                </c:pt>
                <c:pt idx="72">
                  <c:v>6</c:v>
                </c:pt>
                <c:pt idx="73">
                  <c:v>1.4987603297317946</c:v>
                </c:pt>
                <c:pt idx="74">
                  <c:v>1.5012396702682054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2</c:v>
                </c:pt>
                <c:pt idx="80">
                  <c:v>2</c:v>
                </c:pt>
                <c:pt idx="81">
                  <c:v>6</c:v>
                </c:pt>
                <c:pt idx="82">
                  <c:v>7</c:v>
                </c:pt>
                <c:pt idx="83">
                  <c:v>9</c:v>
                </c:pt>
                <c:pt idx="84">
                  <c:v>8</c:v>
                </c:pt>
                <c:pt idx="85">
                  <c:v>3</c:v>
                </c:pt>
                <c:pt idx="86">
                  <c:v>2</c:v>
                </c:pt>
                <c:pt idx="87">
                  <c:v>0</c:v>
                </c:pt>
                <c:pt idx="88">
                  <c:v>5</c:v>
                </c:pt>
                <c:pt idx="89">
                  <c:v>4</c:v>
                </c:pt>
                <c:pt idx="90">
                  <c:v>11</c:v>
                </c:pt>
                <c:pt idx="91">
                  <c:v>5</c:v>
                </c:pt>
                <c:pt idx="92">
                  <c:v>8</c:v>
                </c:pt>
                <c:pt idx="93">
                  <c:v>0</c:v>
                </c:pt>
                <c:pt idx="94">
                  <c:v>2</c:v>
                </c:pt>
                <c:pt idx="95">
                  <c:v>2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6</c:v>
                </c:pt>
                <c:pt idx="100">
                  <c:v>3</c:v>
                </c:pt>
                <c:pt idx="101">
                  <c:v>12.425557150196255</c:v>
                </c:pt>
                <c:pt idx="102">
                  <c:v>12.574442849803745</c:v>
                </c:pt>
                <c:pt idx="103">
                  <c:v>10</c:v>
                </c:pt>
                <c:pt idx="104">
                  <c:v>9</c:v>
                </c:pt>
                <c:pt idx="105">
                  <c:v>7</c:v>
                </c:pt>
                <c:pt idx="106">
                  <c:v>3</c:v>
                </c:pt>
                <c:pt idx="107">
                  <c:v>7</c:v>
                </c:pt>
                <c:pt idx="108">
                  <c:v>6</c:v>
                </c:pt>
                <c:pt idx="109">
                  <c:v>13</c:v>
                </c:pt>
                <c:pt idx="110">
                  <c:v>19</c:v>
                </c:pt>
                <c:pt idx="111">
                  <c:v>8</c:v>
                </c:pt>
                <c:pt idx="112">
                  <c:v>1</c:v>
                </c:pt>
                <c:pt idx="113">
                  <c:v>6</c:v>
                </c:pt>
                <c:pt idx="114">
                  <c:v>1</c:v>
                </c:pt>
                <c:pt idx="115">
                  <c:v>6</c:v>
                </c:pt>
                <c:pt idx="116">
                  <c:v>11</c:v>
                </c:pt>
                <c:pt idx="117">
                  <c:v>2.9961604032669129</c:v>
                </c:pt>
                <c:pt idx="118">
                  <c:v>3.0038395967330871</c:v>
                </c:pt>
                <c:pt idx="119">
                  <c:v>25</c:v>
                </c:pt>
                <c:pt idx="120">
                  <c:v>3</c:v>
                </c:pt>
                <c:pt idx="121">
                  <c:v>6</c:v>
                </c:pt>
                <c:pt idx="122">
                  <c:v>9</c:v>
                </c:pt>
                <c:pt idx="123">
                  <c:v>3</c:v>
                </c:pt>
                <c:pt idx="124">
                  <c:v>7</c:v>
                </c:pt>
                <c:pt idx="125">
                  <c:v>8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5</c:v>
                </c:pt>
                <c:pt idx="130">
                  <c:v>16</c:v>
                </c:pt>
                <c:pt idx="131">
                  <c:v>3</c:v>
                </c:pt>
                <c:pt idx="132">
                  <c:v>7</c:v>
                </c:pt>
                <c:pt idx="133">
                  <c:v>6</c:v>
                </c:pt>
                <c:pt idx="134">
                  <c:v>2</c:v>
                </c:pt>
                <c:pt idx="135">
                  <c:v>2</c:v>
                </c:pt>
                <c:pt idx="136">
                  <c:v>8</c:v>
                </c:pt>
                <c:pt idx="137">
                  <c:v>5</c:v>
                </c:pt>
                <c:pt idx="138">
                  <c:v>1</c:v>
                </c:pt>
                <c:pt idx="139">
                  <c:v>7</c:v>
                </c:pt>
                <c:pt idx="140">
                  <c:v>8</c:v>
                </c:pt>
                <c:pt idx="141">
                  <c:v>4</c:v>
                </c:pt>
                <c:pt idx="142">
                  <c:v>6</c:v>
                </c:pt>
                <c:pt idx="143">
                  <c:v>4</c:v>
                </c:pt>
                <c:pt idx="144">
                  <c:v>7</c:v>
                </c:pt>
                <c:pt idx="145">
                  <c:v>8</c:v>
                </c:pt>
                <c:pt idx="146">
                  <c:v>3</c:v>
                </c:pt>
                <c:pt idx="147">
                  <c:v>8</c:v>
                </c:pt>
                <c:pt idx="148">
                  <c:v>5</c:v>
                </c:pt>
                <c:pt idx="149">
                  <c:v>17</c:v>
                </c:pt>
                <c:pt idx="150">
                  <c:v>8</c:v>
                </c:pt>
                <c:pt idx="151">
                  <c:v>10</c:v>
                </c:pt>
                <c:pt idx="152">
                  <c:v>21</c:v>
                </c:pt>
                <c:pt idx="153">
                  <c:v>14</c:v>
                </c:pt>
                <c:pt idx="154">
                  <c:v>14</c:v>
                </c:pt>
                <c:pt idx="155">
                  <c:v>13</c:v>
                </c:pt>
                <c:pt idx="156">
                  <c:v>9</c:v>
                </c:pt>
                <c:pt idx="157">
                  <c:v>15</c:v>
                </c:pt>
                <c:pt idx="158">
                  <c:v>14.924747269908494</c:v>
                </c:pt>
                <c:pt idx="159">
                  <c:v>15.075252730091506</c:v>
                </c:pt>
                <c:pt idx="160">
                  <c:v>18</c:v>
                </c:pt>
                <c:pt idx="161">
                  <c:v>18.960539047661314</c:v>
                </c:pt>
                <c:pt idx="162">
                  <c:v>19.195815252488046</c:v>
                </c:pt>
                <c:pt idx="163">
                  <c:v>19.434010936158529</c:v>
                </c:pt>
                <c:pt idx="164">
                  <c:v>19.675162325690962</c:v>
                </c:pt>
                <c:pt idx="165">
                  <c:v>19.919306097647677</c:v>
                </c:pt>
                <c:pt idx="166">
                  <c:v>20.166479383683054</c:v>
                </c:pt>
                <c:pt idx="167">
                  <c:v>20.416719776227865</c:v>
                </c:pt>
                <c:pt idx="168">
                  <c:v>20.670065334175661</c:v>
                </c:pt>
                <c:pt idx="169">
                  <c:v>20.926554588681029</c:v>
                </c:pt>
                <c:pt idx="170">
                  <c:v>21.186226549030607</c:v>
                </c:pt>
                <c:pt idx="171">
                  <c:v>21.449120708555256</c:v>
                </c:pt>
                <c:pt idx="172">
                  <c:v>27.563577346444845</c:v>
                </c:pt>
                <c:pt idx="173">
                  <c:v>27.997720658521757</c:v>
                </c:pt>
                <c:pt idx="174">
                  <c:v>28.438701995033398</c:v>
                </c:pt>
                <c:pt idx="175">
                  <c:v>25.818270692058832</c:v>
                </c:pt>
                <c:pt idx="176">
                  <c:v>26.181729307941168</c:v>
                </c:pt>
                <c:pt idx="177">
                  <c:v>27.594295471158375</c:v>
                </c:pt>
                <c:pt idx="178">
                  <c:v>27.998030965620273</c:v>
                </c:pt>
                <c:pt idx="179">
                  <c:v>28.407673563221351</c:v>
                </c:pt>
                <c:pt idx="180">
                  <c:v>44</c:v>
                </c:pt>
                <c:pt idx="181">
                  <c:v>44.508197700461096</c:v>
                </c:pt>
                <c:pt idx="182">
                  <c:v>45.491802299538904</c:v>
                </c:pt>
                <c:pt idx="183">
                  <c:v>44</c:v>
                </c:pt>
                <c:pt idx="184">
                  <c:v>34</c:v>
                </c:pt>
                <c:pt idx="185">
                  <c:v>48</c:v>
                </c:pt>
                <c:pt idx="186">
                  <c:v>39</c:v>
                </c:pt>
                <c:pt idx="187">
                  <c:v>57</c:v>
                </c:pt>
                <c:pt idx="188">
                  <c:v>61</c:v>
                </c:pt>
                <c:pt idx="189">
                  <c:v>45</c:v>
                </c:pt>
                <c:pt idx="190">
                  <c:v>54</c:v>
                </c:pt>
                <c:pt idx="191">
                  <c:v>38</c:v>
                </c:pt>
                <c:pt idx="192">
                  <c:v>52</c:v>
                </c:pt>
                <c:pt idx="193">
                  <c:v>16</c:v>
                </c:pt>
                <c:pt idx="194">
                  <c:v>68</c:v>
                </c:pt>
                <c:pt idx="195">
                  <c:v>46</c:v>
                </c:pt>
                <c:pt idx="196">
                  <c:v>37</c:v>
                </c:pt>
                <c:pt idx="197">
                  <c:v>27</c:v>
                </c:pt>
                <c:pt idx="198">
                  <c:v>28</c:v>
                </c:pt>
                <c:pt idx="199">
                  <c:v>19</c:v>
                </c:pt>
                <c:pt idx="200">
                  <c:v>67</c:v>
                </c:pt>
                <c:pt idx="201">
                  <c:v>41</c:v>
                </c:pt>
                <c:pt idx="202">
                  <c:v>12</c:v>
                </c:pt>
                <c:pt idx="203">
                  <c:v>20</c:v>
                </c:pt>
                <c:pt idx="204">
                  <c:v>23</c:v>
                </c:pt>
                <c:pt idx="205">
                  <c:v>28</c:v>
                </c:pt>
                <c:pt idx="206">
                  <c:v>48</c:v>
                </c:pt>
                <c:pt idx="207">
                  <c:v>38</c:v>
                </c:pt>
                <c:pt idx="208">
                  <c:v>49</c:v>
                </c:pt>
                <c:pt idx="209">
                  <c:v>35</c:v>
                </c:pt>
                <c:pt idx="210">
                  <c:v>32</c:v>
                </c:pt>
                <c:pt idx="211">
                  <c:v>33</c:v>
                </c:pt>
                <c:pt idx="212">
                  <c:v>35</c:v>
                </c:pt>
                <c:pt idx="213">
                  <c:v>17</c:v>
                </c:pt>
                <c:pt idx="214">
                  <c:v>28</c:v>
                </c:pt>
                <c:pt idx="215">
                  <c:v>47</c:v>
                </c:pt>
                <c:pt idx="216">
                  <c:v>34</c:v>
                </c:pt>
                <c:pt idx="217">
                  <c:v>47</c:v>
                </c:pt>
                <c:pt idx="218">
                  <c:v>27</c:v>
                </c:pt>
                <c:pt idx="219">
                  <c:v>31</c:v>
                </c:pt>
                <c:pt idx="220">
                  <c:v>29</c:v>
                </c:pt>
                <c:pt idx="221">
                  <c:v>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6A-4210-A888-C793F8325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258384"/>
        <c:axId val="2052418784"/>
      </c:scatterChart>
      <c:valAx>
        <c:axId val="23625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418784"/>
        <c:crosses val="autoZero"/>
        <c:crossBetween val="midCat"/>
      </c:valAx>
      <c:valAx>
        <c:axId val="205241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258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222"/>
                <c:pt idx="0">
                  <c:v>43960</c:v>
                </c:pt>
                <c:pt idx="1">
                  <c:v>43961</c:v>
                </c:pt>
                <c:pt idx="2">
                  <c:v>43962</c:v>
                </c:pt>
                <c:pt idx="3">
                  <c:v>43963</c:v>
                </c:pt>
                <c:pt idx="4">
                  <c:v>43964</c:v>
                </c:pt>
                <c:pt idx="5">
                  <c:v>43965</c:v>
                </c:pt>
                <c:pt idx="6">
                  <c:v>43966</c:v>
                </c:pt>
                <c:pt idx="7">
                  <c:v>43967</c:v>
                </c:pt>
                <c:pt idx="8">
                  <c:v>43968</c:v>
                </c:pt>
                <c:pt idx="9">
                  <c:v>43969</c:v>
                </c:pt>
                <c:pt idx="10">
                  <c:v>43970</c:v>
                </c:pt>
                <c:pt idx="11">
                  <c:v>43971</c:v>
                </c:pt>
                <c:pt idx="12">
                  <c:v>43972</c:v>
                </c:pt>
                <c:pt idx="13">
                  <c:v>43973</c:v>
                </c:pt>
                <c:pt idx="14">
                  <c:v>43974</c:v>
                </c:pt>
                <c:pt idx="15">
                  <c:v>43975</c:v>
                </c:pt>
                <c:pt idx="16">
                  <c:v>43976</c:v>
                </c:pt>
                <c:pt idx="17">
                  <c:v>43977</c:v>
                </c:pt>
                <c:pt idx="18">
                  <c:v>43978</c:v>
                </c:pt>
                <c:pt idx="19">
                  <c:v>43979</c:v>
                </c:pt>
                <c:pt idx="20">
                  <c:v>43980</c:v>
                </c:pt>
                <c:pt idx="21">
                  <c:v>43981</c:v>
                </c:pt>
                <c:pt idx="22">
                  <c:v>43982</c:v>
                </c:pt>
                <c:pt idx="23">
                  <c:v>43983</c:v>
                </c:pt>
                <c:pt idx="24">
                  <c:v>43984</c:v>
                </c:pt>
                <c:pt idx="25">
                  <c:v>43985</c:v>
                </c:pt>
                <c:pt idx="26">
                  <c:v>43986</c:v>
                </c:pt>
                <c:pt idx="27">
                  <c:v>43987</c:v>
                </c:pt>
                <c:pt idx="28">
                  <c:v>43988</c:v>
                </c:pt>
                <c:pt idx="29">
                  <c:v>43989</c:v>
                </c:pt>
                <c:pt idx="30">
                  <c:v>43990</c:v>
                </c:pt>
                <c:pt idx="31">
                  <c:v>43991</c:v>
                </c:pt>
                <c:pt idx="32">
                  <c:v>43992</c:v>
                </c:pt>
                <c:pt idx="33">
                  <c:v>43993</c:v>
                </c:pt>
                <c:pt idx="34">
                  <c:v>43994</c:v>
                </c:pt>
                <c:pt idx="35">
                  <c:v>43995</c:v>
                </c:pt>
                <c:pt idx="36">
                  <c:v>43996</c:v>
                </c:pt>
                <c:pt idx="37">
                  <c:v>43997</c:v>
                </c:pt>
                <c:pt idx="38">
                  <c:v>43998</c:v>
                </c:pt>
                <c:pt idx="39">
                  <c:v>43999</c:v>
                </c:pt>
                <c:pt idx="40">
                  <c:v>44000</c:v>
                </c:pt>
                <c:pt idx="41">
                  <c:v>44001</c:v>
                </c:pt>
                <c:pt idx="42">
                  <c:v>44002</c:v>
                </c:pt>
                <c:pt idx="43">
                  <c:v>44003</c:v>
                </c:pt>
                <c:pt idx="44">
                  <c:v>44004</c:v>
                </c:pt>
                <c:pt idx="45">
                  <c:v>44005</c:v>
                </c:pt>
                <c:pt idx="46">
                  <c:v>44006</c:v>
                </c:pt>
                <c:pt idx="47">
                  <c:v>44007</c:v>
                </c:pt>
                <c:pt idx="48">
                  <c:v>44008</c:v>
                </c:pt>
                <c:pt idx="49">
                  <c:v>44009</c:v>
                </c:pt>
                <c:pt idx="50">
                  <c:v>44010</c:v>
                </c:pt>
                <c:pt idx="51">
                  <c:v>44011</c:v>
                </c:pt>
                <c:pt idx="52">
                  <c:v>44012</c:v>
                </c:pt>
                <c:pt idx="53">
                  <c:v>44013</c:v>
                </c:pt>
                <c:pt idx="54">
                  <c:v>44014</c:v>
                </c:pt>
                <c:pt idx="55">
                  <c:v>44015</c:v>
                </c:pt>
                <c:pt idx="56">
                  <c:v>44016</c:v>
                </c:pt>
                <c:pt idx="57">
                  <c:v>44017</c:v>
                </c:pt>
                <c:pt idx="58">
                  <c:v>44018</c:v>
                </c:pt>
                <c:pt idx="59">
                  <c:v>44019</c:v>
                </c:pt>
                <c:pt idx="60">
                  <c:v>44020</c:v>
                </c:pt>
                <c:pt idx="61">
                  <c:v>44021</c:v>
                </c:pt>
                <c:pt idx="62">
                  <c:v>44022</c:v>
                </c:pt>
                <c:pt idx="63">
                  <c:v>44023</c:v>
                </c:pt>
                <c:pt idx="64">
                  <c:v>44024</c:v>
                </c:pt>
                <c:pt idx="65">
                  <c:v>44025</c:v>
                </c:pt>
                <c:pt idx="66">
                  <c:v>44026</c:v>
                </c:pt>
                <c:pt idx="67">
                  <c:v>44027</c:v>
                </c:pt>
                <c:pt idx="68">
                  <c:v>44028</c:v>
                </c:pt>
                <c:pt idx="69">
                  <c:v>44029</c:v>
                </c:pt>
                <c:pt idx="70">
                  <c:v>44030</c:v>
                </c:pt>
                <c:pt idx="71">
                  <c:v>44031</c:v>
                </c:pt>
                <c:pt idx="72">
                  <c:v>44032</c:v>
                </c:pt>
                <c:pt idx="73">
                  <c:v>44033</c:v>
                </c:pt>
                <c:pt idx="74">
                  <c:v>44034</c:v>
                </c:pt>
                <c:pt idx="75">
                  <c:v>44035</c:v>
                </c:pt>
                <c:pt idx="76">
                  <c:v>44036</c:v>
                </c:pt>
                <c:pt idx="77">
                  <c:v>44037</c:v>
                </c:pt>
                <c:pt idx="78">
                  <c:v>44038</c:v>
                </c:pt>
                <c:pt idx="79">
                  <c:v>44039</c:v>
                </c:pt>
                <c:pt idx="80">
                  <c:v>44040</c:v>
                </c:pt>
                <c:pt idx="81">
                  <c:v>44041</c:v>
                </c:pt>
                <c:pt idx="82">
                  <c:v>44042</c:v>
                </c:pt>
                <c:pt idx="83">
                  <c:v>44043</c:v>
                </c:pt>
                <c:pt idx="84">
                  <c:v>44044</c:v>
                </c:pt>
                <c:pt idx="85">
                  <c:v>44045</c:v>
                </c:pt>
                <c:pt idx="86">
                  <c:v>44046</c:v>
                </c:pt>
                <c:pt idx="87">
                  <c:v>44047</c:v>
                </c:pt>
                <c:pt idx="88">
                  <c:v>44048</c:v>
                </c:pt>
                <c:pt idx="89">
                  <c:v>44049</c:v>
                </c:pt>
                <c:pt idx="90">
                  <c:v>44050</c:v>
                </c:pt>
                <c:pt idx="91">
                  <c:v>44051</c:v>
                </c:pt>
                <c:pt idx="92">
                  <c:v>44052</c:v>
                </c:pt>
                <c:pt idx="93">
                  <c:v>44053</c:v>
                </c:pt>
                <c:pt idx="94">
                  <c:v>44054</c:v>
                </c:pt>
                <c:pt idx="95">
                  <c:v>44055</c:v>
                </c:pt>
                <c:pt idx="96">
                  <c:v>44056</c:v>
                </c:pt>
                <c:pt idx="97">
                  <c:v>44057</c:v>
                </c:pt>
                <c:pt idx="98">
                  <c:v>44058</c:v>
                </c:pt>
                <c:pt idx="99">
                  <c:v>44059</c:v>
                </c:pt>
                <c:pt idx="100">
                  <c:v>44060</c:v>
                </c:pt>
                <c:pt idx="101">
                  <c:v>44061</c:v>
                </c:pt>
                <c:pt idx="102">
                  <c:v>44062</c:v>
                </c:pt>
                <c:pt idx="103">
                  <c:v>44063</c:v>
                </c:pt>
                <c:pt idx="104">
                  <c:v>44064</c:v>
                </c:pt>
                <c:pt idx="105">
                  <c:v>44065</c:v>
                </c:pt>
                <c:pt idx="106">
                  <c:v>44066</c:v>
                </c:pt>
                <c:pt idx="107">
                  <c:v>44067</c:v>
                </c:pt>
                <c:pt idx="108">
                  <c:v>44068</c:v>
                </c:pt>
                <c:pt idx="109">
                  <c:v>44069</c:v>
                </c:pt>
                <c:pt idx="110">
                  <c:v>44070</c:v>
                </c:pt>
                <c:pt idx="111">
                  <c:v>44071</c:v>
                </c:pt>
                <c:pt idx="112">
                  <c:v>44072</c:v>
                </c:pt>
                <c:pt idx="113">
                  <c:v>44073</c:v>
                </c:pt>
                <c:pt idx="114">
                  <c:v>44074</c:v>
                </c:pt>
                <c:pt idx="115">
                  <c:v>44075</c:v>
                </c:pt>
                <c:pt idx="116">
                  <c:v>44076</c:v>
                </c:pt>
                <c:pt idx="117">
                  <c:v>44077</c:v>
                </c:pt>
                <c:pt idx="118">
                  <c:v>44078</c:v>
                </c:pt>
                <c:pt idx="119">
                  <c:v>44079</c:v>
                </c:pt>
                <c:pt idx="120">
                  <c:v>44080</c:v>
                </c:pt>
                <c:pt idx="121">
                  <c:v>44081</c:v>
                </c:pt>
                <c:pt idx="122">
                  <c:v>44082</c:v>
                </c:pt>
                <c:pt idx="123">
                  <c:v>44083</c:v>
                </c:pt>
                <c:pt idx="124">
                  <c:v>44084</c:v>
                </c:pt>
                <c:pt idx="125">
                  <c:v>44085</c:v>
                </c:pt>
                <c:pt idx="126">
                  <c:v>44086</c:v>
                </c:pt>
                <c:pt idx="127">
                  <c:v>44087</c:v>
                </c:pt>
                <c:pt idx="128">
                  <c:v>44088</c:v>
                </c:pt>
                <c:pt idx="129">
                  <c:v>44089</c:v>
                </c:pt>
                <c:pt idx="130">
                  <c:v>44090</c:v>
                </c:pt>
                <c:pt idx="131">
                  <c:v>44091</c:v>
                </c:pt>
                <c:pt idx="132">
                  <c:v>44092</c:v>
                </c:pt>
                <c:pt idx="133">
                  <c:v>44093</c:v>
                </c:pt>
                <c:pt idx="134">
                  <c:v>44094</c:v>
                </c:pt>
                <c:pt idx="135">
                  <c:v>44095</c:v>
                </c:pt>
                <c:pt idx="136">
                  <c:v>44096</c:v>
                </c:pt>
                <c:pt idx="137">
                  <c:v>44097</c:v>
                </c:pt>
                <c:pt idx="138">
                  <c:v>44098</c:v>
                </c:pt>
                <c:pt idx="139">
                  <c:v>44099</c:v>
                </c:pt>
                <c:pt idx="140">
                  <c:v>44100</c:v>
                </c:pt>
                <c:pt idx="141">
                  <c:v>44101</c:v>
                </c:pt>
                <c:pt idx="142">
                  <c:v>44102</c:v>
                </c:pt>
                <c:pt idx="143">
                  <c:v>44103</c:v>
                </c:pt>
                <c:pt idx="144">
                  <c:v>44104</c:v>
                </c:pt>
                <c:pt idx="145">
                  <c:v>44105</c:v>
                </c:pt>
                <c:pt idx="146">
                  <c:v>44106</c:v>
                </c:pt>
                <c:pt idx="147">
                  <c:v>44107</c:v>
                </c:pt>
                <c:pt idx="148">
                  <c:v>44108</c:v>
                </c:pt>
                <c:pt idx="149">
                  <c:v>44109</c:v>
                </c:pt>
                <c:pt idx="150">
                  <c:v>44110</c:v>
                </c:pt>
                <c:pt idx="151">
                  <c:v>44111</c:v>
                </c:pt>
                <c:pt idx="152">
                  <c:v>44112</c:v>
                </c:pt>
                <c:pt idx="153">
                  <c:v>44113</c:v>
                </c:pt>
                <c:pt idx="154">
                  <c:v>44114</c:v>
                </c:pt>
                <c:pt idx="155">
                  <c:v>44115</c:v>
                </c:pt>
                <c:pt idx="156">
                  <c:v>44116</c:v>
                </c:pt>
                <c:pt idx="157">
                  <c:v>44117</c:v>
                </c:pt>
                <c:pt idx="158">
                  <c:v>44118</c:v>
                </c:pt>
                <c:pt idx="159">
                  <c:v>44119</c:v>
                </c:pt>
                <c:pt idx="160">
                  <c:v>44120</c:v>
                </c:pt>
                <c:pt idx="161">
                  <c:v>44121</c:v>
                </c:pt>
                <c:pt idx="162">
                  <c:v>44122</c:v>
                </c:pt>
                <c:pt idx="163">
                  <c:v>44123</c:v>
                </c:pt>
                <c:pt idx="164">
                  <c:v>44124</c:v>
                </c:pt>
                <c:pt idx="165">
                  <c:v>44125</c:v>
                </c:pt>
                <c:pt idx="166">
                  <c:v>44126</c:v>
                </c:pt>
                <c:pt idx="167">
                  <c:v>44127</c:v>
                </c:pt>
                <c:pt idx="168">
                  <c:v>44128</c:v>
                </c:pt>
                <c:pt idx="169">
                  <c:v>44129</c:v>
                </c:pt>
                <c:pt idx="170">
                  <c:v>44130</c:v>
                </c:pt>
                <c:pt idx="171">
                  <c:v>44131</c:v>
                </c:pt>
                <c:pt idx="172">
                  <c:v>44132</c:v>
                </c:pt>
                <c:pt idx="173">
                  <c:v>44133</c:v>
                </c:pt>
                <c:pt idx="174">
                  <c:v>44134</c:v>
                </c:pt>
                <c:pt idx="175">
                  <c:v>44135</c:v>
                </c:pt>
                <c:pt idx="176">
                  <c:v>44136</c:v>
                </c:pt>
                <c:pt idx="177">
                  <c:v>44137</c:v>
                </c:pt>
                <c:pt idx="178">
                  <c:v>44138</c:v>
                </c:pt>
                <c:pt idx="179">
                  <c:v>44139</c:v>
                </c:pt>
                <c:pt idx="180">
                  <c:v>44140</c:v>
                </c:pt>
                <c:pt idx="181">
                  <c:v>44141</c:v>
                </c:pt>
                <c:pt idx="182">
                  <c:v>44142</c:v>
                </c:pt>
                <c:pt idx="183">
                  <c:v>44143</c:v>
                </c:pt>
                <c:pt idx="184">
                  <c:v>44144</c:v>
                </c:pt>
                <c:pt idx="185">
                  <c:v>44145</c:v>
                </c:pt>
                <c:pt idx="186">
                  <c:v>44146</c:v>
                </c:pt>
                <c:pt idx="187">
                  <c:v>44147</c:v>
                </c:pt>
                <c:pt idx="188">
                  <c:v>44148</c:v>
                </c:pt>
                <c:pt idx="189">
                  <c:v>44149</c:v>
                </c:pt>
                <c:pt idx="190">
                  <c:v>44150</c:v>
                </c:pt>
                <c:pt idx="191">
                  <c:v>44151</c:v>
                </c:pt>
                <c:pt idx="192">
                  <c:v>44152</c:v>
                </c:pt>
                <c:pt idx="193">
                  <c:v>44153</c:v>
                </c:pt>
                <c:pt idx="194">
                  <c:v>44154</c:v>
                </c:pt>
                <c:pt idx="195">
                  <c:v>44155</c:v>
                </c:pt>
                <c:pt idx="196">
                  <c:v>44156</c:v>
                </c:pt>
                <c:pt idx="197">
                  <c:v>44157</c:v>
                </c:pt>
                <c:pt idx="198">
                  <c:v>44158</c:v>
                </c:pt>
                <c:pt idx="199">
                  <c:v>44159</c:v>
                </c:pt>
                <c:pt idx="200">
                  <c:v>44160</c:v>
                </c:pt>
                <c:pt idx="201">
                  <c:v>44161</c:v>
                </c:pt>
                <c:pt idx="202">
                  <c:v>44162</c:v>
                </c:pt>
                <c:pt idx="203">
                  <c:v>44163</c:v>
                </c:pt>
                <c:pt idx="204">
                  <c:v>44164</c:v>
                </c:pt>
                <c:pt idx="205">
                  <c:v>44165</c:v>
                </c:pt>
                <c:pt idx="206">
                  <c:v>44166</c:v>
                </c:pt>
                <c:pt idx="207">
                  <c:v>44167</c:v>
                </c:pt>
                <c:pt idx="208">
                  <c:v>44168</c:v>
                </c:pt>
                <c:pt idx="209">
                  <c:v>44169</c:v>
                </c:pt>
                <c:pt idx="210">
                  <c:v>44170</c:v>
                </c:pt>
                <c:pt idx="211">
                  <c:v>44171</c:v>
                </c:pt>
                <c:pt idx="212">
                  <c:v>44172</c:v>
                </c:pt>
                <c:pt idx="213">
                  <c:v>44173</c:v>
                </c:pt>
                <c:pt idx="214">
                  <c:v>44174</c:v>
                </c:pt>
                <c:pt idx="215">
                  <c:v>44175</c:v>
                </c:pt>
                <c:pt idx="216">
                  <c:v>44176</c:v>
                </c:pt>
                <c:pt idx="217">
                  <c:v>44177</c:v>
                </c:pt>
                <c:pt idx="218">
                  <c:v>44178</c:v>
                </c:pt>
                <c:pt idx="219">
                  <c:v>44179</c:v>
                </c:pt>
                <c:pt idx="220">
                  <c:v>44180</c:v>
                </c:pt>
                <c:pt idx="221">
                  <c:v>44181</c:v>
                </c:pt>
              </c:numCache>
            </c:numRef>
          </c:xVal>
          <c:yVal>
            <c:numRef>
              <c:f>[0]!zip_positive_rate_deriv.</c:f>
              <c:numCache>
                <c:formatCode>0.0%</c:formatCode>
                <c:ptCount val="222"/>
                <c:pt idx="0">
                  <c:v>0.18666666666666668</c:v>
                </c:pt>
                <c:pt idx="1">
                  <c:v>0.17307692307692307</c:v>
                </c:pt>
                <c:pt idx="2">
                  <c:v>0.16279069767441862</c:v>
                </c:pt>
                <c:pt idx="3">
                  <c:v>0.15384615384615385</c:v>
                </c:pt>
                <c:pt idx="4">
                  <c:v>0.2</c:v>
                </c:pt>
                <c:pt idx="5">
                  <c:v>0.33333333333333331</c:v>
                </c:pt>
                <c:pt idx="6">
                  <c:v>0.14117647058823529</c:v>
                </c:pt>
                <c:pt idx="7">
                  <c:v>0.14516129032258066</c:v>
                </c:pt>
                <c:pt idx="8">
                  <c:v>0.14942528735632185</c:v>
                </c:pt>
                <c:pt idx="9">
                  <c:v>0.30645161290322581</c:v>
                </c:pt>
                <c:pt idx="10">
                  <c:v>0.2</c:v>
                </c:pt>
                <c:pt idx="11">
                  <c:v>0.1</c:v>
                </c:pt>
                <c:pt idx="12">
                  <c:v>0.13636363636363635</c:v>
                </c:pt>
                <c:pt idx="13">
                  <c:v>0.1276595744680851</c:v>
                </c:pt>
                <c:pt idx="14">
                  <c:v>9.583333333333334E-2</c:v>
                </c:pt>
                <c:pt idx="15">
                  <c:v>0.16964285714285715</c:v>
                </c:pt>
                <c:pt idx="16">
                  <c:v>6.4220183486238536E-2</c:v>
                </c:pt>
                <c:pt idx="17">
                  <c:v>7.0000000000000007E-2</c:v>
                </c:pt>
                <c:pt idx="18">
                  <c:v>0.13235294117647059</c:v>
                </c:pt>
                <c:pt idx="19">
                  <c:v>6.9306930693069313E-2</c:v>
                </c:pt>
                <c:pt idx="20">
                  <c:v>0.1728395061728395</c:v>
                </c:pt>
                <c:pt idx="21">
                  <c:v>8.8235294117647065E-2</c:v>
                </c:pt>
                <c:pt idx="22">
                  <c:v>4.3859649122807015E-2</c:v>
                </c:pt>
                <c:pt idx="23">
                  <c:v>0.1</c:v>
                </c:pt>
                <c:pt idx="24">
                  <c:v>0.10526315789473684</c:v>
                </c:pt>
                <c:pt idx="25">
                  <c:v>7.8125E-2</c:v>
                </c:pt>
                <c:pt idx="26">
                  <c:v>2.4691358024691357E-2</c:v>
                </c:pt>
                <c:pt idx="27">
                  <c:v>0.13114754098360656</c:v>
                </c:pt>
                <c:pt idx="28">
                  <c:v>3.5294117647058823E-2</c:v>
                </c:pt>
                <c:pt idx="29">
                  <c:v>6.6666666666666666E-2</c:v>
                </c:pt>
                <c:pt idx="30">
                  <c:v>4.8001187345380898E-2</c:v>
                </c:pt>
                <c:pt idx="31">
                  <c:v>3.0912818000496216E-2</c:v>
                </c:pt>
                <c:pt idx="32">
                  <c:v>1.4492753623188406E-2</c:v>
                </c:pt>
                <c:pt idx="33">
                  <c:v>1.2812479914589111E-2</c:v>
                </c:pt>
                <c:pt idx="34">
                  <c:v>1.2055741767012643E-2</c:v>
                </c:pt>
                <c:pt idx="35">
                  <c:v>9.2307692307692313E-2</c:v>
                </c:pt>
                <c:pt idx="36">
                  <c:v>4.8192771084337352E-2</c:v>
                </c:pt>
                <c:pt idx="37">
                  <c:v>3.8461538461538464E-2</c:v>
                </c:pt>
                <c:pt idx="38">
                  <c:v>4.1095890410958902E-2</c:v>
                </c:pt>
                <c:pt idx="39">
                  <c:v>2.1739130434782608E-2</c:v>
                </c:pt>
                <c:pt idx="40">
                  <c:v>2.8571428571428571E-2</c:v>
                </c:pt>
                <c:pt idx="41">
                  <c:v>9.5744680851063829E-2</c:v>
                </c:pt>
                <c:pt idx="42">
                  <c:v>6.4516129032258063E-2</c:v>
                </c:pt>
                <c:pt idx="43">
                  <c:v>5.1020408163265307E-2</c:v>
                </c:pt>
                <c:pt idx="44">
                  <c:v>2.197802197802198E-2</c:v>
                </c:pt>
                <c:pt idx="45">
                  <c:v>2.9411764705882353E-2</c:v>
                </c:pt>
                <c:pt idx="46">
                  <c:v>3.2258064516129031E-2</c:v>
                </c:pt>
                <c:pt idx="47">
                  <c:v>4.4247787610619468E-2</c:v>
                </c:pt>
                <c:pt idx="48">
                  <c:v>3.9197651109619841E-2</c:v>
                </c:pt>
                <c:pt idx="49">
                  <c:v>3.86291712132312E-2</c:v>
                </c:pt>
                <c:pt idx="50">
                  <c:v>0</c:v>
                </c:pt>
                <c:pt idx="51">
                  <c:v>0.01</c:v>
                </c:pt>
                <c:pt idx="52">
                  <c:v>2.564102564102564E-2</c:v>
                </c:pt>
                <c:pt idx="53">
                  <c:v>1.8018018018018018E-2</c:v>
                </c:pt>
                <c:pt idx="54">
                  <c:v>5.1546391752577317E-2</c:v>
                </c:pt>
                <c:pt idx="55">
                  <c:v>1.2578616352201259E-2</c:v>
                </c:pt>
                <c:pt idx="56">
                  <c:v>1.6E-2</c:v>
                </c:pt>
                <c:pt idx="57">
                  <c:v>1.1362129105278167E-2</c:v>
                </c:pt>
                <c:pt idx="58">
                  <c:v>1.1237499297479759E-2</c:v>
                </c:pt>
                <c:pt idx="59">
                  <c:v>1.4705882352941176E-2</c:v>
                </c:pt>
                <c:pt idx="60">
                  <c:v>0</c:v>
                </c:pt>
                <c:pt idx="61">
                  <c:v>9.0909090909090905E-3</c:v>
                </c:pt>
                <c:pt idx="62">
                  <c:v>0</c:v>
                </c:pt>
                <c:pt idx="63">
                  <c:v>7.462686567164179E-3</c:v>
                </c:pt>
                <c:pt idx="64">
                  <c:v>1.5037593984962405E-2</c:v>
                </c:pt>
                <c:pt idx="65">
                  <c:v>4.5045045045045043E-2</c:v>
                </c:pt>
                <c:pt idx="66">
                  <c:v>2.9850746268656716E-2</c:v>
                </c:pt>
                <c:pt idx="67">
                  <c:v>2.1897810218978103E-2</c:v>
                </c:pt>
                <c:pt idx="68">
                  <c:v>3.6764705882352942E-2</c:v>
                </c:pt>
                <c:pt idx="69">
                  <c:v>2.9577566818486086E-3</c:v>
                </c:pt>
                <c:pt idx="70">
                  <c:v>4.9518724828473779E-3</c:v>
                </c:pt>
                <c:pt idx="71">
                  <c:v>4.4444444444444444E-3</c:v>
                </c:pt>
                <c:pt idx="72">
                  <c:v>5.8823529411764705E-2</c:v>
                </c:pt>
                <c:pt idx="73">
                  <c:v>1.4563193916353667E-2</c:v>
                </c:pt>
                <c:pt idx="74">
                  <c:v>1.4423106131711912E-2</c:v>
                </c:pt>
                <c:pt idx="75">
                  <c:v>3.2000000000000001E-2</c:v>
                </c:pt>
                <c:pt idx="76">
                  <c:v>2.5974025974025976E-2</c:v>
                </c:pt>
                <c:pt idx="77">
                  <c:v>3.125E-2</c:v>
                </c:pt>
                <c:pt idx="78">
                  <c:v>2.5974025974025976E-2</c:v>
                </c:pt>
                <c:pt idx="79">
                  <c:v>2.5316455696202531E-2</c:v>
                </c:pt>
                <c:pt idx="80">
                  <c:v>1.7241379310344827E-2</c:v>
                </c:pt>
                <c:pt idx="81">
                  <c:v>7.4999999999999997E-2</c:v>
                </c:pt>
                <c:pt idx="82">
                  <c:v>6.25E-2</c:v>
                </c:pt>
                <c:pt idx="83">
                  <c:v>4.2056074766355138E-2</c:v>
                </c:pt>
                <c:pt idx="84">
                  <c:v>4.9079754601226995E-2</c:v>
                </c:pt>
                <c:pt idx="85">
                  <c:v>2.0270270270270271E-2</c:v>
                </c:pt>
                <c:pt idx="86">
                  <c:v>2.6666666666666668E-2</c:v>
                </c:pt>
                <c:pt idx="87">
                  <c:v>0</c:v>
                </c:pt>
                <c:pt idx="88">
                  <c:v>3.7037037037037035E-2</c:v>
                </c:pt>
                <c:pt idx="89">
                  <c:v>3.125E-2</c:v>
                </c:pt>
                <c:pt idx="90">
                  <c:v>5.7591623036649213E-2</c:v>
                </c:pt>
                <c:pt idx="91">
                  <c:v>2.6455026455026454E-2</c:v>
                </c:pt>
                <c:pt idx="92">
                  <c:v>5.0314465408805034E-2</c:v>
                </c:pt>
                <c:pt idx="93">
                  <c:v>0</c:v>
                </c:pt>
                <c:pt idx="94">
                  <c:v>1.6E-2</c:v>
                </c:pt>
                <c:pt idx="95">
                  <c:v>1.6E-2</c:v>
                </c:pt>
                <c:pt idx="96">
                  <c:v>0.06</c:v>
                </c:pt>
                <c:pt idx="97">
                  <c:v>5.3892215568862277E-2</c:v>
                </c:pt>
                <c:pt idx="98">
                  <c:v>4.3689320388349516E-2</c:v>
                </c:pt>
                <c:pt idx="99">
                  <c:v>4.9586776859504134E-2</c:v>
                </c:pt>
                <c:pt idx="100">
                  <c:v>1.7964071856287425E-2</c:v>
                </c:pt>
                <c:pt idx="101">
                  <c:v>8.5878238648299049E-2</c:v>
                </c:pt>
                <c:pt idx="102">
                  <c:v>8.5942707442841229E-2</c:v>
                </c:pt>
                <c:pt idx="103">
                  <c:v>5.7471264367816091E-2</c:v>
                </c:pt>
                <c:pt idx="104">
                  <c:v>4.736842105263158E-2</c:v>
                </c:pt>
                <c:pt idx="105">
                  <c:v>3.482587064676617E-2</c:v>
                </c:pt>
                <c:pt idx="106">
                  <c:v>2.0689655172413793E-2</c:v>
                </c:pt>
                <c:pt idx="107">
                  <c:v>4.9645390070921988E-2</c:v>
                </c:pt>
                <c:pt idx="108">
                  <c:v>5.1724137931034482E-2</c:v>
                </c:pt>
                <c:pt idx="109">
                  <c:v>8.5526315789473686E-2</c:v>
                </c:pt>
                <c:pt idx="110">
                  <c:v>0.12418300653594772</c:v>
                </c:pt>
                <c:pt idx="111">
                  <c:v>6.1068702290076333E-2</c:v>
                </c:pt>
                <c:pt idx="112">
                  <c:v>1.020408163265306E-2</c:v>
                </c:pt>
                <c:pt idx="113">
                  <c:v>3.7267080745341616E-2</c:v>
                </c:pt>
                <c:pt idx="114">
                  <c:v>1.0309278350515464E-2</c:v>
                </c:pt>
                <c:pt idx="115">
                  <c:v>6.0606060606060608E-2</c:v>
                </c:pt>
                <c:pt idx="116">
                  <c:v>9.2436974789915971E-2</c:v>
                </c:pt>
                <c:pt idx="117">
                  <c:v>3.2924839596339704E-2</c:v>
                </c:pt>
                <c:pt idx="118">
                  <c:v>9.6276910151701506E-3</c:v>
                </c:pt>
                <c:pt idx="119">
                  <c:v>0.11013215859030837</c:v>
                </c:pt>
                <c:pt idx="120">
                  <c:v>2.34375E-2</c:v>
                </c:pt>
                <c:pt idx="121">
                  <c:v>6.5217391304347824E-2</c:v>
                </c:pt>
                <c:pt idx="122">
                  <c:v>6.1643835616438353E-2</c:v>
                </c:pt>
                <c:pt idx="123">
                  <c:v>2.4390243902439025E-2</c:v>
                </c:pt>
                <c:pt idx="124">
                  <c:v>7.6923076923076927E-2</c:v>
                </c:pt>
                <c:pt idx="125">
                  <c:v>5.2287581699346407E-2</c:v>
                </c:pt>
                <c:pt idx="126">
                  <c:v>1.8018018018018018E-2</c:v>
                </c:pt>
                <c:pt idx="127">
                  <c:v>2.5423728813559324E-2</c:v>
                </c:pt>
                <c:pt idx="128">
                  <c:v>2.4590163934426229E-2</c:v>
                </c:pt>
                <c:pt idx="129">
                  <c:v>5.8823529411764705E-2</c:v>
                </c:pt>
                <c:pt idx="130">
                  <c:v>9.696969696969697E-2</c:v>
                </c:pt>
                <c:pt idx="131">
                  <c:v>2.1897810218978103E-2</c:v>
                </c:pt>
                <c:pt idx="132">
                  <c:v>6.0869565217391307E-2</c:v>
                </c:pt>
                <c:pt idx="133">
                  <c:v>2.7149321266968326E-2</c:v>
                </c:pt>
                <c:pt idx="134">
                  <c:v>1.4084507042253521E-2</c:v>
                </c:pt>
                <c:pt idx="135">
                  <c:v>2.5316455696202531E-2</c:v>
                </c:pt>
                <c:pt idx="136">
                  <c:v>9.1954022988505746E-2</c:v>
                </c:pt>
                <c:pt idx="137">
                  <c:v>4.0322580645161289E-2</c:v>
                </c:pt>
                <c:pt idx="138">
                  <c:v>9.1743119266055051E-3</c:v>
                </c:pt>
                <c:pt idx="139">
                  <c:v>4.1916167664670656E-2</c:v>
                </c:pt>
                <c:pt idx="140">
                  <c:v>4.4444444444444446E-2</c:v>
                </c:pt>
                <c:pt idx="141">
                  <c:v>3.7735849056603772E-2</c:v>
                </c:pt>
                <c:pt idx="142">
                  <c:v>3.4883720930232558E-2</c:v>
                </c:pt>
                <c:pt idx="143">
                  <c:v>4.3478260869565216E-2</c:v>
                </c:pt>
                <c:pt idx="144">
                  <c:v>6.0344827586206899E-2</c:v>
                </c:pt>
                <c:pt idx="145">
                  <c:v>4.4692737430167599E-2</c:v>
                </c:pt>
                <c:pt idx="146">
                  <c:v>1.9108280254777069E-2</c:v>
                </c:pt>
                <c:pt idx="147">
                  <c:v>3.4632034632034632E-2</c:v>
                </c:pt>
                <c:pt idx="148">
                  <c:v>3.5971223021582732E-2</c:v>
                </c:pt>
                <c:pt idx="149">
                  <c:v>0.10967741935483871</c:v>
                </c:pt>
                <c:pt idx="150">
                  <c:v>5.5944055944055944E-2</c:v>
                </c:pt>
                <c:pt idx="151">
                  <c:v>0.11235955056179775</c:v>
                </c:pt>
                <c:pt idx="152">
                  <c:v>9.1703056768558958E-2</c:v>
                </c:pt>
                <c:pt idx="153">
                  <c:v>7.0707070707070704E-2</c:v>
                </c:pt>
                <c:pt idx="154">
                  <c:v>7.4468085106382975E-2</c:v>
                </c:pt>
                <c:pt idx="155">
                  <c:v>7.2136169242418724E-2</c:v>
                </c:pt>
                <c:pt idx="156">
                  <c:v>4.9508960870811476E-2</c:v>
                </c:pt>
                <c:pt idx="157">
                  <c:v>7.575757575757576E-2</c:v>
                </c:pt>
                <c:pt idx="158">
                  <c:v>9.3339114343009205E-2</c:v>
                </c:pt>
                <c:pt idx="159">
                  <c:v>9.357588558207873E-2</c:v>
                </c:pt>
                <c:pt idx="160">
                  <c:v>6.9498069498069498E-2</c:v>
                </c:pt>
                <c:pt idx="161">
                  <c:v>9.1895930736284007E-2</c:v>
                </c:pt>
                <c:pt idx="162">
                  <c:v>9.2164708750448521E-2</c:v>
                </c:pt>
                <c:pt idx="163">
                  <c:v>9.2434272888920685E-2</c:v>
                </c:pt>
                <c:pt idx="164">
                  <c:v>9.2704625450891462E-2</c:v>
                </c:pt>
                <c:pt idx="165">
                  <c:v>9.2975768742379547E-2</c:v>
                </c:pt>
                <c:pt idx="166">
                  <c:v>9.3247705076104651E-2</c:v>
                </c:pt>
                <c:pt idx="167">
                  <c:v>9.3520436771624735E-2</c:v>
                </c:pt>
                <c:pt idx="168">
                  <c:v>9.3793966155102632E-2</c:v>
                </c:pt>
                <c:pt idx="169">
                  <c:v>9.4068295559734227E-2</c:v>
                </c:pt>
                <c:pt idx="170">
                  <c:v>9.4343427325359733E-2</c:v>
                </c:pt>
                <c:pt idx="171">
                  <c:v>9.4619363798784634E-2</c:v>
                </c:pt>
                <c:pt idx="172">
                  <c:v>0.10993480553653807</c:v>
                </c:pt>
                <c:pt idx="173">
                  <c:v>0.11052123254731512</c:v>
                </c:pt>
                <c:pt idx="174">
                  <c:v>0.11111078774512047</c:v>
                </c:pt>
                <c:pt idx="175">
                  <c:v>9.0787957548173592E-2</c:v>
                </c:pt>
                <c:pt idx="176">
                  <c:v>9.1028859639212645E-2</c:v>
                </c:pt>
                <c:pt idx="177">
                  <c:v>0.12245701510816071</c:v>
                </c:pt>
                <c:pt idx="178">
                  <c:v>0.12316166400688093</c:v>
                </c:pt>
                <c:pt idx="179">
                  <c:v>0.12387036763513094</c:v>
                </c:pt>
                <c:pt idx="180">
                  <c:v>0.18723404255319148</c:v>
                </c:pt>
                <c:pt idx="181">
                  <c:v>0.16942892827260345</c:v>
                </c:pt>
                <c:pt idx="182">
                  <c:v>0.17147007585673368</c:v>
                </c:pt>
                <c:pt idx="183">
                  <c:v>0.1282798833819242</c:v>
                </c:pt>
                <c:pt idx="184">
                  <c:v>0.16190476190476191</c:v>
                </c:pt>
                <c:pt idx="185">
                  <c:v>0.18250950570342206</c:v>
                </c:pt>
                <c:pt idx="186">
                  <c:v>0.13879003558718861</c:v>
                </c:pt>
                <c:pt idx="187">
                  <c:v>0.21268656716417911</c:v>
                </c:pt>
                <c:pt idx="188">
                  <c:v>0.20469798657718122</c:v>
                </c:pt>
                <c:pt idx="189">
                  <c:v>0.14331210191082802</c:v>
                </c:pt>
                <c:pt idx="190">
                  <c:v>0.14594594594594595</c:v>
                </c:pt>
                <c:pt idx="191">
                  <c:v>0.1623931623931624</c:v>
                </c:pt>
                <c:pt idx="192">
                  <c:v>0.23744292237442921</c:v>
                </c:pt>
                <c:pt idx="193">
                  <c:v>4.9689440993788817E-2</c:v>
                </c:pt>
                <c:pt idx="194">
                  <c:v>0.17847769028871391</c:v>
                </c:pt>
                <c:pt idx="195">
                  <c:v>0.1373134328358209</c:v>
                </c:pt>
                <c:pt idx="196">
                  <c:v>9.6858638743455502E-2</c:v>
                </c:pt>
                <c:pt idx="197">
                  <c:v>0.10037174721189591</c:v>
                </c:pt>
                <c:pt idx="198">
                  <c:v>0.10810810810810811</c:v>
                </c:pt>
                <c:pt idx="199">
                  <c:v>9.1346153846153841E-2</c:v>
                </c:pt>
                <c:pt idx="200">
                  <c:v>0.15124153498871332</c:v>
                </c:pt>
                <c:pt idx="201">
                  <c:v>0.13183279742765272</c:v>
                </c:pt>
                <c:pt idx="202">
                  <c:v>4.3956043956043959E-2</c:v>
                </c:pt>
                <c:pt idx="203">
                  <c:v>0.11834319526627218</c:v>
                </c:pt>
                <c:pt idx="204">
                  <c:v>0.12777777777777777</c:v>
                </c:pt>
                <c:pt idx="205">
                  <c:v>0.12334801762114538</c:v>
                </c:pt>
                <c:pt idx="206">
                  <c:v>0.16842105263157894</c:v>
                </c:pt>
                <c:pt idx="207">
                  <c:v>0.14022140221402213</c:v>
                </c:pt>
                <c:pt idx="208">
                  <c:v>0.12694300518134716</c:v>
                </c:pt>
                <c:pt idx="209">
                  <c:v>0.109717868338558</c:v>
                </c:pt>
                <c:pt idx="210">
                  <c:v>9.8765432098765427E-2</c:v>
                </c:pt>
                <c:pt idx="211">
                  <c:v>0.13692946058091288</c:v>
                </c:pt>
                <c:pt idx="212">
                  <c:v>0.13833992094861661</c:v>
                </c:pt>
                <c:pt idx="213">
                  <c:v>6.9672131147540978E-2</c:v>
                </c:pt>
                <c:pt idx="214">
                  <c:v>0.11570247933884298</c:v>
                </c:pt>
                <c:pt idx="215">
                  <c:v>0.17735849056603772</c:v>
                </c:pt>
                <c:pt idx="216">
                  <c:v>0.12142857142857143</c:v>
                </c:pt>
                <c:pt idx="217">
                  <c:v>0.14029850746268657</c:v>
                </c:pt>
                <c:pt idx="218">
                  <c:v>0.15083798882681565</c:v>
                </c:pt>
                <c:pt idx="219">
                  <c:v>0.10472972972972973</c:v>
                </c:pt>
                <c:pt idx="220">
                  <c:v>0.11068702290076336</c:v>
                </c:pt>
                <c:pt idx="221">
                  <c:v>0.14666666666666667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64-4AE1-8B66-48572EB02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159152"/>
        <c:axId val="192951488"/>
      </c:scatterChart>
      <c:valAx>
        <c:axId val="145159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951488"/>
        <c:crosses val="autoZero"/>
        <c:crossBetween val="midCat"/>
      </c:valAx>
      <c:valAx>
        <c:axId val="192951488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15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222"/>
                <c:pt idx="0">
                  <c:v>43960</c:v>
                </c:pt>
                <c:pt idx="1">
                  <c:v>43961</c:v>
                </c:pt>
                <c:pt idx="2">
                  <c:v>43962</c:v>
                </c:pt>
                <c:pt idx="3">
                  <c:v>43963</c:v>
                </c:pt>
                <c:pt idx="4">
                  <c:v>43964</c:v>
                </c:pt>
                <c:pt idx="5">
                  <c:v>43965</c:v>
                </c:pt>
                <c:pt idx="6">
                  <c:v>43966</c:v>
                </c:pt>
                <c:pt idx="7">
                  <c:v>43967</c:v>
                </c:pt>
                <c:pt idx="8">
                  <c:v>43968</c:v>
                </c:pt>
                <c:pt idx="9">
                  <c:v>43969</c:v>
                </c:pt>
                <c:pt idx="10">
                  <c:v>43970</c:v>
                </c:pt>
                <c:pt idx="11">
                  <c:v>43971</c:v>
                </c:pt>
                <c:pt idx="12">
                  <c:v>43972</c:v>
                </c:pt>
                <c:pt idx="13">
                  <c:v>43973</c:v>
                </c:pt>
                <c:pt idx="14">
                  <c:v>43974</c:v>
                </c:pt>
                <c:pt idx="15">
                  <c:v>43975</c:v>
                </c:pt>
                <c:pt idx="16">
                  <c:v>43976</c:v>
                </c:pt>
                <c:pt idx="17">
                  <c:v>43977</c:v>
                </c:pt>
                <c:pt idx="18">
                  <c:v>43978</c:v>
                </c:pt>
                <c:pt idx="19">
                  <c:v>43979</c:v>
                </c:pt>
                <c:pt idx="20">
                  <c:v>43980</c:v>
                </c:pt>
                <c:pt idx="21">
                  <c:v>43981</c:v>
                </c:pt>
                <c:pt idx="22">
                  <c:v>43982</c:v>
                </c:pt>
                <c:pt idx="23">
                  <c:v>43983</c:v>
                </c:pt>
                <c:pt idx="24">
                  <c:v>43984</c:v>
                </c:pt>
                <c:pt idx="25">
                  <c:v>43985</c:v>
                </c:pt>
                <c:pt idx="26">
                  <c:v>43986</c:v>
                </c:pt>
                <c:pt idx="27">
                  <c:v>43987</c:v>
                </c:pt>
                <c:pt idx="28">
                  <c:v>43988</c:v>
                </c:pt>
                <c:pt idx="29">
                  <c:v>43989</c:v>
                </c:pt>
                <c:pt idx="30">
                  <c:v>43990</c:v>
                </c:pt>
                <c:pt idx="31">
                  <c:v>43991</c:v>
                </c:pt>
                <c:pt idx="32">
                  <c:v>43992</c:v>
                </c:pt>
                <c:pt idx="33">
                  <c:v>43993</c:v>
                </c:pt>
                <c:pt idx="34">
                  <c:v>43994</c:v>
                </c:pt>
                <c:pt idx="35">
                  <c:v>43995</c:v>
                </c:pt>
                <c:pt idx="36">
                  <c:v>43996</c:v>
                </c:pt>
                <c:pt idx="37">
                  <c:v>43997</c:v>
                </c:pt>
                <c:pt idx="38">
                  <c:v>43998</c:v>
                </c:pt>
                <c:pt idx="39">
                  <c:v>43999</c:v>
                </c:pt>
                <c:pt idx="40">
                  <c:v>44000</c:v>
                </c:pt>
                <c:pt idx="41">
                  <c:v>44001</c:v>
                </c:pt>
                <c:pt idx="42">
                  <c:v>44002</c:v>
                </c:pt>
                <c:pt idx="43">
                  <c:v>44003</c:v>
                </c:pt>
                <c:pt idx="44">
                  <c:v>44004</c:v>
                </c:pt>
                <c:pt idx="45">
                  <c:v>44005</c:v>
                </c:pt>
                <c:pt idx="46">
                  <c:v>44006</c:v>
                </c:pt>
                <c:pt idx="47">
                  <c:v>44007</c:v>
                </c:pt>
                <c:pt idx="48">
                  <c:v>44008</c:v>
                </c:pt>
                <c:pt idx="49">
                  <c:v>44009</c:v>
                </c:pt>
                <c:pt idx="50">
                  <c:v>44010</c:v>
                </c:pt>
                <c:pt idx="51">
                  <c:v>44011</c:v>
                </c:pt>
                <c:pt idx="52">
                  <c:v>44012</c:v>
                </c:pt>
                <c:pt idx="53">
                  <c:v>44013</c:v>
                </c:pt>
                <c:pt idx="54">
                  <c:v>44014</c:v>
                </c:pt>
                <c:pt idx="55">
                  <c:v>44015</c:v>
                </c:pt>
                <c:pt idx="56">
                  <c:v>44016</c:v>
                </c:pt>
                <c:pt idx="57">
                  <c:v>44017</c:v>
                </c:pt>
                <c:pt idx="58">
                  <c:v>44018</c:v>
                </c:pt>
                <c:pt idx="59">
                  <c:v>44019</c:v>
                </c:pt>
                <c:pt idx="60">
                  <c:v>44020</c:v>
                </c:pt>
                <c:pt idx="61">
                  <c:v>44021</c:v>
                </c:pt>
                <c:pt idx="62">
                  <c:v>44022</c:v>
                </c:pt>
                <c:pt idx="63">
                  <c:v>44023</c:v>
                </c:pt>
                <c:pt idx="64">
                  <c:v>44024</c:v>
                </c:pt>
                <c:pt idx="65">
                  <c:v>44025</c:v>
                </c:pt>
                <c:pt idx="66">
                  <c:v>44026</c:v>
                </c:pt>
                <c:pt idx="67">
                  <c:v>44027</c:v>
                </c:pt>
                <c:pt idx="68">
                  <c:v>44028</c:v>
                </c:pt>
                <c:pt idx="69">
                  <c:v>44029</c:v>
                </c:pt>
                <c:pt idx="70">
                  <c:v>44030</c:v>
                </c:pt>
                <c:pt idx="71">
                  <c:v>44031</c:v>
                </c:pt>
                <c:pt idx="72">
                  <c:v>44032</c:v>
                </c:pt>
                <c:pt idx="73">
                  <c:v>44033</c:v>
                </c:pt>
                <c:pt idx="74">
                  <c:v>44034</c:v>
                </c:pt>
                <c:pt idx="75">
                  <c:v>44035</c:v>
                </c:pt>
                <c:pt idx="76">
                  <c:v>44036</c:v>
                </c:pt>
                <c:pt idx="77">
                  <c:v>44037</c:v>
                </c:pt>
                <c:pt idx="78">
                  <c:v>44038</c:v>
                </c:pt>
                <c:pt idx="79">
                  <c:v>44039</c:v>
                </c:pt>
                <c:pt idx="80">
                  <c:v>44040</c:v>
                </c:pt>
                <c:pt idx="81">
                  <c:v>44041</c:v>
                </c:pt>
                <c:pt idx="82">
                  <c:v>44042</c:v>
                </c:pt>
                <c:pt idx="83">
                  <c:v>44043</c:v>
                </c:pt>
                <c:pt idx="84">
                  <c:v>44044</c:v>
                </c:pt>
                <c:pt idx="85">
                  <c:v>44045</c:v>
                </c:pt>
                <c:pt idx="86">
                  <c:v>44046</c:v>
                </c:pt>
                <c:pt idx="87">
                  <c:v>44047</c:v>
                </c:pt>
                <c:pt idx="88">
                  <c:v>44048</c:v>
                </c:pt>
                <c:pt idx="89">
                  <c:v>44049</c:v>
                </c:pt>
                <c:pt idx="90">
                  <c:v>44050</c:v>
                </c:pt>
                <c:pt idx="91">
                  <c:v>44051</c:v>
                </c:pt>
                <c:pt idx="92">
                  <c:v>44052</c:v>
                </c:pt>
                <c:pt idx="93">
                  <c:v>44053</c:v>
                </c:pt>
                <c:pt idx="94">
                  <c:v>44054</c:v>
                </c:pt>
                <c:pt idx="95">
                  <c:v>44055</c:v>
                </c:pt>
                <c:pt idx="96">
                  <c:v>44056</c:v>
                </c:pt>
                <c:pt idx="97">
                  <c:v>44057</c:v>
                </c:pt>
                <c:pt idx="98">
                  <c:v>44058</c:v>
                </c:pt>
                <c:pt idx="99">
                  <c:v>44059</c:v>
                </c:pt>
                <c:pt idx="100">
                  <c:v>44060</c:v>
                </c:pt>
                <c:pt idx="101">
                  <c:v>44061</c:v>
                </c:pt>
                <c:pt idx="102">
                  <c:v>44062</c:v>
                </c:pt>
                <c:pt idx="103">
                  <c:v>44063</c:v>
                </c:pt>
                <c:pt idx="104">
                  <c:v>44064</c:v>
                </c:pt>
                <c:pt idx="105">
                  <c:v>44065</c:v>
                </c:pt>
                <c:pt idx="106">
                  <c:v>44066</c:v>
                </c:pt>
                <c:pt idx="107">
                  <c:v>44067</c:v>
                </c:pt>
                <c:pt idx="108">
                  <c:v>44068</c:v>
                </c:pt>
                <c:pt idx="109">
                  <c:v>44069</c:v>
                </c:pt>
                <c:pt idx="110">
                  <c:v>44070</c:v>
                </c:pt>
                <c:pt idx="111">
                  <c:v>44071</c:v>
                </c:pt>
                <c:pt idx="112">
                  <c:v>44072</c:v>
                </c:pt>
                <c:pt idx="113">
                  <c:v>44073</c:v>
                </c:pt>
                <c:pt idx="114">
                  <c:v>44074</c:v>
                </c:pt>
                <c:pt idx="115">
                  <c:v>44075</c:v>
                </c:pt>
                <c:pt idx="116">
                  <c:v>44076</c:v>
                </c:pt>
                <c:pt idx="117">
                  <c:v>44077</c:v>
                </c:pt>
                <c:pt idx="118">
                  <c:v>44078</c:v>
                </c:pt>
                <c:pt idx="119">
                  <c:v>44079</c:v>
                </c:pt>
                <c:pt idx="120">
                  <c:v>44080</c:v>
                </c:pt>
                <c:pt idx="121">
                  <c:v>44081</c:v>
                </c:pt>
                <c:pt idx="122">
                  <c:v>44082</c:v>
                </c:pt>
                <c:pt idx="123">
                  <c:v>44083</c:v>
                </c:pt>
                <c:pt idx="124">
                  <c:v>44084</c:v>
                </c:pt>
                <c:pt idx="125">
                  <c:v>44085</c:v>
                </c:pt>
                <c:pt idx="126">
                  <c:v>44086</c:v>
                </c:pt>
                <c:pt idx="127">
                  <c:v>44087</c:v>
                </c:pt>
                <c:pt idx="128">
                  <c:v>44088</c:v>
                </c:pt>
                <c:pt idx="129">
                  <c:v>44089</c:v>
                </c:pt>
                <c:pt idx="130">
                  <c:v>44090</c:v>
                </c:pt>
                <c:pt idx="131">
                  <c:v>44091</c:v>
                </c:pt>
                <c:pt idx="132">
                  <c:v>44092</c:v>
                </c:pt>
                <c:pt idx="133">
                  <c:v>44093</c:v>
                </c:pt>
                <c:pt idx="134">
                  <c:v>44094</c:v>
                </c:pt>
                <c:pt idx="135">
                  <c:v>44095</c:v>
                </c:pt>
                <c:pt idx="136">
                  <c:v>44096</c:v>
                </c:pt>
                <c:pt idx="137">
                  <c:v>44097</c:v>
                </c:pt>
                <c:pt idx="138">
                  <c:v>44098</c:v>
                </c:pt>
                <c:pt idx="139">
                  <c:v>44099</c:v>
                </c:pt>
                <c:pt idx="140">
                  <c:v>44100</c:v>
                </c:pt>
                <c:pt idx="141">
                  <c:v>44101</c:v>
                </c:pt>
                <c:pt idx="142">
                  <c:v>44102</c:v>
                </c:pt>
                <c:pt idx="143">
                  <c:v>44103</c:v>
                </c:pt>
                <c:pt idx="144">
                  <c:v>44104</c:v>
                </c:pt>
                <c:pt idx="145">
                  <c:v>44105</c:v>
                </c:pt>
                <c:pt idx="146">
                  <c:v>44106</c:v>
                </c:pt>
                <c:pt idx="147">
                  <c:v>44107</c:v>
                </c:pt>
                <c:pt idx="148">
                  <c:v>44108</c:v>
                </c:pt>
                <c:pt idx="149">
                  <c:v>44109</c:v>
                </c:pt>
                <c:pt idx="150">
                  <c:v>44110</c:v>
                </c:pt>
                <c:pt idx="151">
                  <c:v>44111</c:v>
                </c:pt>
                <c:pt idx="152">
                  <c:v>44112</c:v>
                </c:pt>
                <c:pt idx="153">
                  <c:v>44113</c:v>
                </c:pt>
                <c:pt idx="154">
                  <c:v>44114</c:v>
                </c:pt>
                <c:pt idx="155">
                  <c:v>44115</c:v>
                </c:pt>
                <c:pt idx="156">
                  <c:v>44116</c:v>
                </c:pt>
                <c:pt idx="157">
                  <c:v>44117</c:v>
                </c:pt>
                <c:pt idx="158">
                  <c:v>44118</c:v>
                </c:pt>
                <c:pt idx="159">
                  <c:v>44119</c:v>
                </c:pt>
                <c:pt idx="160">
                  <c:v>44120</c:v>
                </c:pt>
                <c:pt idx="161">
                  <c:v>44121</c:v>
                </c:pt>
                <c:pt idx="162">
                  <c:v>44122</c:v>
                </c:pt>
                <c:pt idx="163">
                  <c:v>44123</c:v>
                </c:pt>
                <c:pt idx="164">
                  <c:v>44124</c:v>
                </c:pt>
                <c:pt idx="165">
                  <c:v>44125</c:v>
                </c:pt>
                <c:pt idx="166">
                  <c:v>44126</c:v>
                </c:pt>
                <c:pt idx="167">
                  <c:v>44127</c:v>
                </c:pt>
                <c:pt idx="168">
                  <c:v>44128</c:v>
                </c:pt>
                <c:pt idx="169">
                  <c:v>44129</c:v>
                </c:pt>
                <c:pt idx="170">
                  <c:v>44130</c:v>
                </c:pt>
                <c:pt idx="171">
                  <c:v>44131</c:v>
                </c:pt>
                <c:pt idx="172">
                  <c:v>44132</c:v>
                </c:pt>
                <c:pt idx="173">
                  <c:v>44133</c:v>
                </c:pt>
                <c:pt idx="174">
                  <c:v>44134</c:v>
                </c:pt>
                <c:pt idx="175">
                  <c:v>44135</c:v>
                </c:pt>
                <c:pt idx="176">
                  <c:v>44136</c:v>
                </c:pt>
                <c:pt idx="177">
                  <c:v>44137</c:v>
                </c:pt>
                <c:pt idx="178">
                  <c:v>44138</c:v>
                </c:pt>
                <c:pt idx="179">
                  <c:v>44139</c:v>
                </c:pt>
                <c:pt idx="180">
                  <c:v>44140</c:v>
                </c:pt>
                <c:pt idx="181">
                  <c:v>44141</c:v>
                </c:pt>
                <c:pt idx="182">
                  <c:v>44142</c:v>
                </c:pt>
                <c:pt idx="183">
                  <c:v>44143</c:v>
                </c:pt>
                <c:pt idx="184">
                  <c:v>44144</c:v>
                </c:pt>
                <c:pt idx="185">
                  <c:v>44145</c:v>
                </c:pt>
                <c:pt idx="186">
                  <c:v>44146</c:v>
                </c:pt>
                <c:pt idx="187">
                  <c:v>44147</c:v>
                </c:pt>
                <c:pt idx="188">
                  <c:v>44148</c:v>
                </c:pt>
                <c:pt idx="189">
                  <c:v>44149</c:v>
                </c:pt>
                <c:pt idx="190">
                  <c:v>44150</c:v>
                </c:pt>
                <c:pt idx="191">
                  <c:v>44151</c:v>
                </c:pt>
                <c:pt idx="192">
                  <c:v>44152</c:v>
                </c:pt>
                <c:pt idx="193">
                  <c:v>44153</c:v>
                </c:pt>
                <c:pt idx="194">
                  <c:v>44154</c:v>
                </c:pt>
                <c:pt idx="195">
                  <c:v>44155</c:v>
                </c:pt>
                <c:pt idx="196">
                  <c:v>44156</c:v>
                </c:pt>
                <c:pt idx="197">
                  <c:v>44157</c:v>
                </c:pt>
                <c:pt idx="198">
                  <c:v>44158</c:v>
                </c:pt>
                <c:pt idx="199">
                  <c:v>44159</c:v>
                </c:pt>
                <c:pt idx="200">
                  <c:v>44160</c:v>
                </c:pt>
                <c:pt idx="201">
                  <c:v>44161</c:v>
                </c:pt>
                <c:pt idx="202">
                  <c:v>44162</c:v>
                </c:pt>
                <c:pt idx="203">
                  <c:v>44163</c:v>
                </c:pt>
                <c:pt idx="204">
                  <c:v>44164</c:v>
                </c:pt>
                <c:pt idx="205">
                  <c:v>44165</c:v>
                </c:pt>
                <c:pt idx="206">
                  <c:v>44166</c:v>
                </c:pt>
                <c:pt idx="207">
                  <c:v>44167</c:v>
                </c:pt>
                <c:pt idx="208">
                  <c:v>44168</c:v>
                </c:pt>
                <c:pt idx="209">
                  <c:v>44169</c:v>
                </c:pt>
                <c:pt idx="210">
                  <c:v>44170</c:v>
                </c:pt>
                <c:pt idx="211">
                  <c:v>44171</c:v>
                </c:pt>
                <c:pt idx="212">
                  <c:v>44172</c:v>
                </c:pt>
                <c:pt idx="213">
                  <c:v>44173</c:v>
                </c:pt>
                <c:pt idx="214">
                  <c:v>44174</c:v>
                </c:pt>
                <c:pt idx="215">
                  <c:v>44175</c:v>
                </c:pt>
                <c:pt idx="216">
                  <c:v>44176</c:v>
                </c:pt>
                <c:pt idx="217">
                  <c:v>44177</c:v>
                </c:pt>
                <c:pt idx="218">
                  <c:v>44178</c:v>
                </c:pt>
                <c:pt idx="219">
                  <c:v>44179</c:v>
                </c:pt>
                <c:pt idx="220">
                  <c:v>44180</c:v>
                </c:pt>
                <c:pt idx="221">
                  <c:v>44181</c:v>
                </c:pt>
              </c:numCache>
            </c:numRef>
          </c:xVal>
          <c:yVal>
            <c:numRef>
              <c:f>[0]!zip_new_tests</c:f>
              <c:numCache>
                <c:formatCode>General</c:formatCode>
                <c:ptCount val="222"/>
                <c:pt idx="0">
                  <c:v>75</c:v>
                </c:pt>
                <c:pt idx="1">
                  <c:v>52</c:v>
                </c:pt>
                <c:pt idx="2">
                  <c:v>43</c:v>
                </c:pt>
                <c:pt idx="3">
                  <c:v>91</c:v>
                </c:pt>
                <c:pt idx="4">
                  <c:v>50</c:v>
                </c:pt>
                <c:pt idx="5">
                  <c:v>96</c:v>
                </c:pt>
                <c:pt idx="6">
                  <c:v>85</c:v>
                </c:pt>
                <c:pt idx="7">
                  <c:v>62</c:v>
                </c:pt>
                <c:pt idx="8">
                  <c:v>87</c:v>
                </c:pt>
                <c:pt idx="9">
                  <c:v>62</c:v>
                </c:pt>
                <c:pt idx="10">
                  <c:v>60</c:v>
                </c:pt>
                <c:pt idx="11">
                  <c:v>160</c:v>
                </c:pt>
                <c:pt idx="12">
                  <c:v>88</c:v>
                </c:pt>
                <c:pt idx="13">
                  <c:v>94</c:v>
                </c:pt>
                <c:pt idx="14">
                  <c:v>240</c:v>
                </c:pt>
                <c:pt idx="15">
                  <c:v>112</c:v>
                </c:pt>
                <c:pt idx="16">
                  <c:v>109</c:v>
                </c:pt>
                <c:pt idx="17">
                  <c:v>100</c:v>
                </c:pt>
                <c:pt idx="18">
                  <c:v>68</c:v>
                </c:pt>
                <c:pt idx="19">
                  <c:v>101</c:v>
                </c:pt>
                <c:pt idx="20">
                  <c:v>81</c:v>
                </c:pt>
                <c:pt idx="21">
                  <c:v>102</c:v>
                </c:pt>
                <c:pt idx="22">
                  <c:v>114</c:v>
                </c:pt>
                <c:pt idx="23">
                  <c:v>100</c:v>
                </c:pt>
                <c:pt idx="24">
                  <c:v>76</c:v>
                </c:pt>
                <c:pt idx="25">
                  <c:v>64</c:v>
                </c:pt>
                <c:pt idx="26">
                  <c:v>81</c:v>
                </c:pt>
                <c:pt idx="27">
                  <c:v>61</c:v>
                </c:pt>
                <c:pt idx="28">
                  <c:v>85</c:v>
                </c:pt>
                <c:pt idx="29">
                  <c:v>90</c:v>
                </c:pt>
                <c:pt idx="30">
                  <c:v>52</c:v>
                </c:pt>
                <c:pt idx="31">
                  <c:v>81</c:v>
                </c:pt>
                <c:pt idx="32">
                  <c:v>69</c:v>
                </c:pt>
                <c:pt idx="33">
                  <c:v>78</c:v>
                </c:pt>
                <c:pt idx="34">
                  <c:v>83</c:v>
                </c:pt>
                <c:pt idx="35">
                  <c:v>65</c:v>
                </c:pt>
                <c:pt idx="36">
                  <c:v>83</c:v>
                </c:pt>
                <c:pt idx="37">
                  <c:v>104</c:v>
                </c:pt>
                <c:pt idx="38">
                  <c:v>73</c:v>
                </c:pt>
                <c:pt idx="39">
                  <c:v>92</c:v>
                </c:pt>
                <c:pt idx="40">
                  <c:v>70</c:v>
                </c:pt>
                <c:pt idx="41">
                  <c:v>94</c:v>
                </c:pt>
                <c:pt idx="42">
                  <c:v>93</c:v>
                </c:pt>
                <c:pt idx="43">
                  <c:v>98</c:v>
                </c:pt>
                <c:pt idx="44">
                  <c:v>91</c:v>
                </c:pt>
                <c:pt idx="45">
                  <c:v>68</c:v>
                </c:pt>
                <c:pt idx="46">
                  <c:v>93</c:v>
                </c:pt>
                <c:pt idx="47">
                  <c:v>113</c:v>
                </c:pt>
                <c:pt idx="48">
                  <c:v>127.18655252173085</c:v>
                </c:pt>
                <c:pt idx="49">
                  <c:v>129.81344747826915</c:v>
                </c:pt>
                <c:pt idx="50">
                  <c:v>99</c:v>
                </c:pt>
                <c:pt idx="51">
                  <c:v>100</c:v>
                </c:pt>
                <c:pt idx="52">
                  <c:v>78</c:v>
                </c:pt>
                <c:pt idx="53">
                  <c:v>111</c:v>
                </c:pt>
                <c:pt idx="54">
                  <c:v>97</c:v>
                </c:pt>
                <c:pt idx="55">
                  <c:v>159</c:v>
                </c:pt>
                <c:pt idx="56">
                  <c:v>125</c:v>
                </c:pt>
                <c:pt idx="57">
                  <c:v>87.961496047679248</c:v>
                </c:pt>
                <c:pt idx="58">
                  <c:v>89.038503952320752</c:v>
                </c:pt>
                <c:pt idx="59">
                  <c:v>68</c:v>
                </c:pt>
                <c:pt idx="60">
                  <c:v>54</c:v>
                </c:pt>
                <c:pt idx="61">
                  <c:v>110</c:v>
                </c:pt>
                <c:pt idx="62">
                  <c:v>133</c:v>
                </c:pt>
                <c:pt idx="63">
                  <c:v>134</c:v>
                </c:pt>
                <c:pt idx="64">
                  <c:v>133</c:v>
                </c:pt>
                <c:pt idx="65">
                  <c:v>111</c:v>
                </c:pt>
                <c:pt idx="66">
                  <c:v>67</c:v>
                </c:pt>
                <c:pt idx="67">
                  <c:v>137</c:v>
                </c:pt>
                <c:pt idx="68">
                  <c:v>136</c:v>
                </c:pt>
                <c:pt idx="69">
                  <c:v>169</c:v>
                </c:pt>
                <c:pt idx="70">
                  <c:v>101</c:v>
                </c:pt>
                <c:pt idx="71">
                  <c:v>225</c:v>
                </c:pt>
                <c:pt idx="72">
                  <c:v>102</c:v>
                </c:pt>
                <c:pt idx="73">
                  <c:v>102.91426031543597</c:v>
                </c:pt>
                <c:pt idx="74">
                  <c:v>104.08573968456403</c:v>
                </c:pt>
                <c:pt idx="75">
                  <c:v>125</c:v>
                </c:pt>
                <c:pt idx="76">
                  <c:v>154</c:v>
                </c:pt>
                <c:pt idx="77">
                  <c:v>128</c:v>
                </c:pt>
                <c:pt idx="78">
                  <c:v>154</c:v>
                </c:pt>
                <c:pt idx="79">
                  <c:v>79</c:v>
                </c:pt>
                <c:pt idx="80">
                  <c:v>116</c:v>
                </c:pt>
                <c:pt idx="81">
                  <c:v>80</c:v>
                </c:pt>
                <c:pt idx="82">
                  <c:v>112</c:v>
                </c:pt>
                <c:pt idx="83">
                  <c:v>214</c:v>
                </c:pt>
                <c:pt idx="84">
                  <c:v>163</c:v>
                </c:pt>
                <c:pt idx="85">
                  <c:v>148</c:v>
                </c:pt>
                <c:pt idx="86">
                  <c:v>75</c:v>
                </c:pt>
                <c:pt idx="87">
                  <c:v>134</c:v>
                </c:pt>
                <c:pt idx="88">
                  <c:v>135</c:v>
                </c:pt>
                <c:pt idx="89">
                  <c:v>128</c:v>
                </c:pt>
                <c:pt idx="90">
                  <c:v>191</c:v>
                </c:pt>
                <c:pt idx="91">
                  <c:v>189</c:v>
                </c:pt>
                <c:pt idx="92">
                  <c:v>159</c:v>
                </c:pt>
                <c:pt idx="93">
                  <c:v>99</c:v>
                </c:pt>
                <c:pt idx="94">
                  <c:v>125</c:v>
                </c:pt>
                <c:pt idx="95">
                  <c:v>125</c:v>
                </c:pt>
                <c:pt idx="96">
                  <c:v>150</c:v>
                </c:pt>
                <c:pt idx="97">
                  <c:v>167</c:v>
                </c:pt>
                <c:pt idx="98">
                  <c:v>206</c:v>
                </c:pt>
                <c:pt idx="99">
                  <c:v>121</c:v>
                </c:pt>
                <c:pt idx="100">
                  <c:v>167</c:v>
                </c:pt>
                <c:pt idx="101">
                  <c:v>144.68807634822588</c:v>
                </c:pt>
                <c:pt idx="102">
                  <c:v>146.31192365177412</c:v>
                </c:pt>
                <c:pt idx="103">
                  <c:v>174</c:v>
                </c:pt>
                <c:pt idx="104">
                  <c:v>190</c:v>
                </c:pt>
                <c:pt idx="105">
                  <c:v>201</c:v>
                </c:pt>
                <c:pt idx="106">
                  <c:v>145</c:v>
                </c:pt>
                <c:pt idx="107">
                  <c:v>141</c:v>
                </c:pt>
                <c:pt idx="108">
                  <c:v>116</c:v>
                </c:pt>
                <c:pt idx="109">
                  <c:v>152</c:v>
                </c:pt>
                <c:pt idx="110">
                  <c:v>153</c:v>
                </c:pt>
                <c:pt idx="111">
                  <c:v>131</c:v>
                </c:pt>
                <c:pt idx="112">
                  <c:v>98</c:v>
                </c:pt>
                <c:pt idx="113">
                  <c:v>161</c:v>
                </c:pt>
                <c:pt idx="114">
                  <c:v>97</c:v>
                </c:pt>
                <c:pt idx="115">
                  <c:v>99</c:v>
                </c:pt>
                <c:pt idx="116">
                  <c:v>119</c:v>
                </c:pt>
                <c:pt idx="117">
                  <c:v>91</c:v>
                </c:pt>
                <c:pt idx="118">
                  <c:v>312</c:v>
                </c:pt>
                <c:pt idx="119">
                  <c:v>227</c:v>
                </c:pt>
                <c:pt idx="120">
                  <c:v>128</c:v>
                </c:pt>
                <c:pt idx="121">
                  <c:v>92</c:v>
                </c:pt>
                <c:pt idx="122">
                  <c:v>146</c:v>
                </c:pt>
                <c:pt idx="123">
                  <c:v>123</c:v>
                </c:pt>
                <c:pt idx="124">
                  <c:v>91</c:v>
                </c:pt>
                <c:pt idx="125">
                  <c:v>153</c:v>
                </c:pt>
                <c:pt idx="126">
                  <c:v>111</c:v>
                </c:pt>
                <c:pt idx="127">
                  <c:v>118</c:v>
                </c:pt>
                <c:pt idx="128">
                  <c:v>122</c:v>
                </c:pt>
                <c:pt idx="129">
                  <c:v>85</c:v>
                </c:pt>
                <c:pt idx="130">
                  <c:v>165</c:v>
                </c:pt>
                <c:pt idx="131">
                  <c:v>137</c:v>
                </c:pt>
                <c:pt idx="132">
                  <c:v>115</c:v>
                </c:pt>
                <c:pt idx="133">
                  <c:v>221</c:v>
                </c:pt>
                <c:pt idx="134">
                  <c:v>142</c:v>
                </c:pt>
                <c:pt idx="135">
                  <c:v>79</c:v>
                </c:pt>
                <c:pt idx="136">
                  <c:v>87</c:v>
                </c:pt>
                <c:pt idx="137">
                  <c:v>124</c:v>
                </c:pt>
                <c:pt idx="138">
                  <c:v>109</c:v>
                </c:pt>
                <c:pt idx="139">
                  <c:v>167</c:v>
                </c:pt>
                <c:pt idx="140">
                  <c:v>180</c:v>
                </c:pt>
                <c:pt idx="141">
                  <c:v>106</c:v>
                </c:pt>
                <c:pt idx="142">
                  <c:v>172</c:v>
                </c:pt>
                <c:pt idx="143">
                  <c:v>92</c:v>
                </c:pt>
                <c:pt idx="144">
                  <c:v>116</c:v>
                </c:pt>
                <c:pt idx="145">
                  <c:v>179</c:v>
                </c:pt>
                <c:pt idx="146">
                  <c:v>157</c:v>
                </c:pt>
                <c:pt idx="147">
                  <c:v>231</c:v>
                </c:pt>
                <c:pt idx="148">
                  <c:v>139</c:v>
                </c:pt>
                <c:pt idx="149">
                  <c:v>155</c:v>
                </c:pt>
                <c:pt idx="150">
                  <c:v>143</c:v>
                </c:pt>
                <c:pt idx="151">
                  <c:v>89</c:v>
                </c:pt>
                <c:pt idx="152">
                  <c:v>229</c:v>
                </c:pt>
                <c:pt idx="153">
                  <c:v>198</c:v>
                </c:pt>
                <c:pt idx="154">
                  <c:v>188</c:v>
                </c:pt>
                <c:pt idx="155">
                  <c:v>180.21472635055761</c:v>
                </c:pt>
                <c:pt idx="156">
                  <c:v>181.78527364944239</c:v>
                </c:pt>
                <c:pt idx="157">
                  <c:v>198</c:v>
                </c:pt>
                <c:pt idx="158">
                  <c:v>159.89810247247442</c:v>
                </c:pt>
                <c:pt idx="159">
                  <c:v>161.10189752752558</c:v>
                </c:pt>
                <c:pt idx="160">
                  <c:v>259</c:v>
                </c:pt>
                <c:pt idx="161">
                  <c:v>206.32620939519984</c:v>
                </c:pt>
                <c:pt idx="162">
                  <c:v>208.27728436124016</c:v>
                </c:pt>
                <c:pt idx="163">
                  <c:v>210.2468092058516</c:v>
                </c:pt>
                <c:pt idx="164">
                  <c:v>212.23495839604584</c:v>
                </c:pt>
                <c:pt idx="165">
                  <c:v>214.24190804854516</c:v>
                </c:pt>
                <c:pt idx="166">
                  <c:v>216.26783594538938</c:v>
                </c:pt>
                <c:pt idx="167">
                  <c:v>218.31292154981202</c:v>
                </c:pt>
                <c:pt idx="168">
                  <c:v>220.37734602239289</c:v>
                </c:pt>
                <c:pt idx="169">
                  <c:v>222.46129223626122</c:v>
                </c:pt>
                <c:pt idx="170">
                  <c:v>224.56494479436515</c:v>
                </c:pt>
                <c:pt idx="171">
                  <c:v>226.68849004489675</c:v>
                </c:pt>
                <c:pt idx="172">
                  <c:v>250.72657573659671</c:v>
                </c:pt>
                <c:pt idx="173">
                  <c:v>253.32436142110237</c:v>
                </c:pt>
                <c:pt idx="174">
                  <c:v>255.94906284230092</c:v>
                </c:pt>
                <c:pt idx="175">
                  <c:v>284.37990444227398</c:v>
                </c:pt>
                <c:pt idx="176">
                  <c:v>287.62009555772602</c:v>
                </c:pt>
                <c:pt idx="177">
                  <c:v>225.33862553146173</c:v>
                </c:pt>
                <c:pt idx="178">
                  <c:v>227.32748206500401</c:v>
                </c:pt>
                <c:pt idx="179">
                  <c:v>229.33389240353426</c:v>
                </c:pt>
                <c:pt idx="180">
                  <c:v>235</c:v>
                </c:pt>
                <c:pt idx="181">
                  <c:v>262.69538593108155</c:v>
                </c:pt>
                <c:pt idx="182">
                  <c:v>265.30461406891845</c:v>
                </c:pt>
                <c:pt idx="183">
                  <c:v>343</c:v>
                </c:pt>
                <c:pt idx="184">
                  <c:v>210</c:v>
                </c:pt>
                <c:pt idx="185">
                  <c:v>263</c:v>
                </c:pt>
                <c:pt idx="186">
                  <c:v>281</c:v>
                </c:pt>
                <c:pt idx="187">
                  <c:v>268</c:v>
                </c:pt>
                <c:pt idx="188">
                  <c:v>298</c:v>
                </c:pt>
                <c:pt idx="189">
                  <c:v>314</c:v>
                </c:pt>
                <c:pt idx="190">
                  <c:v>370</c:v>
                </c:pt>
                <c:pt idx="191">
                  <c:v>234</c:v>
                </c:pt>
                <c:pt idx="192">
                  <c:v>219</c:v>
                </c:pt>
                <c:pt idx="193">
                  <c:v>322</c:v>
                </c:pt>
                <c:pt idx="194">
                  <c:v>381</c:v>
                </c:pt>
                <c:pt idx="195">
                  <c:v>335</c:v>
                </c:pt>
                <c:pt idx="196">
                  <c:v>382</c:v>
                </c:pt>
                <c:pt idx="197">
                  <c:v>269</c:v>
                </c:pt>
                <c:pt idx="198">
                  <c:v>259</c:v>
                </c:pt>
                <c:pt idx="199">
                  <c:v>208</c:v>
                </c:pt>
                <c:pt idx="200">
                  <c:v>443</c:v>
                </c:pt>
                <c:pt idx="201">
                  <c:v>311</c:v>
                </c:pt>
                <c:pt idx="202">
                  <c:v>273</c:v>
                </c:pt>
                <c:pt idx="203">
                  <c:v>169</c:v>
                </c:pt>
                <c:pt idx="204">
                  <c:v>180</c:v>
                </c:pt>
                <c:pt idx="205">
                  <c:v>227</c:v>
                </c:pt>
                <c:pt idx="206">
                  <c:v>285</c:v>
                </c:pt>
                <c:pt idx="207">
                  <c:v>271</c:v>
                </c:pt>
                <c:pt idx="208">
                  <c:v>386</c:v>
                </c:pt>
                <c:pt idx="209">
                  <c:v>319</c:v>
                </c:pt>
                <c:pt idx="210">
                  <c:v>324</c:v>
                </c:pt>
                <c:pt idx="211">
                  <c:v>241</c:v>
                </c:pt>
                <c:pt idx="212">
                  <c:v>253</c:v>
                </c:pt>
                <c:pt idx="213">
                  <c:v>244</c:v>
                </c:pt>
                <c:pt idx="214">
                  <c:v>242</c:v>
                </c:pt>
                <c:pt idx="215">
                  <c:v>265</c:v>
                </c:pt>
                <c:pt idx="216">
                  <c:v>280</c:v>
                </c:pt>
                <c:pt idx="217">
                  <c:v>335</c:v>
                </c:pt>
                <c:pt idx="218">
                  <c:v>179</c:v>
                </c:pt>
                <c:pt idx="219">
                  <c:v>296</c:v>
                </c:pt>
                <c:pt idx="220">
                  <c:v>262</c:v>
                </c:pt>
                <c:pt idx="221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9C-43AD-BAE1-CFF046CA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badness indicator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222"/>
                <c:pt idx="0">
                  <c:v>43960</c:v>
                </c:pt>
                <c:pt idx="1">
                  <c:v>43961</c:v>
                </c:pt>
                <c:pt idx="2">
                  <c:v>43962</c:v>
                </c:pt>
                <c:pt idx="3">
                  <c:v>43963</c:v>
                </c:pt>
                <c:pt idx="4">
                  <c:v>43964</c:v>
                </c:pt>
                <c:pt idx="5">
                  <c:v>43965</c:v>
                </c:pt>
                <c:pt idx="6">
                  <c:v>43966</c:v>
                </c:pt>
                <c:pt idx="7">
                  <c:v>43967</c:v>
                </c:pt>
                <c:pt idx="8">
                  <c:v>43968</c:v>
                </c:pt>
                <c:pt idx="9">
                  <c:v>43969</c:v>
                </c:pt>
                <c:pt idx="10">
                  <c:v>43970</c:v>
                </c:pt>
                <c:pt idx="11">
                  <c:v>43971</c:v>
                </c:pt>
                <c:pt idx="12">
                  <c:v>43972</c:v>
                </c:pt>
                <c:pt idx="13">
                  <c:v>43973</c:v>
                </c:pt>
                <c:pt idx="14">
                  <c:v>43974</c:v>
                </c:pt>
                <c:pt idx="15">
                  <c:v>43975</c:v>
                </c:pt>
                <c:pt idx="16">
                  <c:v>43976</c:v>
                </c:pt>
                <c:pt idx="17">
                  <c:v>43977</c:v>
                </c:pt>
                <c:pt idx="18">
                  <c:v>43978</c:v>
                </c:pt>
                <c:pt idx="19">
                  <c:v>43979</c:v>
                </c:pt>
                <c:pt idx="20">
                  <c:v>43980</c:v>
                </c:pt>
                <c:pt idx="21">
                  <c:v>43981</c:v>
                </c:pt>
                <c:pt idx="22">
                  <c:v>43982</c:v>
                </c:pt>
                <c:pt idx="23">
                  <c:v>43983</c:v>
                </c:pt>
                <c:pt idx="24">
                  <c:v>43984</c:v>
                </c:pt>
                <c:pt idx="25">
                  <c:v>43985</c:v>
                </c:pt>
                <c:pt idx="26">
                  <c:v>43986</c:v>
                </c:pt>
                <c:pt idx="27">
                  <c:v>43987</c:v>
                </c:pt>
                <c:pt idx="28">
                  <c:v>43988</c:v>
                </c:pt>
                <c:pt idx="29">
                  <c:v>43989</c:v>
                </c:pt>
                <c:pt idx="30">
                  <c:v>43990</c:v>
                </c:pt>
                <c:pt idx="31">
                  <c:v>43991</c:v>
                </c:pt>
                <c:pt idx="32">
                  <c:v>43992</c:v>
                </c:pt>
                <c:pt idx="33">
                  <c:v>43993</c:v>
                </c:pt>
                <c:pt idx="34">
                  <c:v>43994</c:v>
                </c:pt>
                <c:pt idx="35">
                  <c:v>43995</c:v>
                </c:pt>
                <c:pt idx="36">
                  <c:v>43996</c:v>
                </c:pt>
                <c:pt idx="37">
                  <c:v>43997</c:v>
                </c:pt>
                <c:pt idx="38">
                  <c:v>43998</c:v>
                </c:pt>
                <c:pt idx="39">
                  <c:v>43999</c:v>
                </c:pt>
                <c:pt idx="40">
                  <c:v>44000</c:v>
                </c:pt>
                <c:pt idx="41">
                  <c:v>44001</c:v>
                </c:pt>
                <c:pt idx="42">
                  <c:v>44002</c:v>
                </c:pt>
                <c:pt idx="43">
                  <c:v>44003</c:v>
                </c:pt>
                <c:pt idx="44">
                  <c:v>44004</c:v>
                </c:pt>
                <c:pt idx="45">
                  <c:v>44005</c:v>
                </c:pt>
                <c:pt idx="46">
                  <c:v>44006</c:v>
                </c:pt>
                <c:pt idx="47">
                  <c:v>44007</c:v>
                </c:pt>
                <c:pt idx="48">
                  <c:v>44008</c:v>
                </c:pt>
                <c:pt idx="49">
                  <c:v>44009</c:v>
                </c:pt>
                <c:pt idx="50">
                  <c:v>44010</c:v>
                </c:pt>
                <c:pt idx="51">
                  <c:v>44011</c:v>
                </c:pt>
                <c:pt idx="52">
                  <c:v>44012</c:v>
                </c:pt>
                <c:pt idx="53">
                  <c:v>44013</c:v>
                </c:pt>
                <c:pt idx="54">
                  <c:v>44014</c:v>
                </c:pt>
                <c:pt idx="55">
                  <c:v>44015</c:v>
                </c:pt>
                <c:pt idx="56">
                  <c:v>44016</c:v>
                </c:pt>
                <c:pt idx="57">
                  <c:v>44017</c:v>
                </c:pt>
                <c:pt idx="58">
                  <c:v>44018</c:v>
                </c:pt>
                <c:pt idx="59">
                  <c:v>44019</c:v>
                </c:pt>
                <c:pt idx="60">
                  <c:v>44020</c:v>
                </c:pt>
                <c:pt idx="61">
                  <c:v>44021</c:v>
                </c:pt>
                <c:pt idx="62">
                  <c:v>44022</c:v>
                </c:pt>
                <c:pt idx="63">
                  <c:v>44023</c:v>
                </c:pt>
                <c:pt idx="64">
                  <c:v>44024</c:v>
                </c:pt>
                <c:pt idx="65">
                  <c:v>44025</c:v>
                </c:pt>
                <c:pt idx="66">
                  <c:v>44026</c:v>
                </c:pt>
                <c:pt idx="67">
                  <c:v>44027</c:v>
                </c:pt>
                <c:pt idx="68">
                  <c:v>44028</c:v>
                </c:pt>
                <c:pt idx="69">
                  <c:v>44029</c:v>
                </c:pt>
                <c:pt idx="70">
                  <c:v>44030</c:v>
                </c:pt>
                <c:pt idx="71">
                  <c:v>44031</c:v>
                </c:pt>
                <c:pt idx="72">
                  <c:v>44032</c:v>
                </c:pt>
                <c:pt idx="73">
                  <c:v>44033</c:v>
                </c:pt>
                <c:pt idx="74">
                  <c:v>44034</c:v>
                </c:pt>
                <c:pt idx="75">
                  <c:v>44035</c:v>
                </c:pt>
                <c:pt idx="76">
                  <c:v>44036</c:v>
                </c:pt>
                <c:pt idx="77">
                  <c:v>44037</c:v>
                </c:pt>
                <c:pt idx="78">
                  <c:v>44038</c:v>
                </c:pt>
                <c:pt idx="79">
                  <c:v>44039</c:v>
                </c:pt>
                <c:pt idx="80">
                  <c:v>44040</c:v>
                </c:pt>
                <c:pt idx="81">
                  <c:v>44041</c:v>
                </c:pt>
                <c:pt idx="82">
                  <c:v>44042</c:v>
                </c:pt>
                <c:pt idx="83">
                  <c:v>44043</c:v>
                </c:pt>
                <c:pt idx="84">
                  <c:v>44044</c:v>
                </c:pt>
                <c:pt idx="85">
                  <c:v>44045</c:v>
                </c:pt>
                <c:pt idx="86">
                  <c:v>44046</c:v>
                </c:pt>
                <c:pt idx="87">
                  <c:v>44047</c:v>
                </c:pt>
                <c:pt idx="88">
                  <c:v>44048</c:v>
                </c:pt>
                <c:pt idx="89">
                  <c:v>44049</c:v>
                </c:pt>
                <c:pt idx="90">
                  <c:v>44050</c:v>
                </c:pt>
                <c:pt idx="91">
                  <c:v>44051</c:v>
                </c:pt>
                <c:pt idx="92">
                  <c:v>44052</c:v>
                </c:pt>
                <c:pt idx="93">
                  <c:v>44053</c:v>
                </c:pt>
                <c:pt idx="94">
                  <c:v>44054</c:v>
                </c:pt>
                <c:pt idx="95">
                  <c:v>44055</c:v>
                </c:pt>
                <c:pt idx="96">
                  <c:v>44056</c:v>
                </c:pt>
                <c:pt idx="97">
                  <c:v>44057</c:v>
                </c:pt>
                <c:pt idx="98">
                  <c:v>44058</c:v>
                </c:pt>
                <c:pt idx="99">
                  <c:v>44059</c:v>
                </c:pt>
                <c:pt idx="100">
                  <c:v>44060</c:v>
                </c:pt>
                <c:pt idx="101">
                  <c:v>44061</c:v>
                </c:pt>
                <c:pt idx="102">
                  <c:v>44062</c:v>
                </c:pt>
                <c:pt idx="103">
                  <c:v>44063</c:v>
                </c:pt>
                <c:pt idx="104">
                  <c:v>44064</c:v>
                </c:pt>
                <c:pt idx="105">
                  <c:v>44065</c:v>
                </c:pt>
                <c:pt idx="106">
                  <c:v>44066</c:v>
                </c:pt>
                <c:pt idx="107">
                  <c:v>44067</c:v>
                </c:pt>
                <c:pt idx="108">
                  <c:v>44068</c:v>
                </c:pt>
                <c:pt idx="109">
                  <c:v>44069</c:v>
                </c:pt>
                <c:pt idx="110">
                  <c:v>44070</c:v>
                </c:pt>
                <c:pt idx="111">
                  <c:v>44071</c:v>
                </c:pt>
                <c:pt idx="112">
                  <c:v>44072</c:v>
                </c:pt>
                <c:pt idx="113">
                  <c:v>44073</c:v>
                </c:pt>
                <c:pt idx="114">
                  <c:v>44074</c:v>
                </c:pt>
                <c:pt idx="115">
                  <c:v>44075</c:v>
                </c:pt>
                <c:pt idx="116">
                  <c:v>44076</c:v>
                </c:pt>
                <c:pt idx="117">
                  <c:v>44077</c:v>
                </c:pt>
                <c:pt idx="118">
                  <c:v>44078</c:v>
                </c:pt>
                <c:pt idx="119">
                  <c:v>44079</c:v>
                </c:pt>
                <c:pt idx="120">
                  <c:v>44080</c:v>
                </c:pt>
                <c:pt idx="121">
                  <c:v>44081</c:v>
                </c:pt>
                <c:pt idx="122">
                  <c:v>44082</c:v>
                </c:pt>
                <c:pt idx="123">
                  <c:v>44083</c:v>
                </c:pt>
                <c:pt idx="124">
                  <c:v>44084</c:v>
                </c:pt>
                <c:pt idx="125">
                  <c:v>44085</c:v>
                </c:pt>
                <c:pt idx="126">
                  <c:v>44086</c:v>
                </c:pt>
                <c:pt idx="127">
                  <c:v>44087</c:v>
                </c:pt>
                <c:pt idx="128">
                  <c:v>44088</c:v>
                </c:pt>
                <c:pt idx="129">
                  <c:v>44089</c:v>
                </c:pt>
                <c:pt idx="130">
                  <c:v>44090</c:v>
                </c:pt>
                <c:pt idx="131">
                  <c:v>44091</c:v>
                </c:pt>
                <c:pt idx="132">
                  <c:v>44092</c:v>
                </c:pt>
                <c:pt idx="133">
                  <c:v>44093</c:v>
                </c:pt>
                <c:pt idx="134">
                  <c:v>44094</c:v>
                </c:pt>
                <c:pt idx="135">
                  <c:v>44095</c:v>
                </c:pt>
                <c:pt idx="136">
                  <c:v>44096</c:v>
                </c:pt>
                <c:pt idx="137">
                  <c:v>44097</c:v>
                </c:pt>
                <c:pt idx="138">
                  <c:v>44098</c:v>
                </c:pt>
                <c:pt idx="139">
                  <c:v>44099</c:v>
                </c:pt>
                <c:pt idx="140">
                  <c:v>44100</c:v>
                </c:pt>
                <c:pt idx="141">
                  <c:v>44101</c:v>
                </c:pt>
                <c:pt idx="142">
                  <c:v>44102</c:v>
                </c:pt>
                <c:pt idx="143">
                  <c:v>44103</c:v>
                </c:pt>
                <c:pt idx="144">
                  <c:v>44104</c:v>
                </c:pt>
                <c:pt idx="145">
                  <c:v>44105</c:v>
                </c:pt>
                <c:pt idx="146">
                  <c:v>44106</c:v>
                </c:pt>
                <c:pt idx="147">
                  <c:v>44107</c:v>
                </c:pt>
                <c:pt idx="148">
                  <c:v>44108</c:v>
                </c:pt>
                <c:pt idx="149">
                  <c:v>44109</c:v>
                </c:pt>
                <c:pt idx="150">
                  <c:v>44110</c:v>
                </c:pt>
                <c:pt idx="151">
                  <c:v>44111</c:v>
                </c:pt>
                <c:pt idx="152">
                  <c:v>44112</c:v>
                </c:pt>
                <c:pt idx="153">
                  <c:v>44113</c:v>
                </c:pt>
                <c:pt idx="154">
                  <c:v>44114</c:v>
                </c:pt>
                <c:pt idx="155">
                  <c:v>44115</c:v>
                </c:pt>
                <c:pt idx="156">
                  <c:v>44116</c:v>
                </c:pt>
                <c:pt idx="157">
                  <c:v>44117</c:v>
                </c:pt>
                <c:pt idx="158">
                  <c:v>44118</c:v>
                </c:pt>
                <c:pt idx="159">
                  <c:v>44119</c:v>
                </c:pt>
                <c:pt idx="160">
                  <c:v>44120</c:v>
                </c:pt>
                <c:pt idx="161">
                  <c:v>44121</c:v>
                </c:pt>
                <c:pt idx="162">
                  <c:v>44122</c:v>
                </c:pt>
                <c:pt idx="163">
                  <c:v>44123</c:v>
                </c:pt>
                <c:pt idx="164">
                  <c:v>44124</c:v>
                </c:pt>
                <c:pt idx="165">
                  <c:v>44125</c:v>
                </c:pt>
                <c:pt idx="166">
                  <c:v>44126</c:v>
                </c:pt>
                <c:pt idx="167">
                  <c:v>44127</c:v>
                </c:pt>
                <c:pt idx="168">
                  <c:v>44128</c:v>
                </c:pt>
                <c:pt idx="169">
                  <c:v>44129</c:v>
                </c:pt>
                <c:pt idx="170">
                  <c:v>44130</c:v>
                </c:pt>
                <c:pt idx="171">
                  <c:v>44131</c:v>
                </c:pt>
                <c:pt idx="172">
                  <c:v>44132</c:v>
                </c:pt>
                <c:pt idx="173">
                  <c:v>44133</c:v>
                </c:pt>
                <c:pt idx="174">
                  <c:v>44134</c:v>
                </c:pt>
                <c:pt idx="175">
                  <c:v>44135</c:v>
                </c:pt>
                <c:pt idx="176">
                  <c:v>44136</c:v>
                </c:pt>
                <c:pt idx="177">
                  <c:v>44137</c:v>
                </c:pt>
                <c:pt idx="178">
                  <c:v>44138</c:v>
                </c:pt>
                <c:pt idx="179">
                  <c:v>44139</c:v>
                </c:pt>
                <c:pt idx="180">
                  <c:v>44140</c:v>
                </c:pt>
                <c:pt idx="181">
                  <c:v>44141</c:v>
                </c:pt>
                <c:pt idx="182">
                  <c:v>44142</c:v>
                </c:pt>
                <c:pt idx="183">
                  <c:v>44143</c:v>
                </c:pt>
                <c:pt idx="184">
                  <c:v>44144</c:v>
                </c:pt>
                <c:pt idx="185">
                  <c:v>44145</c:v>
                </c:pt>
                <c:pt idx="186">
                  <c:v>44146</c:v>
                </c:pt>
                <c:pt idx="187">
                  <c:v>44147</c:v>
                </c:pt>
                <c:pt idx="188">
                  <c:v>44148</c:v>
                </c:pt>
                <c:pt idx="189">
                  <c:v>44149</c:v>
                </c:pt>
                <c:pt idx="190">
                  <c:v>44150</c:v>
                </c:pt>
                <c:pt idx="191">
                  <c:v>44151</c:v>
                </c:pt>
                <c:pt idx="192">
                  <c:v>44152</c:v>
                </c:pt>
                <c:pt idx="193">
                  <c:v>44153</c:v>
                </c:pt>
                <c:pt idx="194">
                  <c:v>44154</c:v>
                </c:pt>
                <c:pt idx="195">
                  <c:v>44155</c:v>
                </c:pt>
                <c:pt idx="196">
                  <c:v>44156</c:v>
                </c:pt>
                <c:pt idx="197">
                  <c:v>44157</c:v>
                </c:pt>
                <c:pt idx="198">
                  <c:v>44158</c:v>
                </c:pt>
                <c:pt idx="199">
                  <c:v>44159</c:v>
                </c:pt>
                <c:pt idx="200">
                  <c:v>44160</c:v>
                </c:pt>
                <c:pt idx="201">
                  <c:v>44161</c:v>
                </c:pt>
                <c:pt idx="202">
                  <c:v>44162</c:v>
                </c:pt>
                <c:pt idx="203">
                  <c:v>44163</c:v>
                </c:pt>
                <c:pt idx="204">
                  <c:v>44164</c:v>
                </c:pt>
                <c:pt idx="205">
                  <c:v>44165</c:v>
                </c:pt>
                <c:pt idx="206">
                  <c:v>44166</c:v>
                </c:pt>
                <c:pt idx="207">
                  <c:v>44167</c:v>
                </c:pt>
                <c:pt idx="208">
                  <c:v>44168</c:v>
                </c:pt>
                <c:pt idx="209">
                  <c:v>44169</c:v>
                </c:pt>
                <c:pt idx="210">
                  <c:v>44170</c:v>
                </c:pt>
                <c:pt idx="211">
                  <c:v>44171</c:v>
                </c:pt>
                <c:pt idx="212">
                  <c:v>44172</c:v>
                </c:pt>
                <c:pt idx="213">
                  <c:v>44173</c:v>
                </c:pt>
                <c:pt idx="214">
                  <c:v>44174</c:v>
                </c:pt>
                <c:pt idx="215">
                  <c:v>44175</c:v>
                </c:pt>
                <c:pt idx="216">
                  <c:v>44176</c:v>
                </c:pt>
                <c:pt idx="217">
                  <c:v>44177</c:v>
                </c:pt>
                <c:pt idx="218">
                  <c:v>44178</c:v>
                </c:pt>
                <c:pt idx="219">
                  <c:v>44179</c:v>
                </c:pt>
                <c:pt idx="220">
                  <c:v>44180</c:v>
                </c:pt>
                <c:pt idx="221">
                  <c:v>44181</c:v>
                </c:pt>
              </c:numCache>
            </c:numRef>
          </c:xVal>
          <c:yVal>
            <c:numRef>
              <c:f>[0]!zip_badness_indicator</c:f>
              <c:numCache>
                <c:formatCode>General</c:formatCode>
                <c:ptCount val="222"/>
                <c:pt idx="0">
                  <c:v>261.33333333333331</c:v>
                </c:pt>
                <c:pt idx="1">
                  <c:v>155.76923076923077</c:v>
                </c:pt>
                <c:pt idx="2">
                  <c:v>113.95348837209302</c:v>
                </c:pt>
                <c:pt idx="3">
                  <c:v>215.38461538461542</c:v>
                </c:pt>
                <c:pt idx="4">
                  <c:v>200</c:v>
                </c:pt>
                <c:pt idx="5">
                  <c:v>1066.6666666666665</c:v>
                </c:pt>
                <c:pt idx="6">
                  <c:v>169.41176470588235</c:v>
                </c:pt>
                <c:pt idx="7">
                  <c:v>130.64516129032259</c:v>
                </c:pt>
                <c:pt idx="8">
                  <c:v>194.2528735632184</c:v>
                </c:pt>
                <c:pt idx="9">
                  <c:v>582.25806451612902</c:v>
                </c:pt>
                <c:pt idx="10">
                  <c:v>240.00000000000003</c:v>
                </c:pt>
                <c:pt idx="11">
                  <c:v>160</c:v>
                </c:pt>
                <c:pt idx="12">
                  <c:v>163.63636363636363</c:v>
                </c:pt>
                <c:pt idx="13">
                  <c:v>153.19148936170214</c:v>
                </c:pt>
                <c:pt idx="14">
                  <c:v>220.41666666666666</c:v>
                </c:pt>
                <c:pt idx="15">
                  <c:v>322.32142857142861</c:v>
                </c:pt>
                <c:pt idx="16">
                  <c:v>44.954128440366972</c:v>
                </c:pt>
                <c:pt idx="17">
                  <c:v>49.000000000000007</c:v>
                </c:pt>
                <c:pt idx="18">
                  <c:v>119.11764705882352</c:v>
                </c:pt>
                <c:pt idx="19">
                  <c:v>48.514851485148519</c:v>
                </c:pt>
                <c:pt idx="20">
                  <c:v>241.97530864197532</c:v>
                </c:pt>
                <c:pt idx="21">
                  <c:v>79.411764705882362</c:v>
                </c:pt>
                <c:pt idx="22">
                  <c:v>21.929824561403507</c:v>
                </c:pt>
                <c:pt idx="23">
                  <c:v>100</c:v>
                </c:pt>
                <c:pt idx="24">
                  <c:v>84.210526315789465</c:v>
                </c:pt>
                <c:pt idx="25">
                  <c:v>39.0625</c:v>
                </c:pt>
                <c:pt idx="26">
                  <c:v>4.9382716049382713</c:v>
                </c:pt>
                <c:pt idx="27">
                  <c:v>104.91803278688525</c:v>
                </c:pt>
                <c:pt idx="28">
                  <c:v>10.588235294117647</c:v>
                </c:pt>
                <c:pt idx="29">
                  <c:v>40</c:v>
                </c:pt>
                <c:pt idx="30">
                  <c:v>11.981392730145046</c:v>
                </c:pt>
                <c:pt idx="31">
                  <c:v>7.7403787655276028</c:v>
                </c:pt>
                <c:pt idx="32">
                  <c:v>1.4492753623188406</c:v>
                </c:pt>
                <c:pt idx="33">
                  <c:v>1.2804452041816454</c:v>
                </c:pt>
                <c:pt idx="34">
                  <c:v>1.2063295492890127</c:v>
                </c:pt>
                <c:pt idx="35">
                  <c:v>55.384615384615387</c:v>
                </c:pt>
                <c:pt idx="36">
                  <c:v>19.277108433734941</c:v>
                </c:pt>
                <c:pt idx="37">
                  <c:v>15.384615384615385</c:v>
                </c:pt>
                <c:pt idx="38">
                  <c:v>12.328767123287671</c:v>
                </c:pt>
                <c:pt idx="39">
                  <c:v>4.3478260869565215</c:v>
                </c:pt>
                <c:pt idx="40">
                  <c:v>5.7142857142857144</c:v>
                </c:pt>
                <c:pt idx="41">
                  <c:v>86.170212765957444</c:v>
                </c:pt>
                <c:pt idx="42">
                  <c:v>38.70967741935484</c:v>
                </c:pt>
                <c:pt idx="43">
                  <c:v>25.510204081632654</c:v>
                </c:pt>
                <c:pt idx="44">
                  <c:v>4.395604395604396</c:v>
                </c:pt>
                <c:pt idx="45">
                  <c:v>5.8823529411764701</c:v>
                </c:pt>
                <c:pt idx="46">
                  <c:v>9.67741935483871</c:v>
                </c:pt>
                <c:pt idx="47">
                  <c:v>22.123893805309734</c:v>
                </c:pt>
                <c:pt idx="48">
                  <c:v>19.541652298277228</c:v>
                </c:pt>
                <c:pt idx="49">
                  <c:v>19.370929684714643</c:v>
                </c:pt>
                <c:pt idx="50">
                  <c:v>0</c:v>
                </c:pt>
                <c:pt idx="51">
                  <c:v>1</c:v>
                </c:pt>
                <c:pt idx="52">
                  <c:v>5.1282051282051277</c:v>
                </c:pt>
                <c:pt idx="53">
                  <c:v>3.6036036036036037</c:v>
                </c:pt>
                <c:pt idx="54">
                  <c:v>25.773195876288657</c:v>
                </c:pt>
                <c:pt idx="55">
                  <c:v>2.5157232704402519</c:v>
                </c:pt>
                <c:pt idx="56">
                  <c:v>3.2</c:v>
                </c:pt>
                <c:pt idx="57">
                  <c:v>1.1355651264458704</c:v>
                </c:pt>
                <c:pt idx="58">
                  <c:v>1.1243906083653672</c:v>
                </c:pt>
                <c:pt idx="59">
                  <c:v>1.4705882352941175</c:v>
                </c:pt>
                <c:pt idx="60">
                  <c:v>0</c:v>
                </c:pt>
                <c:pt idx="61">
                  <c:v>0.90909090909090906</c:v>
                </c:pt>
                <c:pt idx="62">
                  <c:v>0</c:v>
                </c:pt>
                <c:pt idx="63">
                  <c:v>0.74626865671641784</c:v>
                </c:pt>
                <c:pt idx="64">
                  <c:v>3.007518796992481</c:v>
                </c:pt>
                <c:pt idx="65">
                  <c:v>22.522522522522522</c:v>
                </c:pt>
                <c:pt idx="66">
                  <c:v>5.9701492537313428</c:v>
                </c:pt>
                <c:pt idx="67">
                  <c:v>6.5693430656934311</c:v>
                </c:pt>
                <c:pt idx="68">
                  <c:v>18.382352941176471</c:v>
                </c:pt>
                <c:pt idx="69">
                  <c:v>0.14784668555443956</c:v>
                </c:pt>
                <c:pt idx="70">
                  <c:v>0.24766251497244865</c:v>
                </c:pt>
                <c:pt idx="71">
                  <c:v>0.44444444444444442</c:v>
                </c:pt>
                <c:pt idx="72">
                  <c:v>35.294117647058819</c:v>
                </c:pt>
                <c:pt idx="73">
                  <c:v>2.1826737316022289</c:v>
                </c:pt>
                <c:pt idx="74">
                  <c:v>2.1652539093414522</c:v>
                </c:pt>
                <c:pt idx="75">
                  <c:v>12.8</c:v>
                </c:pt>
                <c:pt idx="76">
                  <c:v>10.38961038961039</c:v>
                </c:pt>
                <c:pt idx="77">
                  <c:v>12.5</c:v>
                </c:pt>
                <c:pt idx="78">
                  <c:v>10.38961038961039</c:v>
                </c:pt>
                <c:pt idx="79">
                  <c:v>5.0632911392405067</c:v>
                </c:pt>
                <c:pt idx="80">
                  <c:v>3.4482758620689653</c:v>
                </c:pt>
                <c:pt idx="81">
                  <c:v>44.999999999999993</c:v>
                </c:pt>
                <c:pt idx="82">
                  <c:v>43.75</c:v>
                </c:pt>
                <c:pt idx="83">
                  <c:v>37.850467289719624</c:v>
                </c:pt>
                <c:pt idx="84">
                  <c:v>39.263803680981596</c:v>
                </c:pt>
                <c:pt idx="85">
                  <c:v>6.0810810810810816</c:v>
                </c:pt>
                <c:pt idx="86">
                  <c:v>5.3333333333333339</c:v>
                </c:pt>
                <c:pt idx="87">
                  <c:v>0</c:v>
                </c:pt>
                <c:pt idx="88">
                  <c:v>18.518518518518519</c:v>
                </c:pt>
                <c:pt idx="89">
                  <c:v>12.5</c:v>
                </c:pt>
                <c:pt idx="90">
                  <c:v>63.350785340314133</c:v>
                </c:pt>
                <c:pt idx="91">
                  <c:v>13.227513227513226</c:v>
                </c:pt>
                <c:pt idx="92">
                  <c:v>40.25157232704403</c:v>
                </c:pt>
                <c:pt idx="93">
                  <c:v>0</c:v>
                </c:pt>
                <c:pt idx="94">
                  <c:v>3.2</c:v>
                </c:pt>
                <c:pt idx="95">
                  <c:v>3.2</c:v>
                </c:pt>
                <c:pt idx="96">
                  <c:v>54</c:v>
                </c:pt>
                <c:pt idx="97">
                  <c:v>48.50299401197605</c:v>
                </c:pt>
                <c:pt idx="98">
                  <c:v>39.320388349514559</c:v>
                </c:pt>
                <c:pt idx="99">
                  <c:v>29.75206611570248</c:v>
                </c:pt>
                <c:pt idx="100">
                  <c:v>5.3892215568862269</c:v>
                </c:pt>
                <c:pt idx="101">
                  <c:v>106.70849622826326</c:v>
                </c:pt>
                <c:pt idx="102">
                  <c:v>108.068166309741</c:v>
                </c:pt>
                <c:pt idx="103">
                  <c:v>57.47126436781609</c:v>
                </c:pt>
                <c:pt idx="104">
                  <c:v>42.631578947368418</c:v>
                </c:pt>
                <c:pt idx="105">
                  <c:v>24.378109452736318</c:v>
                </c:pt>
                <c:pt idx="106">
                  <c:v>6.2068965517241379</c:v>
                </c:pt>
                <c:pt idx="107">
                  <c:v>34.751773049645394</c:v>
                </c:pt>
                <c:pt idx="108">
                  <c:v>31.03448275862069</c:v>
                </c:pt>
                <c:pt idx="109">
                  <c:v>111.18421052631579</c:v>
                </c:pt>
                <c:pt idx="110">
                  <c:v>235.94771241830065</c:v>
                </c:pt>
                <c:pt idx="111">
                  <c:v>48.854961832061065</c:v>
                </c:pt>
                <c:pt idx="112">
                  <c:v>1.0204081632653061</c:v>
                </c:pt>
                <c:pt idx="113">
                  <c:v>22.36024844720497</c:v>
                </c:pt>
                <c:pt idx="114">
                  <c:v>1.0309278350515463</c:v>
                </c:pt>
                <c:pt idx="115">
                  <c:v>36.363636363636367</c:v>
                </c:pt>
                <c:pt idx="116">
                  <c:v>101.68067226890756</c:v>
                </c:pt>
                <c:pt idx="117">
                  <c:v>9.8648100682467579</c:v>
                </c:pt>
                <c:pt idx="118">
                  <c:v>2.8920039496479468</c:v>
                </c:pt>
                <c:pt idx="119">
                  <c:v>275.3303964757709</c:v>
                </c:pt>
                <c:pt idx="120">
                  <c:v>7.03125</c:v>
                </c:pt>
                <c:pt idx="121">
                  <c:v>39.130434782608688</c:v>
                </c:pt>
                <c:pt idx="122">
                  <c:v>55.479452054794521</c:v>
                </c:pt>
                <c:pt idx="123">
                  <c:v>7.3170731707317085</c:v>
                </c:pt>
                <c:pt idx="124">
                  <c:v>53.846153846153854</c:v>
                </c:pt>
                <c:pt idx="125">
                  <c:v>41.830065359477125</c:v>
                </c:pt>
                <c:pt idx="126">
                  <c:v>3.6036036036036037</c:v>
                </c:pt>
                <c:pt idx="127">
                  <c:v>7.6271186440677967</c:v>
                </c:pt>
                <c:pt idx="128">
                  <c:v>7.3770491803278686</c:v>
                </c:pt>
                <c:pt idx="129">
                  <c:v>29.411764705882355</c:v>
                </c:pt>
                <c:pt idx="130">
                  <c:v>155.15151515151516</c:v>
                </c:pt>
                <c:pt idx="131">
                  <c:v>6.5693430656934311</c:v>
                </c:pt>
                <c:pt idx="132">
                  <c:v>42.608695652173914</c:v>
                </c:pt>
                <c:pt idx="133">
                  <c:v>16.289592760180994</c:v>
                </c:pt>
                <c:pt idx="134">
                  <c:v>2.8169014084507045</c:v>
                </c:pt>
                <c:pt idx="135">
                  <c:v>5.0632911392405067</c:v>
                </c:pt>
                <c:pt idx="136">
                  <c:v>73.563218390804593</c:v>
                </c:pt>
                <c:pt idx="137">
                  <c:v>20.161290322580644</c:v>
                </c:pt>
                <c:pt idx="138">
                  <c:v>0.91743119266055051</c:v>
                </c:pt>
                <c:pt idx="139">
                  <c:v>29.341317365269461</c:v>
                </c:pt>
                <c:pt idx="140">
                  <c:v>35.555555555555557</c:v>
                </c:pt>
                <c:pt idx="141">
                  <c:v>15.09433962264151</c:v>
                </c:pt>
                <c:pt idx="142">
                  <c:v>20.930232558139533</c:v>
                </c:pt>
                <c:pt idx="143">
                  <c:v>17.391304347826086</c:v>
                </c:pt>
                <c:pt idx="144">
                  <c:v>42.241379310344826</c:v>
                </c:pt>
                <c:pt idx="145">
                  <c:v>35.754189944134076</c:v>
                </c:pt>
                <c:pt idx="146">
                  <c:v>5.7324840764331215</c:v>
                </c:pt>
                <c:pt idx="147">
                  <c:v>27.705627705627705</c:v>
                </c:pt>
                <c:pt idx="148">
                  <c:v>17.985611510791365</c:v>
                </c:pt>
                <c:pt idx="149">
                  <c:v>186.45161290322579</c:v>
                </c:pt>
                <c:pt idx="150">
                  <c:v>44.755244755244753</c:v>
                </c:pt>
                <c:pt idx="151">
                  <c:v>112.35955056179776</c:v>
                </c:pt>
                <c:pt idx="152">
                  <c:v>192.57641921397382</c:v>
                </c:pt>
                <c:pt idx="153">
                  <c:v>98.98989898989899</c:v>
                </c:pt>
                <c:pt idx="154">
                  <c:v>104.25531914893615</c:v>
                </c:pt>
                <c:pt idx="155">
                  <c:v>93.777020015144345</c:v>
                </c:pt>
                <c:pt idx="156">
                  <c:v>44.55806478373033</c:v>
                </c:pt>
                <c:pt idx="157">
                  <c:v>113.63636363636364</c:v>
                </c:pt>
                <c:pt idx="158">
                  <c:v>139.30626919665033</c:v>
                </c:pt>
                <c:pt idx="159">
                  <c:v>141.06801245919627</c:v>
                </c:pt>
                <c:pt idx="160">
                  <c:v>125.09652509652508</c:v>
                </c:pt>
                <c:pt idx="161">
                  <c:v>174.23963830464925</c:v>
                </c:pt>
                <c:pt idx="162">
                  <c:v>176.9176721972978</c:v>
                </c:pt>
                <c:pt idx="163">
                  <c:v>179.63686701991463</c:v>
                </c:pt>
                <c:pt idx="164">
                  <c:v>182.39785540886712</c:v>
                </c:pt>
                <c:pt idx="165">
                  <c:v>185.20127972435611</c:v>
                </c:pt>
                <c:pt idx="166">
                  <c:v>188.04779219930222</c:v>
                </c:pt>
                <c:pt idx="167">
                  <c:v>190.93805509166984</c:v>
                </c:pt>
                <c:pt idx="168">
                  <c:v>193.87274083774321</c:v>
                </c:pt>
                <c:pt idx="169">
                  <c:v>196.85253220949593</c:v>
                </c:pt>
                <c:pt idx="170">
                  <c:v>199.87812247270759</c:v>
                </c:pt>
                <c:pt idx="171">
                  <c:v>202.9502155486835</c:v>
                </c:pt>
                <c:pt idx="172">
                  <c:v>303.01965154727401</c:v>
                </c:pt>
                <c:pt idx="173">
                  <c:v>309.43425956952518</c:v>
                </c:pt>
                <c:pt idx="174">
                  <c:v>315.98465811168899</c:v>
                </c:pt>
                <c:pt idx="175">
                  <c:v>234.39880635578919</c:v>
                </c:pt>
                <c:pt idx="176">
                  <c:v>238.32929622844367</c:v>
                </c:pt>
                <c:pt idx="177">
                  <c:v>337.91150574106916</c:v>
                </c:pt>
                <c:pt idx="178">
                  <c:v>344.82840826419721</c:v>
                </c:pt>
                <c:pt idx="179">
                  <c:v>351.88689679350193</c:v>
                </c:pt>
                <c:pt idx="180">
                  <c:v>823.82978723404244</c:v>
                </c:pt>
                <c:pt idx="181">
                  <c:v>754.09762357342765</c:v>
                </c:pt>
                <c:pt idx="182">
                  <c:v>780.04827911614677</c:v>
                </c:pt>
                <c:pt idx="183">
                  <c:v>564.43148688046654</c:v>
                </c:pt>
                <c:pt idx="184">
                  <c:v>550.47619047619048</c:v>
                </c:pt>
                <c:pt idx="185">
                  <c:v>876.04562737642584</c:v>
                </c:pt>
                <c:pt idx="186">
                  <c:v>541.28113879003558</c:v>
                </c:pt>
                <c:pt idx="187">
                  <c:v>1212.3134328358208</c:v>
                </c:pt>
                <c:pt idx="188">
                  <c:v>1248.6577181208054</c:v>
                </c:pt>
                <c:pt idx="189">
                  <c:v>644.90445859872614</c:v>
                </c:pt>
                <c:pt idx="190">
                  <c:v>788.10810810810813</c:v>
                </c:pt>
                <c:pt idx="191">
                  <c:v>617.09401709401709</c:v>
                </c:pt>
                <c:pt idx="192">
                  <c:v>1234.7031963470317</c:v>
                </c:pt>
                <c:pt idx="193">
                  <c:v>79.503105590062106</c:v>
                </c:pt>
                <c:pt idx="194">
                  <c:v>1213.6482939632544</c:v>
                </c:pt>
                <c:pt idx="195">
                  <c:v>631.64179104477614</c:v>
                </c:pt>
                <c:pt idx="196">
                  <c:v>358.37696335078533</c:v>
                </c:pt>
                <c:pt idx="197">
                  <c:v>271.00371747211898</c:v>
                </c:pt>
                <c:pt idx="198">
                  <c:v>302.70270270270271</c:v>
                </c:pt>
                <c:pt idx="199">
                  <c:v>173.55769230769229</c:v>
                </c:pt>
                <c:pt idx="200">
                  <c:v>1013.3182844243793</c:v>
                </c:pt>
                <c:pt idx="201">
                  <c:v>540.51446945337614</c:v>
                </c:pt>
                <c:pt idx="202">
                  <c:v>52.747252747252752</c:v>
                </c:pt>
                <c:pt idx="203">
                  <c:v>236.68639053254435</c:v>
                </c:pt>
                <c:pt idx="204">
                  <c:v>293.88888888888886</c:v>
                </c:pt>
                <c:pt idx="205">
                  <c:v>345.37444933920705</c:v>
                </c:pt>
                <c:pt idx="206">
                  <c:v>808.42105263157896</c:v>
                </c:pt>
                <c:pt idx="207">
                  <c:v>532.84132841328415</c:v>
                </c:pt>
                <c:pt idx="208">
                  <c:v>622.02072538860114</c:v>
                </c:pt>
                <c:pt idx="209">
                  <c:v>384.01253918495297</c:v>
                </c:pt>
                <c:pt idx="210">
                  <c:v>316.04938271604937</c:v>
                </c:pt>
                <c:pt idx="211">
                  <c:v>451.86721991701251</c:v>
                </c:pt>
                <c:pt idx="212">
                  <c:v>484.18972332015812</c:v>
                </c:pt>
                <c:pt idx="213">
                  <c:v>118.44262295081967</c:v>
                </c:pt>
                <c:pt idx="214">
                  <c:v>323.96694214876032</c:v>
                </c:pt>
                <c:pt idx="215">
                  <c:v>833.58490566037733</c:v>
                </c:pt>
                <c:pt idx="216">
                  <c:v>412.85714285714283</c:v>
                </c:pt>
                <c:pt idx="217">
                  <c:v>659.40298507462694</c:v>
                </c:pt>
                <c:pt idx="218">
                  <c:v>407.26256983240228</c:v>
                </c:pt>
                <c:pt idx="219">
                  <c:v>324.66216216216213</c:v>
                </c:pt>
                <c:pt idx="220">
                  <c:v>320.99236641221376</c:v>
                </c:pt>
                <c:pt idx="221">
                  <c:v>645.33333333333326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690-4898-AB3C-9ADF32664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001712"/>
        <c:axId val="330150304"/>
      </c:scatterChart>
      <c:valAx>
        <c:axId val="24000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150304"/>
        <c:crosses val="autoZero"/>
        <c:crossBetween val="midCat"/>
      </c:valAx>
      <c:valAx>
        <c:axId val="330150304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01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5" Type="http://schemas.openxmlformats.org/officeDocument/2006/relationships/chart" Target="../charts/chart22.xml"/><Relationship Id="rId4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251460</xdr:colOff>
      <xdr:row>62</xdr:row>
      <xdr:rowOff>106680</xdr:rowOff>
    </xdr:from>
    <xdr:to>
      <xdr:col>20</xdr:col>
      <xdr:colOff>556260</xdr:colOff>
      <xdr:row>77</xdr:row>
      <xdr:rowOff>106680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288906E-16B5-4A44-8599-BF1182B4A2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274320</xdr:colOff>
      <xdr:row>16</xdr:row>
      <xdr:rowOff>68580</xdr:rowOff>
    </xdr:from>
    <xdr:to>
      <xdr:col>20</xdr:col>
      <xdr:colOff>579120</xdr:colOff>
      <xdr:row>31</xdr:row>
      <xdr:rowOff>68580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D9A142A-AC29-4EE3-951A-F1D92E6966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281940</xdr:colOff>
      <xdr:row>32</xdr:row>
      <xdr:rowOff>22860</xdr:rowOff>
    </xdr:from>
    <xdr:to>
      <xdr:col>20</xdr:col>
      <xdr:colOff>586740</xdr:colOff>
      <xdr:row>47</xdr:row>
      <xdr:rowOff>22860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0EFBB17-6AAB-4169-9B45-E1197D67B5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152400</xdr:colOff>
      <xdr:row>1</xdr:row>
      <xdr:rowOff>114300</xdr:rowOff>
    </xdr:from>
    <xdr:to>
      <xdr:col>30</xdr:col>
      <xdr:colOff>457200</xdr:colOff>
      <xdr:row>16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562FAC-C123-409B-849C-67BE17DF88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259080</xdr:colOff>
      <xdr:row>47</xdr:row>
      <xdr:rowOff>60960</xdr:rowOff>
    </xdr:from>
    <xdr:to>
      <xdr:col>20</xdr:col>
      <xdr:colOff>563880</xdr:colOff>
      <xdr:row>62</xdr:row>
      <xdr:rowOff>60960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CEB9969-5E23-4575-A034-241EEF8C99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266700</xdr:colOff>
      <xdr:row>77</xdr:row>
      <xdr:rowOff>144780</xdr:rowOff>
    </xdr:from>
    <xdr:to>
      <xdr:col>20</xdr:col>
      <xdr:colOff>571500</xdr:colOff>
      <xdr:row>92</xdr:row>
      <xdr:rowOff>144780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F9E1F8C-47DC-4A83-A8C7-48B192894B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274320</xdr:colOff>
      <xdr:row>1</xdr:row>
      <xdr:rowOff>30480</xdr:rowOff>
    </xdr:from>
    <xdr:to>
      <xdr:col>20</xdr:col>
      <xdr:colOff>579120</xdr:colOff>
      <xdr:row>16</xdr:row>
      <xdr:rowOff>30480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5DCF9AD-C861-448A-9511-7D708250B2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190500</xdr:colOff>
      <xdr:row>16</xdr:row>
      <xdr:rowOff>91440</xdr:rowOff>
    </xdr:from>
    <xdr:to>
      <xdr:col>21</xdr:col>
      <xdr:colOff>495300</xdr:colOff>
      <xdr:row>31</xdr:row>
      <xdr:rowOff>91440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F1E0FD2-6577-445F-B27F-0C45FC36CD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182880</xdr:colOff>
      <xdr:row>1</xdr:row>
      <xdr:rowOff>60960</xdr:rowOff>
    </xdr:from>
    <xdr:to>
      <xdr:col>21</xdr:col>
      <xdr:colOff>487680</xdr:colOff>
      <xdr:row>16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408243-809F-405D-BE89-77480BCEE7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182880</xdr:colOff>
      <xdr:row>32</xdr:row>
      <xdr:rowOff>19050</xdr:rowOff>
    </xdr:from>
    <xdr:to>
      <xdr:col>21</xdr:col>
      <xdr:colOff>487680</xdr:colOff>
      <xdr:row>47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51FF3D-7145-473D-833E-8EC7B7986D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182880</xdr:colOff>
      <xdr:row>47</xdr:row>
      <xdr:rowOff>106680</xdr:rowOff>
    </xdr:from>
    <xdr:to>
      <xdr:col>21</xdr:col>
      <xdr:colOff>487680</xdr:colOff>
      <xdr:row>62</xdr:row>
      <xdr:rowOff>106680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A33764F-0EB2-4B26-A91B-0A2D9A761C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182880</xdr:colOff>
      <xdr:row>62</xdr:row>
      <xdr:rowOff>167640</xdr:rowOff>
    </xdr:from>
    <xdr:to>
      <xdr:col>21</xdr:col>
      <xdr:colOff>487680</xdr:colOff>
      <xdr:row>77</xdr:row>
      <xdr:rowOff>167640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C9F7338-C743-4D60-B5E5-4490EBBA7A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</xdr:colOff>
      <xdr:row>16</xdr:row>
      <xdr:rowOff>114300</xdr:rowOff>
    </xdr:from>
    <xdr:to>
      <xdr:col>21</xdr:col>
      <xdr:colOff>320040</xdr:colOff>
      <xdr:row>31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F9E1FF-B7F6-40A8-9CAC-D51A34A9EB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15240</xdr:colOff>
      <xdr:row>1</xdr:row>
      <xdr:rowOff>45726</xdr:rowOff>
    </xdr:from>
    <xdr:to>
      <xdr:col>21</xdr:col>
      <xdr:colOff>320040</xdr:colOff>
      <xdr:row>16</xdr:row>
      <xdr:rowOff>45726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55A897A-FEDC-4012-AE9F-C47B2699EF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15240</xdr:colOff>
      <xdr:row>32</xdr:row>
      <xdr:rowOff>3810</xdr:rowOff>
    </xdr:from>
    <xdr:to>
      <xdr:col>21</xdr:col>
      <xdr:colOff>320040</xdr:colOff>
      <xdr:row>47</xdr:row>
      <xdr:rowOff>3810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7D093F8-F2CA-4BEC-B872-E5E47457DD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15240</xdr:colOff>
      <xdr:row>62</xdr:row>
      <xdr:rowOff>121920</xdr:rowOff>
    </xdr:from>
    <xdr:to>
      <xdr:col>21</xdr:col>
      <xdr:colOff>320040</xdr:colOff>
      <xdr:row>77</xdr:row>
      <xdr:rowOff>121920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3A81665-B261-49B2-AC9E-0F04046F48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15240</xdr:colOff>
      <xdr:row>47</xdr:row>
      <xdr:rowOff>53340</xdr:rowOff>
    </xdr:from>
    <xdr:to>
      <xdr:col>21</xdr:col>
      <xdr:colOff>320040</xdr:colOff>
      <xdr:row>62</xdr:row>
      <xdr:rowOff>53340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CCAD65F-D594-4BF9-83F9-C674CEAB18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274320</xdr:colOff>
      <xdr:row>1</xdr:row>
      <xdr:rowOff>30480</xdr:rowOff>
    </xdr:from>
    <xdr:to>
      <xdr:col>19</xdr:col>
      <xdr:colOff>579120</xdr:colOff>
      <xdr:row>16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FEFCAF-52B0-4519-B62B-C0E5557E59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266700</xdr:colOff>
      <xdr:row>16</xdr:row>
      <xdr:rowOff>49530</xdr:rowOff>
    </xdr:from>
    <xdr:to>
      <xdr:col>19</xdr:col>
      <xdr:colOff>571500</xdr:colOff>
      <xdr:row>31</xdr:row>
      <xdr:rowOff>49530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303400-1D4B-4FDF-A45E-8737B56DE2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266700</xdr:colOff>
      <xdr:row>31</xdr:row>
      <xdr:rowOff>64770</xdr:rowOff>
    </xdr:from>
    <xdr:to>
      <xdr:col>19</xdr:col>
      <xdr:colOff>571500</xdr:colOff>
      <xdr:row>46</xdr:row>
      <xdr:rowOff>64770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554A40B-D763-406D-A111-D4C4BDA429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266700</xdr:colOff>
      <xdr:row>46</xdr:row>
      <xdr:rowOff>129540</xdr:rowOff>
    </xdr:from>
    <xdr:to>
      <xdr:col>19</xdr:col>
      <xdr:colOff>571500</xdr:colOff>
      <xdr:row>61</xdr:row>
      <xdr:rowOff>129540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CC60C00-9BD7-48D6-A7A0-FA013BFD5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244839</xdr:colOff>
      <xdr:row>62</xdr:row>
      <xdr:rowOff>57495</xdr:rowOff>
    </xdr:from>
    <xdr:to>
      <xdr:col>19</xdr:col>
      <xdr:colOff>549640</xdr:colOff>
      <xdr:row>77</xdr:row>
      <xdr:rowOff>57498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5FDE28F-F9D7-46D5-8F3C-424F19773A1A}"/>
            </a:ext>
            <a:ext uri="{147F2762-F138-4A5C-976F-8EAC2B608ADB}">
              <a16:predDERef xmlns:a16="http://schemas.microsoft.com/office/drawing/2014/main" pred="{0CC60C00-9BD7-48D6-A7A0-FA013BFD55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903B6-278B-4D59-885A-D9FB04C15484}">
  <sheetPr codeName="Sheet1">
    <pageSetUpPr autoPageBreaks="0"/>
  </sheetPr>
  <dimension ref="A1:AG284"/>
  <sheetViews>
    <sheetView topLeftCell="G1" zoomScaleNormal="100" workbookViewId="0">
      <pane ySplit="1" topLeftCell="A275" activePane="bottomLeft" state="frozen"/>
      <selection activeCell="H1" sqref="H1"/>
      <selection pane="bottomLeft" activeCell="L258" sqref="L258"/>
    </sheetView>
  </sheetViews>
  <sheetFormatPr defaultRowHeight="14.4" x14ac:dyDescent="0.3"/>
  <cols>
    <col min="3" max="3" width="8.88671875" style="11"/>
    <col min="12" max="12" width="8.88671875" style="2"/>
    <col min="33" max="33" width="8.88671875" style="2"/>
  </cols>
  <sheetData>
    <row r="1" spans="1:33" x14ac:dyDescent="0.3">
      <c r="A1">
        <v>12700000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283</v>
      </c>
      <c r="V1" t="s">
        <v>8</v>
      </c>
      <c r="W1" t="s">
        <v>0</v>
      </c>
      <c r="AG1" s="2" t="s">
        <v>2</v>
      </c>
    </row>
    <row r="2" spans="1:33" x14ac:dyDescent="0.3">
      <c r="A2" s="1">
        <v>43899</v>
      </c>
      <c r="B2">
        <f t="shared" ref="B2:B27" si="0">W2 + G2</f>
        <v>11</v>
      </c>
      <c r="C2" s="11">
        <f t="shared" ref="C2:C33" si="1">B2/$A$1</f>
        <v>8.6614173228346459E-7</v>
      </c>
      <c r="G2">
        <v>0</v>
      </c>
      <c r="I2">
        <v>263</v>
      </c>
      <c r="V2">
        <v>0</v>
      </c>
      <c r="W2">
        <v>11</v>
      </c>
      <c r="AG2" s="2">
        <f t="shared" ref="AG2:AG33" si="2">B2/I2</f>
        <v>4.1825095057034217E-2</v>
      </c>
    </row>
    <row r="3" spans="1:33" x14ac:dyDescent="0.3">
      <c r="A3" s="1">
        <f t="shared" ref="A3:A34" si="3">A2+1</f>
        <v>43900</v>
      </c>
      <c r="B3">
        <f t="shared" si="0"/>
        <v>19</v>
      </c>
      <c r="C3" s="11">
        <f t="shared" si="1"/>
        <v>1.4960629921259843E-6</v>
      </c>
      <c r="D3" s="2">
        <f t="shared" ref="D3:D34" si="4">B3/B2 - 1</f>
        <v>0.72727272727272729</v>
      </c>
      <c r="E3" s="15">
        <f t="shared" ref="E3:E34" si="5">LOG(D3/K3)</f>
        <v>0.48231250086989486</v>
      </c>
      <c r="F3">
        <f t="shared" ref="F3:F34" si="6">B3 - B2</f>
        <v>8</v>
      </c>
      <c r="G3">
        <v>0</v>
      </c>
      <c r="H3">
        <f>G3-G2</f>
        <v>0</v>
      </c>
      <c r="I3">
        <v>326</v>
      </c>
      <c r="J3">
        <f t="shared" ref="J3:J34" si="7">I3 - I2</f>
        <v>63</v>
      </c>
      <c r="K3" s="2">
        <f t="shared" ref="K3:K34" si="8">I3/I2 - 1</f>
        <v>0.23954372623574138</v>
      </c>
      <c r="L3" s="2">
        <f t="shared" ref="L3:L34" si="9">(B3 - B2)/(I3 - I2)</f>
        <v>0.12698412698412698</v>
      </c>
      <c r="V3">
        <f>V2+1</f>
        <v>1</v>
      </c>
      <c r="W3">
        <v>19</v>
      </c>
      <c r="AG3" s="2">
        <f t="shared" si="2"/>
        <v>5.8282208588957052E-2</v>
      </c>
    </row>
    <row r="4" spans="1:33" x14ac:dyDescent="0.3">
      <c r="A4" s="1">
        <f t="shared" si="3"/>
        <v>43901</v>
      </c>
      <c r="B4">
        <f t="shared" si="0"/>
        <v>25</v>
      </c>
      <c r="C4" s="11">
        <f t="shared" si="1"/>
        <v>1.9685039370078741E-6</v>
      </c>
      <c r="D4" s="2">
        <f t="shared" si="4"/>
        <v>0.31578947368421062</v>
      </c>
      <c r="E4" s="15">
        <f t="shared" si="5"/>
        <v>0.39983139277901852</v>
      </c>
      <c r="F4">
        <f t="shared" si="6"/>
        <v>6</v>
      </c>
      <c r="G4">
        <v>0</v>
      </c>
      <c r="H4">
        <f t="shared" ref="H4:H92" si="10">G4-G3</f>
        <v>0</v>
      </c>
      <c r="I4">
        <v>367</v>
      </c>
      <c r="J4">
        <f t="shared" si="7"/>
        <v>41</v>
      </c>
      <c r="K4" s="2">
        <f t="shared" si="8"/>
        <v>0.12576687116564411</v>
      </c>
      <c r="L4" s="2">
        <f t="shared" si="9"/>
        <v>0.14634146341463414</v>
      </c>
      <c r="V4">
        <f t="shared" ref="V4:V14" si="11">V3+1</f>
        <v>2</v>
      </c>
      <c r="W4">
        <v>25</v>
      </c>
      <c r="AG4" s="2">
        <f t="shared" si="2"/>
        <v>6.8119891008174394E-2</v>
      </c>
    </row>
    <row r="5" spans="1:33" x14ac:dyDescent="0.3">
      <c r="A5" s="1">
        <f t="shared" si="3"/>
        <v>43902</v>
      </c>
      <c r="B5">
        <f t="shared" si="0"/>
        <v>32</v>
      </c>
      <c r="C5" s="11">
        <f t="shared" si="1"/>
        <v>2.5196850393700787E-6</v>
      </c>
      <c r="D5" s="2">
        <f t="shared" si="4"/>
        <v>0.28000000000000003</v>
      </c>
      <c r="E5" s="15">
        <f t="shared" si="5"/>
        <v>0.30425391949637243</v>
      </c>
      <c r="F5">
        <f t="shared" si="6"/>
        <v>7</v>
      </c>
      <c r="G5">
        <v>0</v>
      </c>
      <c r="H5">
        <f t="shared" si="10"/>
        <v>0</v>
      </c>
      <c r="I5">
        <v>418</v>
      </c>
      <c r="J5">
        <f t="shared" si="7"/>
        <v>51</v>
      </c>
      <c r="K5" s="2">
        <f t="shared" si="8"/>
        <v>0.13896457765667569</v>
      </c>
      <c r="L5" s="2">
        <f t="shared" si="9"/>
        <v>0.13725490196078433</v>
      </c>
      <c r="V5">
        <f t="shared" si="11"/>
        <v>3</v>
      </c>
      <c r="W5">
        <v>32</v>
      </c>
      <c r="AG5" s="2">
        <f t="shared" si="2"/>
        <v>7.6555023923444973E-2</v>
      </c>
    </row>
    <row r="6" spans="1:33" x14ac:dyDescent="0.3">
      <c r="A6" s="1">
        <f t="shared" si="3"/>
        <v>43903</v>
      </c>
      <c r="B6">
        <f t="shared" si="0"/>
        <v>46</v>
      </c>
      <c r="C6" s="11">
        <f t="shared" si="1"/>
        <v>3.6220472440944883E-6</v>
      </c>
      <c r="D6" s="2">
        <f t="shared" si="4"/>
        <v>0.4375</v>
      </c>
      <c r="E6" s="15">
        <f t="shared" si="5"/>
        <v>0.8471809911625493</v>
      </c>
      <c r="F6">
        <f t="shared" si="6"/>
        <v>14</v>
      </c>
      <c r="G6">
        <v>0</v>
      </c>
      <c r="H6">
        <f t="shared" si="10"/>
        <v>0</v>
      </c>
      <c r="I6">
        <v>444</v>
      </c>
      <c r="J6">
        <f t="shared" si="7"/>
        <v>26</v>
      </c>
      <c r="K6" s="2">
        <f t="shared" si="8"/>
        <v>6.2200956937799035E-2</v>
      </c>
      <c r="L6" s="2">
        <f t="shared" si="9"/>
        <v>0.53846153846153844</v>
      </c>
      <c r="V6">
        <f t="shared" si="11"/>
        <v>4</v>
      </c>
      <c r="W6">
        <v>46</v>
      </c>
      <c r="AG6" s="2">
        <f t="shared" si="2"/>
        <v>0.1036036036036036</v>
      </c>
    </row>
    <row r="7" spans="1:33" x14ac:dyDescent="0.3">
      <c r="A7" s="1">
        <f t="shared" si="3"/>
        <v>43904</v>
      </c>
      <c r="B7">
        <f t="shared" si="0"/>
        <v>64</v>
      </c>
      <c r="C7" s="11">
        <f t="shared" si="1"/>
        <v>5.0393700787401574E-6</v>
      </c>
      <c r="D7" s="2">
        <f t="shared" si="4"/>
        <v>0.39130434782608692</v>
      </c>
      <c r="E7" s="15">
        <f t="shared" si="5"/>
        <v>-0.18170628333347927</v>
      </c>
      <c r="F7">
        <f t="shared" si="6"/>
        <v>18</v>
      </c>
      <c r="G7">
        <v>0</v>
      </c>
      <c r="H7">
        <f t="shared" si="10"/>
        <v>0</v>
      </c>
      <c r="I7">
        <v>708</v>
      </c>
      <c r="J7">
        <f t="shared" si="7"/>
        <v>264</v>
      </c>
      <c r="K7" s="2">
        <f t="shared" si="8"/>
        <v>0.59459459459459452</v>
      </c>
      <c r="L7" s="2">
        <f t="shared" si="9"/>
        <v>6.8181818181818177E-2</v>
      </c>
      <c r="V7">
        <f t="shared" si="11"/>
        <v>5</v>
      </c>
      <c r="W7">
        <v>64</v>
      </c>
      <c r="AG7" s="2">
        <f t="shared" si="2"/>
        <v>9.03954802259887E-2</v>
      </c>
    </row>
    <row r="8" spans="1:33" x14ac:dyDescent="0.3">
      <c r="A8" s="1">
        <f t="shared" si="3"/>
        <v>43905</v>
      </c>
      <c r="B8">
        <f t="shared" si="0"/>
        <v>93</v>
      </c>
      <c r="C8" s="11">
        <f t="shared" si="1"/>
        <v>7.3228346456692913E-6</v>
      </c>
      <c r="D8" s="2">
        <f t="shared" si="4"/>
        <v>0.453125</v>
      </c>
      <c r="E8" s="15">
        <f t="shared" si="5"/>
        <v>5.1920193870863838E-3</v>
      </c>
      <c r="F8">
        <f t="shared" si="6"/>
        <v>29</v>
      </c>
      <c r="G8">
        <v>0</v>
      </c>
      <c r="H8">
        <f t="shared" si="10"/>
        <v>0</v>
      </c>
      <c r="I8">
        <v>1025</v>
      </c>
      <c r="J8">
        <f t="shared" si="7"/>
        <v>317</v>
      </c>
      <c r="K8" s="2">
        <f t="shared" si="8"/>
        <v>0.44774011299435035</v>
      </c>
      <c r="L8" s="2">
        <f t="shared" si="9"/>
        <v>9.1482649842271294E-2</v>
      </c>
      <c r="V8">
        <f t="shared" si="11"/>
        <v>6</v>
      </c>
      <c r="W8">
        <v>93</v>
      </c>
      <c r="AG8" s="2">
        <f t="shared" si="2"/>
        <v>9.0731707317073168E-2</v>
      </c>
    </row>
    <row r="9" spans="1:33" x14ac:dyDescent="0.3">
      <c r="A9" s="1">
        <f t="shared" si="3"/>
        <v>43906</v>
      </c>
      <c r="B9">
        <f t="shared" si="0"/>
        <v>105</v>
      </c>
      <c r="C9" s="11">
        <f t="shared" si="1"/>
        <v>8.267716535433071E-6</v>
      </c>
      <c r="D9" s="2">
        <f t="shared" si="4"/>
        <v>0.12903225806451624</v>
      </c>
      <c r="E9" s="15">
        <f t="shared" si="5"/>
        <v>4.9540155579337421E-2</v>
      </c>
      <c r="F9">
        <f t="shared" si="6"/>
        <v>12</v>
      </c>
      <c r="G9">
        <v>0</v>
      </c>
      <c r="H9">
        <f t="shared" si="10"/>
        <v>0</v>
      </c>
      <c r="I9">
        <v>1143</v>
      </c>
      <c r="J9">
        <f t="shared" si="7"/>
        <v>118</v>
      </c>
      <c r="K9" s="2">
        <f t="shared" si="8"/>
        <v>0.1151219512195123</v>
      </c>
      <c r="L9" s="2">
        <f t="shared" si="9"/>
        <v>0.10169491525423729</v>
      </c>
      <c r="V9">
        <f t="shared" si="11"/>
        <v>7</v>
      </c>
      <c r="W9">
        <v>105</v>
      </c>
      <c r="AG9" s="2">
        <f t="shared" si="2"/>
        <v>9.1863517060367453E-2</v>
      </c>
    </row>
    <row r="10" spans="1:33" x14ac:dyDescent="0.3">
      <c r="A10" s="1">
        <f t="shared" si="3"/>
        <v>43907</v>
      </c>
      <c r="B10">
        <f t="shared" si="0"/>
        <v>161</v>
      </c>
      <c r="C10" s="11">
        <f t="shared" si="1"/>
        <v>1.2677165354330709E-5</v>
      </c>
      <c r="D10" s="2">
        <f t="shared" si="4"/>
        <v>0.53333333333333344</v>
      </c>
      <c r="E10" s="15">
        <f t="shared" si="5"/>
        <v>0.23237674221935092</v>
      </c>
      <c r="F10">
        <f t="shared" si="6"/>
        <v>56</v>
      </c>
      <c r="G10">
        <v>1</v>
      </c>
      <c r="H10">
        <f t="shared" si="10"/>
        <v>1</v>
      </c>
      <c r="I10">
        <v>1500</v>
      </c>
      <c r="J10">
        <f t="shared" si="7"/>
        <v>357</v>
      </c>
      <c r="K10" s="2">
        <f t="shared" si="8"/>
        <v>0.31233595800524938</v>
      </c>
      <c r="L10" s="2">
        <f t="shared" si="9"/>
        <v>0.15686274509803921</v>
      </c>
      <c r="V10">
        <f t="shared" si="11"/>
        <v>8</v>
      </c>
      <c r="W10">
        <v>160</v>
      </c>
      <c r="AG10" s="2">
        <f t="shared" si="2"/>
        <v>0.10733333333333334</v>
      </c>
    </row>
    <row r="11" spans="1:33" x14ac:dyDescent="0.3">
      <c r="A11" s="1">
        <f t="shared" si="3"/>
        <v>43908</v>
      </c>
      <c r="B11">
        <f t="shared" si="0"/>
        <v>289</v>
      </c>
      <c r="C11" s="11">
        <f t="shared" si="1"/>
        <v>2.2755905511811022E-5</v>
      </c>
      <c r="D11" s="2">
        <f t="shared" si="4"/>
        <v>0.79503105590062106</v>
      </c>
      <c r="E11" s="15">
        <f t="shared" si="5"/>
        <v>0.33453627494250082</v>
      </c>
      <c r="F11">
        <f t="shared" si="6"/>
        <v>128</v>
      </c>
      <c r="G11">
        <v>1</v>
      </c>
      <c r="H11">
        <f t="shared" si="10"/>
        <v>0</v>
      </c>
      <c r="I11">
        <v>2052</v>
      </c>
      <c r="J11">
        <f t="shared" si="7"/>
        <v>552</v>
      </c>
      <c r="K11" s="2">
        <f t="shared" si="8"/>
        <v>0.3680000000000001</v>
      </c>
      <c r="L11" s="2">
        <f t="shared" si="9"/>
        <v>0.2318840579710145</v>
      </c>
      <c r="V11">
        <f t="shared" si="11"/>
        <v>9</v>
      </c>
      <c r="W11">
        <v>288</v>
      </c>
      <c r="AG11" s="2">
        <f t="shared" si="2"/>
        <v>0.14083820662768032</v>
      </c>
    </row>
    <row r="12" spans="1:33" x14ac:dyDescent="0.3">
      <c r="A12" s="1">
        <f t="shared" si="3"/>
        <v>43909</v>
      </c>
      <c r="B12">
        <f t="shared" si="0"/>
        <v>426</v>
      </c>
      <c r="C12" s="11">
        <f t="shared" si="1"/>
        <v>3.3543307086614174E-5</v>
      </c>
      <c r="D12" s="2">
        <f t="shared" si="4"/>
        <v>0.47404844290657433</v>
      </c>
      <c r="E12" s="15">
        <f t="shared" si="5"/>
        <v>-5.299761158385298E-2</v>
      </c>
      <c r="F12">
        <f t="shared" si="6"/>
        <v>137</v>
      </c>
      <c r="G12">
        <v>4</v>
      </c>
      <c r="H12">
        <f t="shared" si="10"/>
        <v>3</v>
      </c>
      <c r="I12">
        <v>3151</v>
      </c>
      <c r="J12">
        <f t="shared" si="7"/>
        <v>1099</v>
      </c>
      <c r="K12" s="2">
        <f t="shared" si="8"/>
        <v>0.53557504873294337</v>
      </c>
      <c r="L12" s="2">
        <f t="shared" si="9"/>
        <v>0.12465878070973613</v>
      </c>
      <c r="V12">
        <f t="shared" si="11"/>
        <v>10</v>
      </c>
      <c r="W12">
        <v>422</v>
      </c>
      <c r="AG12" s="2">
        <f t="shared" si="2"/>
        <v>0.13519517613456045</v>
      </c>
    </row>
    <row r="13" spans="1:33" x14ac:dyDescent="0.3">
      <c r="A13" s="1">
        <f t="shared" si="3"/>
        <v>43910</v>
      </c>
      <c r="B13">
        <f t="shared" si="0"/>
        <v>590</v>
      </c>
      <c r="C13" s="11">
        <f t="shared" si="1"/>
        <v>4.6456692913385825E-5</v>
      </c>
      <c r="D13" s="2">
        <f t="shared" si="4"/>
        <v>0.38497652582159625</v>
      </c>
      <c r="E13" s="15">
        <f t="shared" si="5"/>
        <v>2.8886790589837195E-2</v>
      </c>
      <c r="F13">
        <f t="shared" si="6"/>
        <v>164</v>
      </c>
      <c r="G13">
        <v>5</v>
      </c>
      <c r="H13">
        <f t="shared" si="10"/>
        <v>1</v>
      </c>
      <c r="I13">
        <v>4286</v>
      </c>
      <c r="J13">
        <f t="shared" si="7"/>
        <v>1135</v>
      </c>
      <c r="K13" s="2">
        <f t="shared" si="8"/>
        <v>0.36020311012377015</v>
      </c>
      <c r="L13" s="2">
        <f t="shared" si="9"/>
        <v>0.14449339207048459</v>
      </c>
      <c r="V13">
        <f t="shared" si="11"/>
        <v>11</v>
      </c>
      <c r="W13">
        <v>585</v>
      </c>
      <c r="AG13" s="2">
        <f t="shared" si="2"/>
        <v>0.13765748950069995</v>
      </c>
    </row>
    <row r="14" spans="1:33" x14ac:dyDescent="0.3">
      <c r="A14" s="3">
        <f t="shared" si="3"/>
        <v>43911</v>
      </c>
      <c r="B14" s="4">
        <f t="shared" si="0"/>
        <v>759</v>
      </c>
      <c r="C14" s="12">
        <f t="shared" si="1"/>
        <v>5.9763779527559056E-5</v>
      </c>
      <c r="D14" s="5">
        <f t="shared" si="4"/>
        <v>0.28644067796610173</v>
      </c>
      <c r="E14" s="16">
        <f t="shared" si="5"/>
        <v>-0.2033907339904448</v>
      </c>
      <c r="F14" s="4">
        <f t="shared" si="6"/>
        <v>169</v>
      </c>
      <c r="G14" s="4">
        <v>6</v>
      </c>
      <c r="H14" s="4">
        <f t="shared" si="10"/>
        <v>1</v>
      </c>
      <c r="I14" s="4">
        <v>6247</v>
      </c>
      <c r="J14" s="4">
        <f t="shared" si="7"/>
        <v>1961</v>
      </c>
      <c r="K14" s="5">
        <f t="shared" si="8"/>
        <v>0.4575361642557163</v>
      </c>
      <c r="L14" s="5">
        <f t="shared" si="9"/>
        <v>8.6180520142784295E-2</v>
      </c>
      <c r="M14" t="s">
        <v>10</v>
      </c>
      <c r="V14">
        <f t="shared" si="11"/>
        <v>12</v>
      </c>
      <c r="W14">
        <v>753</v>
      </c>
      <c r="AG14" s="5">
        <f t="shared" si="2"/>
        <v>0.12149831919321274</v>
      </c>
    </row>
    <row r="15" spans="1:33" x14ac:dyDescent="0.3">
      <c r="A15" s="1">
        <f t="shared" si="3"/>
        <v>43912</v>
      </c>
      <c r="B15">
        <f t="shared" si="0"/>
        <v>1058</v>
      </c>
      <c r="C15" s="11">
        <f t="shared" si="1"/>
        <v>8.3307086614173225E-5</v>
      </c>
      <c r="D15" s="2">
        <f t="shared" si="4"/>
        <v>0.39393939393939403</v>
      </c>
      <c r="E15" s="15">
        <f t="shared" si="5"/>
        <v>6.3333428472242007E-2</v>
      </c>
      <c r="F15">
        <f t="shared" si="6"/>
        <v>299</v>
      </c>
      <c r="G15">
        <v>9</v>
      </c>
      <c r="H15">
        <f t="shared" si="10"/>
        <v>3</v>
      </c>
      <c r="I15">
        <v>8374</v>
      </c>
      <c r="J15">
        <f t="shared" si="7"/>
        <v>2127</v>
      </c>
      <c r="K15" s="2">
        <f t="shared" si="8"/>
        <v>0.34048343204738285</v>
      </c>
      <c r="L15" s="2">
        <f t="shared" si="9"/>
        <v>0.14057357780912083</v>
      </c>
      <c r="W15">
        <v>1049</v>
      </c>
      <c r="AG15" s="2">
        <f t="shared" si="2"/>
        <v>0.12634344399331263</v>
      </c>
    </row>
    <row r="16" spans="1:33" x14ac:dyDescent="0.3">
      <c r="A16" s="1">
        <f t="shared" si="3"/>
        <v>43913</v>
      </c>
      <c r="B16">
        <f t="shared" si="0"/>
        <v>1297</v>
      </c>
      <c r="C16" s="11">
        <f t="shared" si="1"/>
        <v>1.021259842519685E-4</v>
      </c>
      <c r="D16" s="2">
        <f t="shared" si="4"/>
        <v>0.22589792060491498</v>
      </c>
      <c r="E16" s="15">
        <f t="shared" si="5"/>
        <v>0.10249459232480253</v>
      </c>
      <c r="F16">
        <f t="shared" si="6"/>
        <v>239</v>
      </c>
      <c r="G16">
        <v>12</v>
      </c>
      <c r="H16">
        <f t="shared" si="10"/>
        <v>3</v>
      </c>
      <c r="I16">
        <v>9868</v>
      </c>
      <c r="J16">
        <f t="shared" si="7"/>
        <v>1494</v>
      </c>
      <c r="K16" s="2">
        <f t="shared" si="8"/>
        <v>0.17840936231191784</v>
      </c>
      <c r="L16" s="2">
        <f t="shared" si="9"/>
        <v>0.15997322623828647</v>
      </c>
      <c r="W16">
        <v>1285</v>
      </c>
      <c r="AG16" s="2">
        <f t="shared" si="2"/>
        <v>0.13143494122415889</v>
      </c>
    </row>
    <row r="17" spans="1:33" x14ac:dyDescent="0.3">
      <c r="A17" s="1">
        <f t="shared" si="3"/>
        <v>43914</v>
      </c>
      <c r="B17">
        <f t="shared" si="0"/>
        <v>1551</v>
      </c>
      <c r="C17" s="11">
        <f t="shared" si="1"/>
        <v>1.221259842519685E-4</v>
      </c>
      <c r="D17" s="2">
        <f t="shared" si="4"/>
        <v>0.19583654587509636</v>
      </c>
      <c r="E17" s="15">
        <f t="shared" si="5"/>
        <v>7.7412861447155173E-2</v>
      </c>
      <c r="F17">
        <f t="shared" si="6"/>
        <v>254</v>
      </c>
      <c r="G17">
        <v>16</v>
      </c>
      <c r="H17">
        <f t="shared" si="10"/>
        <v>4</v>
      </c>
      <c r="I17">
        <v>11485</v>
      </c>
      <c r="J17">
        <f t="shared" si="7"/>
        <v>1617</v>
      </c>
      <c r="K17" s="2">
        <f t="shared" si="8"/>
        <v>0.16386299148763683</v>
      </c>
      <c r="L17" s="2">
        <f t="shared" si="9"/>
        <v>0.15708101422387136</v>
      </c>
      <c r="W17">
        <v>1535</v>
      </c>
      <c r="AG17" s="2">
        <f t="shared" si="2"/>
        <v>0.13504571179799738</v>
      </c>
    </row>
    <row r="18" spans="1:33" x14ac:dyDescent="0.3">
      <c r="A18" s="1">
        <f t="shared" si="3"/>
        <v>43915</v>
      </c>
      <c r="B18">
        <f t="shared" si="0"/>
        <v>1884</v>
      </c>
      <c r="C18" s="11">
        <f t="shared" si="1"/>
        <v>1.4834645669291338E-4</v>
      </c>
      <c r="D18" s="2">
        <f t="shared" si="4"/>
        <v>0.2147001934235977</v>
      </c>
      <c r="E18" s="15">
        <f t="shared" si="5"/>
        <v>-4.3243668016987563E-2</v>
      </c>
      <c r="F18">
        <f t="shared" si="6"/>
        <v>333</v>
      </c>
      <c r="G18">
        <v>19</v>
      </c>
      <c r="H18">
        <f t="shared" si="10"/>
        <v>3</v>
      </c>
      <c r="I18">
        <v>14209</v>
      </c>
      <c r="J18">
        <f t="shared" si="7"/>
        <v>2724</v>
      </c>
      <c r="K18" s="2">
        <f t="shared" si="8"/>
        <v>0.23717892903787541</v>
      </c>
      <c r="L18" s="2">
        <f t="shared" si="9"/>
        <v>0.1222466960352423</v>
      </c>
      <c r="W18">
        <v>1865</v>
      </c>
      <c r="AG18" s="2">
        <f t="shared" si="2"/>
        <v>0.13259201914279681</v>
      </c>
    </row>
    <row r="19" spans="1:33" x14ac:dyDescent="0.3">
      <c r="A19" s="1">
        <f t="shared" si="3"/>
        <v>43916</v>
      </c>
      <c r="B19">
        <f t="shared" si="0"/>
        <v>2564</v>
      </c>
      <c r="C19" s="11">
        <f t="shared" si="1"/>
        <v>2.0188976377952757E-4</v>
      </c>
      <c r="D19" s="2">
        <f t="shared" si="4"/>
        <v>0.36093418259023347</v>
      </c>
      <c r="E19" s="15">
        <f t="shared" si="5"/>
        <v>0.32581738969888391</v>
      </c>
      <c r="F19">
        <f t="shared" si="6"/>
        <v>680</v>
      </c>
      <c r="G19">
        <v>26</v>
      </c>
      <c r="H19">
        <f t="shared" si="10"/>
        <v>7</v>
      </c>
      <c r="I19">
        <v>16631</v>
      </c>
      <c r="J19">
        <f t="shared" si="7"/>
        <v>2422</v>
      </c>
      <c r="K19" s="2">
        <f t="shared" si="8"/>
        <v>0.17045534520374406</v>
      </c>
      <c r="L19" s="2">
        <f t="shared" si="9"/>
        <v>0.28075970272502065</v>
      </c>
      <c r="W19">
        <v>2538</v>
      </c>
      <c r="AG19" s="2">
        <f t="shared" si="2"/>
        <v>0.15416992363658227</v>
      </c>
    </row>
    <row r="20" spans="1:33" x14ac:dyDescent="0.3">
      <c r="A20" s="1">
        <f t="shared" si="3"/>
        <v>43917</v>
      </c>
      <c r="B20">
        <f t="shared" si="0"/>
        <v>3060</v>
      </c>
      <c r="C20" s="11">
        <f t="shared" si="1"/>
        <v>2.4094488188976379E-4</v>
      </c>
      <c r="D20" s="2">
        <f t="shared" si="4"/>
        <v>0.1934477379095163</v>
      </c>
      <c r="E20" s="15">
        <f t="shared" si="5"/>
        <v>-0.18368791493163389</v>
      </c>
      <c r="F20">
        <f t="shared" si="6"/>
        <v>496</v>
      </c>
      <c r="G20">
        <v>34</v>
      </c>
      <c r="H20">
        <f t="shared" si="10"/>
        <v>8</v>
      </c>
      <c r="I20">
        <v>21542</v>
      </c>
      <c r="J20">
        <f t="shared" si="7"/>
        <v>4911</v>
      </c>
      <c r="K20" s="2">
        <f t="shared" si="8"/>
        <v>0.29529192471889854</v>
      </c>
      <c r="L20" s="2">
        <f t="shared" si="9"/>
        <v>0.10099776013031969</v>
      </c>
      <c r="W20">
        <v>3026</v>
      </c>
      <c r="AG20" s="2">
        <f t="shared" si="2"/>
        <v>0.14204809209915514</v>
      </c>
    </row>
    <row r="21" spans="1:33" x14ac:dyDescent="0.3">
      <c r="A21" s="1">
        <f t="shared" si="3"/>
        <v>43918</v>
      </c>
      <c r="B21">
        <f t="shared" si="0"/>
        <v>3538</v>
      </c>
      <c r="C21" s="11">
        <f t="shared" si="1"/>
        <v>2.7858267716535432E-4</v>
      </c>
      <c r="D21" s="2">
        <f t="shared" si="4"/>
        <v>0.15620915032679727</v>
      </c>
      <c r="E21" s="15">
        <f t="shared" si="5"/>
        <v>-6.2622048946293252E-2</v>
      </c>
      <c r="F21">
        <f t="shared" si="6"/>
        <v>478</v>
      </c>
      <c r="G21">
        <v>47</v>
      </c>
      <c r="H21">
        <f t="shared" si="10"/>
        <v>13</v>
      </c>
      <c r="I21">
        <v>25429</v>
      </c>
      <c r="J21">
        <f t="shared" si="7"/>
        <v>3887</v>
      </c>
      <c r="K21" s="2">
        <f t="shared" si="8"/>
        <v>0.18043821372203128</v>
      </c>
      <c r="L21" s="2">
        <f t="shared" si="9"/>
        <v>0.12297401595060457</v>
      </c>
      <c r="W21">
        <v>3491</v>
      </c>
      <c r="AG21" s="2">
        <f t="shared" si="2"/>
        <v>0.13913248653112589</v>
      </c>
    </row>
    <row r="22" spans="1:33" x14ac:dyDescent="0.3">
      <c r="A22" s="1">
        <f t="shared" si="3"/>
        <v>43919</v>
      </c>
      <c r="B22">
        <f t="shared" si="0"/>
        <v>4661</v>
      </c>
      <c r="C22" s="11">
        <f t="shared" si="1"/>
        <v>3.6700787401574805E-4</v>
      </c>
      <c r="D22" s="2">
        <f t="shared" si="4"/>
        <v>0.31741096664782353</v>
      </c>
      <c r="E22" s="15">
        <f t="shared" si="5"/>
        <v>0.5390364706968761</v>
      </c>
      <c r="F22">
        <f t="shared" si="6"/>
        <v>1123</v>
      </c>
      <c r="G22">
        <v>65</v>
      </c>
      <c r="H22">
        <f t="shared" si="10"/>
        <v>18</v>
      </c>
      <c r="I22">
        <v>27762</v>
      </c>
      <c r="J22">
        <f t="shared" si="7"/>
        <v>2333</v>
      </c>
      <c r="K22" s="2">
        <f t="shared" si="8"/>
        <v>9.1745644736324738E-2</v>
      </c>
      <c r="L22" s="2">
        <f t="shared" si="9"/>
        <v>0.48135447921131591</v>
      </c>
      <c r="W22">
        <v>4596</v>
      </c>
      <c r="AG22" s="2">
        <f t="shared" si="2"/>
        <v>0.16789136229378288</v>
      </c>
    </row>
    <row r="23" spans="1:33" x14ac:dyDescent="0.3">
      <c r="A23" s="1">
        <f t="shared" si="3"/>
        <v>43920</v>
      </c>
      <c r="B23">
        <f t="shared" si="0"/>
        <v>5130</v>
      </c>
      <c r="C23" s="11">
        <f t="shared" si="1"/>
        <v>4.0393700787401572E-4</v>
      </c>
      <c r="D23" s="2">
        <f t="shared" si="4"/>
        <v>0.10062218408066936</v>
      </c>
      <c r="E23" s="15">
        <f t="shared" si="5"/>
        <v>1.7361978169083924E-2</v>
      </c>
      <c r="F23">
        <f t="shared" si="6"/>
        <v>469</v>
      </c>
      <c r="G23">
        <v>73</v>
      </c>
      <c r="H23">
        <f t="shared" si="10"/>
        <v>8</v>
      </c>
      <c r="I23">
        <v>30446</v>
      </c>
      <c r="J23">
        <f t="shared" si="7"/>
        <v>2684</v>
      </c>
      <c r="K23" s="2">
        <f t="shared" si="8"/>
        <v>9.667891362293779E-2</v>
      </c>
      <c r="L23" s="2">
        <f t="shared" si="9"/>
        <v>0.17473919523099851</v>
      </c>
      <c r="W23">
        <v>5057</v>
      </c>
      <c r="AG23" s="2">
        <f t="shared" si="2"/>
        <v>0.16849504039939564</v>
      </c>
    </row>
    <row r="24" spans="1:33" x14ac:dyDescent="0.3">
      <c r="A24" s="1">
        <f t="shared" si="3"/>
        <v>43921</v>
      </c>
      <c r="B24">
        <f t="shared" si="0"/>
        <v>6093</v>
      </c>
      <c r="C24" s="11">
        <f t="shared" si="1"/>
        <v>4.7976377952755906E-4</v>
      </c>
      <c r="D24" s="2">
        <f t="shared" si="4"/>
        <v>0.18771929824561395</v>
      </c>
      <c r="E24" s="15">
        <f t="shared" si="5"/>
        <v>7.7702134535105327E-2</v>
      </c>
      <c r="F24">
        <f t="shared" si="6"/>
        <v>963</v>
      </c>
      <c r="G24">
        <v>99</v>
      </c>
      <c r="H24">
        <f t="shared" si="10"/>
        <v>26</v>
      </c>
      <c r="I24">
        <v>35225</v>
      </c>
      <c r="J24">
        <f t="shared" si="7"/>
        <v>4779</v>
      </c>
      <c r="K24" s="2">
        <f t="shared" si="8"/>
        <v>0.15696643237206853</v>
      </c>
      <c r="L24" s="2">
        <f t="shared" si="9"/>
        <v>0.20150659133709981</v>
      </c>
      <c r="W24">
        <v>5994</v>
      </c>
      <c r="AG24" s="2">
        <f t="shared" si="2"/>
        <v>0.17297374024130588</v>
      </c>
    </row>
    <row r="25" spans="1:33" x14ac:dyDescent="0.3">
      <c r="A25" s="1">
        <f t="shared" si="3"/>
        <v>43922</v>
      </c>
      <c r="B25">
        <f t="shared" si="0"/>
        <v>7121</v>
      </c>
      <c r="C25" s="11">
        <f t="shared" si="1"/>
        <v>5.6070866141732286E-4</v>
      </c>
      <c r="D25" s="2">
        <f t="shared" si="4"/>
        <v>0.16871820121450853</v>
      </c>
      <c r="E25" s="15">
        <f t="shared" si="5"/>
        <v>6.1447410442873433E-2</v>
      </c>
      <c r="F25">
        <f t="shared" si="6"/>
        <v>1028</v>
      </c>
      <c r="G25">
        <v>141</v>
      </c>
      <c r="H25">
        <f t="shared" si="10"/>
        <v>42</v>
      </c>
      <c r="I25">
        <v>40384</v>
      </c>
      <c r="J25">
        <f t="shared" si="7"/>
        <v>5159</v>
      </c>
      <c r="K25" s="2">
        <f t="shared" si="8"/>
        <v>0.14645848119233507</v>
      </c>
      <c r="L25" s="2">
        <f t="shared" si="9"/>
        <v>0.19926342314402015</v>
      </c>
      <c r="W25">
        <v>6980</v>
      </c>
      <c r="AG25" s="2">
        <f t="shared" si="2"/>
        <v>0.17633221077654518</v>
      </c>
    </row>
    <row r="26" spans="1:33" x14ac:dyDescent="0.3">
      <c r="A26" s="1">
        <f t="shared" si="3"/>
        <v>43923</v>
      </c>
      <c r="B26">
        <f t="shared" si="0"/>
        <v>7852</v>
      </c>
      <c r="C26" s="11">
        <f t="shared" si="1"/>
        <v>6.1826771653543302E-4</v>
      </c>
      <c r="D26" s="2">
        <f t="shared" si="4"/>
        <v>0.10265412161213305</v>
      </c>
      <c r="E26" s="15">
        <f t="shared" si="5"/>
        <v>0.10277242941679784</v>
      </c>
      <c r="F26">
        <f t="shared" si="6"/>
        <v>731</v>
      </c>
      <c r="G26">
        <v>157</v>
      </c>
      <c r="H26">
        <f t="shared" si="10"/>
        <v>16</v>
      </c>
      <c r="I26">
        <v>43656</v>
      </c>
      <c r="J26">
        <f t="shared" si="7"/>
        <v>3272</v>
      </c>
      <c r="K26" s="2">
        <f t="shared" si="8"/>
        <v>8.1022187004754276E-2</v>
      </c>
      <c r="L26" s="2">
        <f t="shared" si="9"/>
        <v>0.22341075794621026</v>
      </c>
      <c r="W26">
        <v>7695</v>
      </c>
      <c r="AG26" s="2">
        <f t="shared" si="2"/>
        <v>0.17986072933846436</v>
      </c>
    </row>
    <row r="27" spans="1:33" x14ac:dyDescent="0.3">
      <c r="A27" s="1">
        <f t="shared" si="3"/>
        <v>43924</v>
      </c>
      <c r="B27">
        <f t="shared" si="0"/>
        <v>9114</v>
      </c>
      <c r="C27" s="11">
        <f t="shared" si="1"/>
        <v>7.1763779527559053E-4</v>
      </c>
      <c r="D27" s="2">
        <f t="shared" si="4"/>
        <v>0.16072338257768726</v>
      </c>
      <c r="E27" s="15">
        <f t="shared" si="5"/>
        <v>0.20346067331320139</v>
      </c>
      <c r="F27">
        <f t="shared" si="6"/>
        <v>1262</v>
      </c>
      <c r="G27">
        <v>210</v>
      </c>
      <c r="H27">
        <f t="shared" si="10"/>
        <v>53</v>
      </c>
      <c r="I27">
        <v>48048</v>
      </c>
      <c r="J27">
        <f t="shared" si="7"/>
        <v>4392</v>
      </c>
      <c r="K27" s="2">
        <f t="shared" si="8"/>
        <v>0.10060472787245733</v>
      </c>
      <c r="L27" s="2">
        <f t="shared" si="9"/>
        <v>0.28734061930783245</v>
      </c>
      <c r="W27">
        <v>8904</v>
      </c>
      <c r="AG27" s="2">
        <f t="shared" si="2"/>
        <v>0.18968531468531469</v>
      </c>
    </row>
    <row r="28" spans="1:33" x14ac:dyDescent="0.3">
      <c r="A28" s="1">
        <f t="shared" si="3"/>
        <v>43925</v>
      </c>
      <c r="B28">
        <f t="shared" ref="B28" si="12">W28 + G28</f>
        <v>10600</v>
      </c>
      <c r="C28" s="11">
        <f t="shared" si="1"/>
        <v>8.3464566929133857E-4</v>
      </c>
      <c r="D28" s="2">
        <f t="shared" si="4"/>
        <v>0.16304586350669292</v>
      </c>
      <c r="E28" s="15">
        <f t="shared" si="5"/>
        <v>0.15102442981887956</v>
      </c>
      <c r="F28">
        <f t="shared" si="6"/>
        <v>1486</v>
      </c>
      <c r="G28">
        <v>243</v>
      </c>
      <c r="H28">
        <f t="shared" si="10"/>
        <v>33</v>
      </c>
      <c r="I28">
        <v>53581</v>
      </c>
      <c r="J28">
        <f t="shared" si="7"/>
        <v>5533</v>
      </c>
      <c r="K28" s="2">
        <f t="shared" si="8"/>
        <v>0.11515567765567769</v>
      </c>
      <c r="L28" s="2">
        <f t="shared" si="9"/>
        <v>0.26857039580697634</v>
      </c>
      <c r="W28">
        <v>10357</v>
      </c>
      <c r="AG28" s="2">
        <f t="shared" si="2"/>
        <v>0.19783132080401636</v>
      </c>
    </row>
    <row r="29" spans="1:33" x14ac:dyDescent="0.3">
      <c r="A29" s="1">
        <f t="shared" si="3"/>
        <v>43926</v>
      </c>
      <c r="B29">
        <f t="shared" ref="B29:B35" si="13">W29 + G29</f>
        <v>11530</v>
      </c>
      <c r="C29" s="11">
        <f t="shared" si="1"/>
        <v>9.0787401574803149E-4</v>
      </c>
      <c r="D29" s="2">
        <f t="shared" si="4"/>
        <v>8.773584905660381E-2</v>
      </c>
      <c r="E29" s="15">
        <f t="shared" si="5"/>
        <v>-6.0366681832272451E-2</v>
      </c>
      <c r="F29">
        <f t="shared" si="6"/>
        <v>930</v>
      </c>
      <c r="G29">
        <v>274</v>
      </c>
      <c r="H29">
        <f t="shared" si="10"/>
        <v>31</v>
      </c>
      <c r="I29">
        <v>58983</v>
      </c>
      <c r="J29">
        <f t="shared" si="7"/>
        <v>5402</v>
      </c>
      <c r="K29" s="2">
        <f t="shared" si="8"/>
        <v>0.10081932028144314</v>
      </c>
      <c r="L29" s="2">
        <f t="shared" si="9"/>
        <v>0.17215845982969272</v>
      </c>
      <c r="W29">
        <v>11256</v>
      </c>
      <c r="AG29" s="2">
        <f t="shared" si="2"/>
        <v>0.19548005357475884</v>
      </c>
    </row>
    <row r="30" spans="1:33" x14ac:dyDescent="0.3">
      <c r="A30" s="1">
        <f t="shared" si="3"/>
        <v>43927</v>
      </c>
      <c r="B30">
        <f t="shared" si="13"/>
        <v>12569</v>
      </c>
      <c r="C30" s="11">
        <f t="shared" si="1"/>
        <v>9.8968503937007873E-4</v>
      </c>
      <c r="D30" s="2">
        <f t="shared" si="4"/>
        <v>9.0112749349523069E-2</v>
      </c>
      <c r="E30" s="15">
        <f t="shared" si="5"/>
        <v>0.12792759642275506</v>
      </c>
      <c r="F30">
        <f t="shared" si="6"/>
        <v>1039</v>
      </c>
      <c r="G30">
        <v>307</v>
      </c>
      <c r="H30">
        <f t="shared" si="10"/>
        <v>33</v>
      </c>
      <c r="I30">
        <v>62942</v>
      </c>
      <c r="J30">
        <f t="shared" si="7"/>
        <v>3959</v>
      </c>
      <c r="K30" s="2">
        <f t="shared" si="8"/>
        <v>6.712103487445531E-2</v>
      </c>
      <c r="L30" s="2">
        <f t="shared" si="9"/>
        <v>0.26244001010356149</v>
      </c>
      <c r="W30">
        <v>12262</v>
      </c>
      <c r="AG30" s="2">
        <f t="shared" si="2"/>
        <v>0.19969177973372312</v>
      </c>
    </row>
    <row r="31" spans="1:33" x14ac:dyDescent="0.3">
      <c r="A31" s="1">
        <f t="shared" si="3"/>
        <v>43928</v>
      </c>
      <c r="B31">
        <f t="shared" si="13"/>
        <v>13929</v>
      </c>
      <c r="C31" s="11">
        <f t="shared" si="1"/>
        <v>1.096771653543307E-3</v>
      </c>
      <c r="D31" s="2">
        <f t="shared" si="4"/>
        <v>0.10820272098018946</v>
      </c>
      <c r="E31" s="15">
        <f t="shared" si="5"/>
        <v>7.050015703678772E-2</v>
      </c>
      <c r="F31">
        <f t="shared" si="6"/>
        <v>1360</v>
      </c>
      <c r="G31">
        <v>380</v>
      </c>
      <c r="H31">
        <f t="shared" si="10"/>
        <v>73</v>
      </c>
      <c r="I31">
        <v>68732</v>
      </c>
      <c r="J31">
        <f t="shared" si="7"/>
        <v>5790</v>
      </c>
      <c r="K31" s="2">
        <f t="shared" si="8"/>
        <v>9.1989450605319156E-2</v>
      </c>
      <c r="L31" s="2">
        <f t="shared" si="9"/>
        <v>0.23488773747841105</v>
      </c>
      <c r="W31">
        <v>13549</v>
      </c>
      <c r="AG31" s="2">
        <f t="shared" si="2"/>
        <v>0.20265669557120411</v>
      </c>
    </row>
    <row r="32" spans="1:33" x14ac:dyDescent="0.3">
      <c r="A32" s="1">
        <f t="shared" si="3"/>
        <v>43929</v>
      </c>
      <c r="B32">
        <f t="shared" si="13"/>
        <v>15540</v>
      </c>
      <c r="C32" s="11">
        <f t="shared" si="1"/>
        <v>1.2236220472440944E-3</v>
      </c>
      <c r="D32" s="2">
        <f t="shared" si="4"/>
        <v>0.11565797975446901</v>
      </c>
      <c r="E32" s="15">
        <f t="shared" si="5"/>
        <v>9.8656524420390024E-2</v>
      </c>
      <c r="F32">
        <f t="shared" si="6"/>
        <v>1611</v>
      </c>
      <c r="G32">
        <v>462</v>
      </c>
      <c r="H32">
        <f t="shared" si="10"/>
        <v>82</v>
      </c>
      <c r="I32">
        <v>75066</v>
      </c>
      <c r="J32">
        <f t="shared" si="7"/>
        <v>6334</v>
      </c>
      <c r="K32" s="2">
        <f t="shared" si="8"/>
        <v>9.2155036955130054E-2</v>
      </c>
      <c r="L32" s="2">
        <f t="shared" si="9"/>
        <v>0.2543416482475529</v>
      </c>
      <c r="W32">
        <v>15078</v>
      </c>
      <c r="AG32" s="2">
        <f t="shared" si="2"/>
        <v>0.20701782431460314</v>
      </c>
    </row>
    <row r="33" spans="1:33" x14ac:dyDescent="0.3">
      <c r="A33" s="1">
        <f t="shared" si="3"/>
        <v>43930</v>
      </c>
      <c r="B33">
        <f t="shared" si="13"/>
        <v>16950</v>
      </c>
      <c r="C33" s="11">
        <f t="shared" si="1"/>
        <v>1.3346456692913387E-3</v>
      </c>
      <c r="D33" s="2">
        <f t="shared" si="4"/>
        <v>9.0733590733590663E-2</v>
      </c>
      <c r="E33" s="15">
        <f t="shared" si="5"/>
        <v>7.0457807732649799E-2</v>
      </c>
      <c r="F33">
        <f t="shared" si="6"/>
        <v>1410</v>
      </c>
      <c r="G33">
        <v>528</v>
      </c>
      <c r="H33">
        <f t="shared" si="10"/>
        <v>66</v>
      </c>
      <c r="I33">
        <v>80857</v>
      </c>
      <c r="J33">
        <f t="shared" si="7"/>
        <v>5791</v>
      </c>
      <c r="K33" s="2">
        <f t="shared" si="8"/>
        <v>7.7145445341432861E-2</v>
      </c>
      <c r="L33" s="2">
        <f t="shared" si="9"/>
        <v>0.243481264030392</v>
      </c>
      <c r="W33">
        <v>16422</v>
      </c>
      <c r="AG33" s="2">
        <f t="shared" si="2"/>
        <v>0.20962934563488628</v>
      </c>
    </row>
    <row r="34" spans="1:33" x14ac:dyDescent="0.3">
      <c r="A34" s="1">
        <f t="shared" si="3"/>
        <v>43931</v>
      </c>
      <c r="B34">
        <f t="shared" si="13"/>
        <v>18483</v>
      </c>
      <c r="C34" s="11">
        <f t="shared" ref="C34:C65" si="14">B34/$A$1</f>
        <v>1.4553543307086615E-3</v>
      </c>
      <c r="D34" s="2">
        <f t="shared" si="4"/>
        <v>9.0442477876106153E-2</v>
      </c>
      <c r="E34" s="15">
        <f t="shared" si="5"/>
        <v>3.9964242267322973E-2</v>
      </c>
      <c r="F34">
        <f t="shared" si="6"/>
        <v>1533</v>
      </c>
      <c r="G34">
        <v>596</v>
      </c>
      <c r="H34">
        <f t="shared" si="10"/>
        <v>68</v>
      </c>
      <c r="I34">
        <v>87527</v>
      </c>
      <c r="J34">
        <f t="shared" si="7"/>
        <v>6670</v>
      </c>
      <c r="K34" s="2">
        <f t="shared" si="8"/>
        <v>8.2491311822105784E-2</v>
      </c>
      <c r="L34" s="2">
        <f t="shared" si="9"/>
        <v>0.2298350824587706</v>
      </c>
      <c r="W34">
        <v>17887</v>
      </c>
      <c r="AG34" s="2">
        <f t="shared" ref="AG34:AG65" si="15">B34/I34</f>
        <v>0.21116912495572795</v>
      </c>
    </row>
    <row r="35" spans="1:33" x14ac:dyDescent="0.3">
      <c r="A35" s="1">
        <f t="shared" ref="A35:A66" si="16">A34+1</f>
        <v>43932</v>
      </c>
      <c r="B35">
        <f t="shared" si="13"/>
        <v>19857</v>
      </c>
      <c r="C35" s="11">
        <f t="shared" si="14"/>
        <v>1.5635433070866141E-3</v>
      </c>
      <c r="D35" s="2">
        <f t="shared" ref="D35:D66" si="17">B35/B34 - 1</f>
        <v>7.4338581399123527E-2</v>
      </c>
      <c r="E35" s="15">
        <f t="shared" ref="E35:E66" si="18">LOG(D35/K35)</f>
        <v>9.3031595012321902E-2</v>
      </c>
      <c r="F35">
        <f t="shared" ref="F35:F66" si="19">B35 - B34</f>
        <v>1374</v>
      </c>
      <c r="G35">
        <v>677</v>
      </c>
      <c r="H35">
        <f t="shared" si="10"/>
        <v>81</v>
      </c>
      <c r="I35">
        <v>92779</v>
      </c>
      <c r="J35">
        <f t="shared" ref="J35:J58" si="20">I35 - I34</f>
        <v>5252</v>
      </c>
      <c r="K35" s="2">
        <f t="shared" ref="K35:K57" si="21">I35/I34 - 1</f>
        <v>6.0004341517474691E-2</v>
      </c>
      <c r="L35" s="2">
        <f t="shared" ref="L35:L66" si="22">(B35 - B34)/(I35 - I34)</f>
        <v>0.2616146230007616</v>
      </c>
      <c r="W35">
        <v>19180</v>
      </c>
      <c r="AG35" s="2">
        <f t="shared" si="15"/>
        <v>0.21402472542277887</v>
      </c>
    </row>
    <row r="36" spans="1:33" x14ac:dyDescent="0.3">
      <c r="A36" s="1">
        <f t="shared" si="16"/>
        <v>43933</v>
      </c>
      <c r="B36">
        <f t="shared" ref="B36:B37" si="23">W36 + G36</f>
        <v>21572</v>
      </c>
      <c r="C36" s="11">
        <f t="shared" si="14"/>
        <v>1.6985826771653543E-3</v>
      </c>
      <c r="D36" s="2">
        <f t="shared" si="17"/>
        <v>8.6367527823941082E-2</v>
      </c>
      <c r="E36" s="15">
        <f t="shared" si="18"/>
        <v>3.1054013697891843E-3</v>
      </c>
      <c r="F36">
        <f t="shared" si="19"/>
        <v>1715</v>
      </c>
      <c r="G36">
        <v>720</v>
      </c>
      <c r="H36">
        <f t="shared" si="10"/>
        <v>43</v>
      </c>
      <c r="I36">
        <v>100735</v>
      </c>
      <c r="J36">
        <f t="shared" si="20"/>
        <v>7956</v>
      </c>
      <c r="K36" s="2">
        <f t="shared" si="21"/>
        <v>8.5752163743950671E-2</v>
      </c>
      <c r="L36" s="2">
        <f t="shared" si="22"/>
        <v>0.21556058320764204</v>
      </c>
      <c r="W36">
        <v>20852</v>
      </c>
      <c r="AG36" s="2">
        <f t="shared" si="15"/>
        <v>0.21414602670372759</v>
      </c>
    </row>
    <row r="37" spans="1:33" x14ac:dyDescent="0.3">
      <c r="A37" s="1">
        <f t="shared" si="16"/>
        <v>43934</v>
      </c>
      <c r="B37">
        <f t="shared" si="23"/>
        <v>22819</v>
      </c>
      <c r="C37" s="11">
        <f t="shared" si="14"/>
        <v>1.7967716535433071E-3</v>
      </c>
      <c r="D37" s="2">
        <f t="shared" si="17"/>
        <v>5.7806415724086735E-2</v>
      </c>
      <c r="E37" s="15">
        <f t="shared" si="18"/>
        <v>6.3329502236529625E-2</v>
      </c>
      <c r="F37">
        <f t="shared" si="19"/>
        <v>1247</v>
      </c>
      <c r="G37">
        <v>794</v>
      </c>
      <c r="H37">
        <f t="shared" si="10"/>
        <v>74</v>
      </c>
      <c r="I37">
        <v>105768</v>
      </c>
      <c r="J37">
        <f t="shared" si="20"/>
        <v>5033</v>
      </c>
      <c r="K37" s="2">
        <f t="shared" si="21"/>
        <v>4.9962773613937639E-2</v>
      </c>
      <c r="L37" s="2">
        <f t="shared" si="22"/>
        <v>0.24776475263262468</v>
      </c>
      <c r="W37">
        <v>22025</v>
      </c>
      <c r="AG37" s="2">
        <f t="shared" si="15"/>
        <v>0.21574578322365934</v>
      </c>
    </row>
    <row r="38" spans="1:33" x14ac:dyDescent="0.3">
      <c r="A38" s="1">
        <f t="shared" si="16"/>
        <v>43935</v>
      </c>
      <c r="B38">
        <f t="shared" ref="B38:B41" si="24">W38 + G38</f>
        <v>24115</v>
      </c>
      <c r="C38" s="11">
        <f t="shared" si="14"/>
        <v>1.8988188976377953E-3</v>
      </c>
      <c r="D38" s="2">
        <f t="shared" si="17"/>
        <v>5.6794776282922177E-2</v>
      </c>
      <c r="E38" s="15">
        <f t="shared" si="18"/>
        <v>9.3100074242135886E-2</v>
      </c>
      <c r="F38">
        <f t="shared" si="19"/>
        <v>1296</v>
      </c>
      <c r="G38">
        <v>868</v>
      </c>
      <c r="H38">
        <f t="shared" si="10"/>
        <v>74</v>
      </c>
      <c r="I38">
        <v>110616</v>
      </c>
      <c r="J38">
        <f t="shared" si="20"/>
        <v>4848</v>
      </c>
      <c r="K38" s="2">
        <f t="shared" si="21"/>
        <v>4.5836169729974952E-2</v>
      </c>
      <c r="L38" s="2">
        <f t="shared" si="22"/>
        <v>0.26732673267326734</v>
      </c>
      <c r="W38">
        <v>23247</v>
      </c>
      <c r="AG38" s="2">
        <f t="shared" si="15"/>
        <v>0.21800643668185435</v>
      </c>
    </row>
    <row r="39" spans="1:33" x14ac:dyDescent="0.3">
      <c r="A39" s="1">
        <f t="shared" si="16"/>
        <v>43936</v>
      </c>
      <c r="B39">
        <f t="shared" si="24"/>
        <v>25541</v>
      </c>
      <c r="C39" s="11">
        <f t="shared" si="14"/>
        <v>2.0111023622047244E-3</v>
      </c>
      <c r="D39" s="2">
        <f t="shared" si="17"/>
        <v>5.9133319510678017E-2</v>
      </c>
      <c r="E39" s="15">
        <f t="shared" si="18"/>
        <v>1.5414419766717202E-2</v>
      </c>
      <c r="F39">
        <f t="shared" si="19"/>
        <v>1426</v>
      </c>
      <c r="G39">
        <v>948</v>
      </c>
      <c r="H39">
        <f t="shared" si="10"/>
        <v>80</v>
      </c>
      <c r="I39">
        <v>116929</v>
      </c>
      <c r="J39">
        <f t="shared" si="20"/>
        <v>6313</v>
      </c>
      <c r="K39" s="2">
        <f t="shared" si="21"/>
        <v>5.7071309756274058E-2</v>
      </c>
      <c r="L39" s="2">
        <f t="shared" si="22"/>
        <v>0.22588309836844606</v>
      </c>
      <c r="W39">
        <v>24593</v>
      </c>
      <c r="AG39" s="2">
        <f t="shared" si="15"/>
        <v>0.21843169786793695</v>
      </c>
    </row>
    <row r="40" spans="1:33" x14ac:dyDescent="0.3">
      <c r="A40" s="1">
        <f t="shared" si="16"/>
        <v>43937</v>
      </c>
      <c r="B40">
        <f t="shared" si="24"/>
        <v>26805</v>
      </c>
      <c r="C40" s="11">
        <f t="shared" si="14"/>
        <v>2.1106299212598424E-3</v>
      </c>
      <c r="D40" s="2">
        <f t="shared" si="17"/>
        <v>4.9489056810618326E-2</v>
      </c>
      <c r="E40" s="15">
        <f t="shared" si="18"/>
        <v>9.6149812059897893E-3</v>
      </c>
      <c r="F40">
        <f t="shared" si="19"/>
        <v>1264</v>
      </c>
      <c r="G40">
        <v>1072</v>
      </c>
      <c r="H40">
        <f t="shared" si="10"/>
        <v>124</v>
      </c>
      <c r="I40">
        <v>122589</v>
      </c>
      <c r="J40">
        <f t="shared" si="20"/>
        <v>5660</v>
      </c>
      <c r="K40" s="2">
        <f t="shared" si="21"/>
        <v>4.8405442619025241E-2</v>
      </c>
      <c r="L40" s="2">
        <f t="shared" si="22"/>
        <v>0.22332155477031801</v>
      </c>
      <c r="W40">
        <v>25733</v>
      </c>
      <c r="AG40" s="2">
        <f t="shared" si="15"/>
        <v>0.21865746518855689</v>
      </c>
    </row>
    <row r="41" spans="1:33" x14ac:dyDescent="0.3">
      <c r="A41" s="1">
        <f t="shared" si="16"/>
        <v>43938</v>
      </c>
      <c r="B41">
        <f t="shared" si="24"/>
        <v>28709</v>
      </c>
      <c r="C41" s="11">
        <f t="shared" si="14"/>
        <v>2.2605511811023622E-3</v>
      </c>
      <c r="D41" s="2">
        <f t="shared" si="17"/>
        <v>7.1031523969408594E-2</v>
      </c>
      <c r="E41" s="15">
        <f t="shared" si="18"/>
        <v>6.0577334073730733E-2</v>
      </c>
      <c r="F41">
        <f t="shared" si="19"/>
        <v>1904</v>
      </c>
      <c r="G41">
        <v>1134</v>
      </c>
      <c r="H41">
        <f t="shared" si="10"/>
        <v>62</v>
      </c>
      <c r="I41">
        <v>130163</v>
      </c>
      <c r="J41">
        <f t="shared" si="20"/>
        <v>7574</v>
      </c>
      <c r="K41" s="2">
        <f t="shared" si="21"/>
        <v>6.1783683691032598E-2</v>
      </c>
      <c r="L41" s="2">
        <f t="shared" si="22"/>
        <v>0.25138632162661739</v>
      </c>
      <c r="W41">
        <v>27575</v>
      </c>
      <c r="AG41" s="2">
        <f t="shared" si="15"/>
        <v>0.22056191083487628</v>
      </c>
    </row>
    <row r="42" spans="1:33" x14ac:dyDescent="0.3">
      <c r="A42" s="1">
        <f t="shared" si="16"/>
        <v>43939</v>
      </c>
      <c r="B42">
        <f t="shared" ref="B42:B44" si="25">W42 + G42</f>
        <v>30419</v>
      </c>
      <c r="C42" s="11">
        <f t="shared" si="14"/>
        <v>2.3951968503937008E-3</v>
      </c>
      <c r="D42" s="2">
        <f t="shared" si="17"/>
        <v>5.956320317670416E-2</v>
      </c>
      <c r="E42" s="15">
        <f t="shared" si="18"/>
        <v>2.9667047293704309E-2</v>
      </c>
      <c r="F42">
        <f t="shared" si="19"/>
        <v>1710</v>
      </c>
      <c r="G42">
        <v>1259</v>
      </c>
      <c r="H42">
        <f t="shared" si="10"/>
        <v>125</v>
      </c>
      <c r="I42">
        <v>137404</v>
      </c>
      <c r="J42">
        <f t="shared" si="20"/>
        <v>7241</v>
      </c>
      <c r="K42" s="2">
        <f t="shared" si="21"/>
        <v>5.5630248227222845E-2</v>
      </c>
      <c r="L42" s="2">
        <f t="shared" si="22"/>
        <v>0.23615522717856649</v>
      </c>
      <c r="W42">
        <v>29160</v>
      </c>
      <c r="AG42" s="2">
        <f t="shared" si="15"/>
        <v>0.22138365695321824</v>
      </c>
    </row>
    <row r="43" spans="1:33" x14ac:dyDescent="0.3">
      <c r="A43" s="1">
        <f t="shared" si="16"/>
        <v>43940</v>
      </c>
      <c r="B43">
        <f t="shared" si="25"/>
        <v>31647</v>
      </c>
      <c r="C43" s="11">
        <f t="shared" si="14"/>
        <v>2.4918897637795276E-3</v>
      </c>
      <c r="D43" s="2">
        <f t="shared" si="17"/>
        <v>4.0369505900917257E-2</v>
      </c>
      <c r="E43" s="15">
        <f t="shared" si="18"/>
        <v>-2.782851050122017E-2</v>
      </c>
      <c r="F43">
        <f t="shared" si="19"/>
        <v>1228</v>
      </c>
      <c r="G43">
        <v>1290</v>
      </c>
      <c r="H43">
        <f t="shared" si="10"/>
        <v>31</v>
      </c>
      <c r="I43">
        <v>143318</v>
      </c>
      <c r="J43">
        <f t="shared" si="20"/>
        <v>5914</v>
      </c>
      <c r="K43" s="2">
        <f t="shared" si="21"/>
        <v>4.3040959506273513E-2</v>
      </c>
      <c r="L43" s="2">
        <f t="shared" si="22"/>
        <v>0.20764288129861347</v>
      </c>
      <c r="W43">
        <v>30357</v>
      </c>
      <c r="AG43" s="2">
        <f t="shared" si="15"/>
        <v>0.22081664550161181</v>
      </c>
    </row>
    <row r="44" spans="1:33" x14ac:dyDescent="0.3">
      <c r="A44" s="1">
        <f t="shared" si="16"/>
        <v>43941</v>
      </c>
      <c r="B44">
        <f t="shared" si="25"/>
        <v>32857</v>
      </c>
      <c r="C44" s="11">
        <f t="shared" si="14"/>
        <v>2.5871653543307086E-3</v>
      </c>
      <c r="D44" s="2">
        <f t="shared" si="17"/>
        <v>3.82342718109141E-2</v>
      </c>
      <c r="E44" s="15">
        <f t="shared" si="18"/>
        <v>3.6323025787390474E-2</v>
      </c>
      <c r="F44">
        <f t="shared" si="19"/>
        <v>1210</v>
      </c>
      <c r="G44">
        <v>1349</v>
      </c>
      <c r="H44">
        <f t="shared" si="10"/>
        <v>59</v>
      </c>
      <c r="I44">
        <v>148358</v>
      </c>
      <c r="J44">
        <f t="shared" si="20"/>
        <v>5040</v>
      </c>
      <c r="K44" s="2">
        <f t="shared" si="21"/>
        <v>3.5166552700986564E-2</v>
      </c>
      <c r="L44" s="2">
        <f t="shared" si="22"/>
        <v>0.24007936507936509</v>
      </c>
      <c r="W44">
        <v>31508</v>
      </c>
      <c r="AG44" s="2">
        <f t="shared" si="15"/>
        <v>0.22147103627711348</v>
      </c>
    </row>
    <row r="45" spans="1:33" x14ac:dyDescent="0.3">
      <c r="A45" s="1">
        <f t="shared" si="16"/>
        <v>43942</v>
      </c>
      <c r="B45">
        <f t="shared" ref="B45:B46" si="26">W45 + G45</f>
        <v>34527</v>
      </c>
      <c r="C45" s="11">
        <f t="shared" si="14"/>
        <v>2.7186614173228345E-3</v>
      </c>
      <c r="D45" s="2">
        <f t="shared" si="17"/>
        <v>5.0826307940469384E-2</v>
      </c>
      <c r="E45" s="15">
        <f t="shared" si="18"/>
        <v>5.5296864751997507E-2</v>
      </c>
      <c r="F45">
        <f t="shared" si="19"/>
        <v>1670</v>
      </c>
      <c r="G45">
        <v>1468</v>
      </c>
      <c r="H45">
        <f t="shared" si="10"/>
        <v>119</v>
      </c>
      <c r="I45">
        <v>154997</v>
      </c>
      <c r="J45">
        <f t="shared" si="20"/>
        <v>6639</v>
      </c>
      <c r="K45" s="2">
        <f t="shared" si="21"/>
        <v>4.474986182073093E-2</v>
      </c>
      <c r="L45" s="2">
        <f t="shared" si="22"/>
        <v>0.25154390721494202</v>
      </c>
      <c r="W45">
        <v>33059</v>
      </c>
      <c r="AG45" s="2">
        <f t="shared" si="15"/>
        <v>0.22275915017710021</v>
      </c>
    </row>
    <row r="46" spans="1:33" x14ac:dyDescent="0.3">
      <c r="A46" s="1">
        <f t="shared" si="16"/>
        <v>43943</v>
      </c>
      <c r="B46">
        <f t="shared" si="26"/>
        <v>36673</v>
      </c>
      <c r="C46" s="11">
        <f t="shared" si="14"/>
        <v>2.8876377952755904E-3</v>
      </c>
      <c r="D46" s="2">
        <f t="shared" si="17"/>
        <v>6.2154256089437254E-2</v>
      </c>
      <c r="E46" s="15">
        <f t="shared" si="18"/>
        <v>1.3029005455378814E-2</v>
      </c>
      <c r="F46">
        <f t="shared" si="19"/>
        <v>2146</v>
      </c>
      <c r="G46">
        <v>1565</v>
      </c>
      <c r="H46">
        <f t="shared" si="10"/>
        <v>97</v>
      </c>
      <c r="I46">
        <v>164346</v>
      </c>
      <c r="J46">
        <f t="shared" si="20"/>
        <v>9349</v>
      </c>
      <c r="K46" s="2">
        <f t="shared" si="21"/>
        <v>6.0317296463802572E-2</v>
      </c>
      <c r="L46" s="2">
        <f t="shared" si="22"/>
        <v>0.22954326665953578</v>
      </c>
      <c r="W46">
        <v>35108</v>
      </c>
      <c r="AG46" s="2">
        <f t="shared" si="15"/>
        <v>0.22314507198228128</v>
      </c>
    </row>
    <row r="47" spans="1:33" x14ac:dyDescent="0.3">
      <c r="A47" s="1">
        <f t="shared" si="16"/>
        <v>43944</v>
      </c>
      <c r="B47">
        <f t="shared" ref="B47" si="27">W47 + G47</f>
        <v>38622</v>
      </c>
      <c r="C47" s="11">
        <f t="shared" si="14"/>
        <v>3.0411023622047245E-3</v>
      </c>
      <c r="D47" s="2">
        <f t="shared" si="17"/>
        <v>5.3145365800452593E-2</v>
      </c>
      <c r="E47" s="15">
        <f t="shared" si="18"/>
        <v>-1.1567904090093784E-2</v>
      </c>
      <c r="F47">
        <f t="shared" si="19"/>
        <v>1949</v>
      </c>
      <c r="G47">
        <v>1688</v>
      </c>
      <c r="H47">
        <f t="shared" si="10"/>
        <v>123</v>
      </c>
      <c r="I47">
        <v>173316</v>
      </c>
      <c r="J47">
        <f t="shared" si="20"/>
        <v>8970</v>
      </c>
      <c r="K47" s="2">
        <f t="shared" si="21"/>
        <v>5.4579971523493143E-2</v>
      </c>
      <c r="L47" s="2">
        <f t="shared" si="22"/>
        <v>0.21727982162764772</v>
      </c>
      <c r="W47">
        <v>36934</v>
      </c>
      <c r="AG47" s="2">
        <f t="shared" si="15"/>
        <v>0.22284151492072285</v>
      </c>
    </row>
    <row r="48" spans="1:33" x14ac:dyDescent="0.3">
      <c r="A48" s="1">
        <f t="shared" si="16"/>
        <v>43945</v>
      </c>
      <c r="B48">
        <f t="shared" ref="B48:B56" si="28">W48 + G48</f>
        <v>41453</v>
      </c>
      <c r="C48" s="11">
        <f t="shared" si="14"/>
        <v>3.264015748031496E-3</v>
      </c>
      <c r="D48" s="2">
        <f t="shared" si="17"/>
        <v>7.3300191600642162E-2</v>
      </c>
      <c r="E48" s="15">
        <f t="shared" si="18"/>
        <v>-0.10866992949723783</v>
      </c>
      <c r="F48">
        <f t="shared" si="19"/>
        <v>2831</v>
      </c>
      <c r="G48">
        <v>1795</v>
      </c>
      <c r="H48">
        <f t="shared" si="10"/>
        <v>107</v>
      </c>
      <c r="I48">
        <v>189632</v>
      </c>
      <c r="J48">
        <f t="shared" si="20"/>
        <v>16316</v>
      </c>
      <c r="K48" s="2">
        <f t="shared" si="21"/>
        <v>9.4140183249094234E-2</v>
      </c>
      <c r="L48" s="2">
        <f t="shared" si="22"/>
        <v>0.17351066437852414</v>
      </c>
      <c r="W48">
        <v>39658</v>
      </c>
      <c r="AG48" s="2">
        <f t="shared" si="15"/>
        <v>0.21859707222409719</v>
      </c>
    </row>
    <row r="49" spans="1:33" x14ac:dyDescent="0.3">
      <c r="A49" s="1">
        <f t="shared" si="16"/>
        <v>43946</v>
      </c>
      <c r="B49">
        <f t="shared" si="28"/>
        <v>43651</v>
      </c>
      <c r="C49" s="11">
        <f t="shared" si="14"/>
        <v>3.4370866141732286E-3</v>
      </c>
      <c r="D49" s="2">
        <f t="shared" si="17"/>
        <v>5.3023906593008929E-2</v>
      </c>
      <c r="E49" s="15">
        <f t="shared" si="18"/>
        <v>-7.6254691219609746E-2</v>
      </c>
      <c r="F49">
        <f t="shared" si="19"/>
        <v>2198</v>
      </c>
      <c r="G49">
        <v>1874</v>
      </c>
      <c r="H49">
        <f t="shared" si="10"/>
        <v>79</v>
      </c>
      <c r="I49">
        <v>201617</v>
      </c>
      <c r="J49">
        <f t="shared" si="20"/>
        <v>11985</v>
      </c>
      <c r="K49" s="2">
        <f t="shared" si="21"/>
        <v>6.3201358420519771E-2</v>
      </c>
      <c r="L49" s="2">
        <f t="shared" si="22"/>
        <v>0.18339591155611182</v>
      </c>
      <c r="W49">
        <v>41777</v>
      </c>
      <c r="AG49" s="2">
        <f t="shared" si="15"/>
        <v>0.21650456062732806</v>
      </c>
    </row>
    <row r="50" spans="1:33" x14ac:dyDescent="0.3">
      <c r="A50" s="1">
        <f t="shared" si="16"/>
        <v>43947</v>
      </c>
      <c r="B50">
        <f t="shared" si="28"/>
        <v>45836</v>
      </c>
      <c r="C50" s="11">
        <f t="shared" si="14"/>
        <v>3.6091338582677165E-3</v>
      </c>
      <c r="D50" s="2">
        <f t="shared" si="17"/>
        <v>5.0056127007399587E-2</v>
      </c>
      <c r="E50" s="15">
        <f t="shared" si="18"/>
        <v>-0.12100862783572755</v>
      </c>
      <c r="F50">
        <f t="shared" si="19"/>
        <v>2185</v>
      </c>
      <c r="G50">
        <v>1933</v>
      </c>
      <c r="H50">
        <f t="shared" si="10"/>
        <v>59</v>
      </c>
      <c r="I50">
        <v>214952</v>
      </c>
      <c r="J50">
        <f t="shared" si="20"/>
        <v>13335</v>
      </c>
      <c r="K50" s="2">
        <f t="shared" si="21"/>
        <v>6.6140256029997513E-2</v>
      </c>
      <c r="L50" s="2">
        <f t="shared" si="22"/>
        <v>0.16385451818522684</v>
      </c>
      <c r="W50">
        <v>43903</v>
      </c>
      <c r="AG50" s="2">
        <f t="shared" si="15"/>
        <v>0.21323830436562582</v>
      </c>
    </row>
    <row r="51" spans="1:33" x14ac:dyDescent="0.3">
      <c r="A51" s="1">
        <f t="shared" si="16"/>
        <v>43948</v>
      </c>
      <c r="B51">
        <f t="shared" si="28"/>
        <v>47866</v>
      </c>
      <c r="C51" s="11">
        <f t="shared" si="14"/>
        <v>3.7689763779527557E-3</v>
      </c>
      <c r="D51" s="2">
        <f t="shared" si="17"/>
        <v>4.4288332315210788E-2</v>
      </c>
      <c r="E51" s="15">
        <f t="shared" si="18"/>
        <v>-0.12435141303657396</v>
      </c>
      <c r="F51">
        <f t="shared" si="19"/>
        <v>2030</v>
      </c>
      <c r="G51">
        <v>1983</v>
      </c>
      <c r="H51">
        <f t="shared" si="10"/>
        <v>50</v>
      </c>
      <c r="I51">
        <v>227628</v>
      </c>
      <c r="J51">
        <f t="shared" si="20"/>
        <v>12676</v>
      </c>
      <c r="K51" s="2">
        <f t="shared" si="21"/>
        <v>5.8971305221630965E-2</v>
      </c>
      <c r="L51" s="2">
        <f t="shared" si="22"/>
        <v>0.16014515620069422</v>
      </c>
      <c r="W51">
        <v>45883</v>
      </c>
      <c r="AG51" s="2">
        <f t="shared" si="15"/>
        <v>0.21028168766584077</v>
      </c>
    </row>
    <row r="52" spans="1:33" x14ac:dyDescent="0.3">
      <c r="A52" s="1">
        <f t="shared" si="16"/>
        <v>43949</v>
      </c>
      <c r="B52">
        <f t="shared" si="28"/>
        <v>50227</v>
      </c>
      <c r="C52" s="11">
        <f t="shared" si="14"/>
        <v>3.9548818897637795E-3</v>
      </c>
      <c r="D52" s="2">
        <f t="shared" si="17"/>
        <v>4.9325199515313667E-2</v>
      </c>
      <c r="E52" s="15">
        <f t="shared" si="18"/>
        <v>-0.11289666868606681</v>
      </c>
      <c r="F52">
        <f t="shared" si="19"/>
        <v>2361</v>
      </c>
      <c r="G52">
        <v>2125</v>
      </c>
      <c r="H52">
        <f t="shared" si="10"/>
        <v>142</v>
      </c>
      <c r="I52">
        <v>242189</v>
      </c>
      <c r="J52">
        <f t="shared" si="20"/>
        <v>14561</v>
      </c>
      <c r="K52" s="2">
        <f t="shared" si="21"/>
        <v>6.3968404589944905E-2</v>
      </c>
      <c r="L52" s="2">
        <f t="shared" si="22"/>
        <v>0.16214545704278552</v>
      </c>
      <c r="W52">
        <v>48102</v>
      </c>
      <c r="AG52" s="2">
        <f t="shared" si="15"/>
        <v>0.20738761876055478</v>
      </c>
    </row>
    <row r="53" spans="1:33" x14ac:dyDescent="0.3">
      <c r="A53" s="1">
        <f t="shared" si="16"/>
        <v>43950</v>
      </c>
      <c r="B53">
        <f t="shared" si="28"/>
        <v>52570</v>
      </c>
      <c r="C53" s="11">
        <f t="shared" si="14"/>
        <v>4.1393700787401575E-3</v>
      </c>
      <c r="D53" s="2">
        <f t="shared" si="17"/>
        <v>4.6648217094391375E-2</v>
      </c>
      <c r="E53" s="15">
        <f t="shared" si="18"/>
        <v>-0.10771910872594312</v>
      </c>
      <c r="F53">
        <f t="shared" si="19"/>
        <v>2343</v>
      </c>
      <c r="G53">
        <v>2215</v>
      </c>
      <c r="H53">
        <f t="shared" si="10"/>
        <v>90</v>
      </c>
      <c r="I53">
        <v>256667</v>
      </c>
      <c r="J53">
        <f t="shared" si="20"/>
        <v>14478</v>
      </c>
      <c r="K53" s="2">
        <f t="shared" si="21"/>
        <v>5.9779758783429449E-2</v>
      </c>
      <c r="L53" s="2">
        <f t="shared" si="22"/>
        <v>0.16183174471612102</v>
      </c>
      <c r="W53">
        <v>50355</v>
      </c>
      <c r="AG53" s="2">
        <f t="shared" si="15"/>
        <v>0.20481791582088854</v>
      </c>
    </row>
    <row r="54" spans="1:33" x14ac:dyDescent="0.3">
      <c r="A54" s="1">
        <f t="shared" si="16"/>
        <v>43951</v>
      </c>
      <c r="B54">
        <f t="shared" si="28"/>
        <v>55273</v>
      </c>
      <c r="C54" s="11">
        <f t="shared" si="14"/>
        <v>4.3522047244094492E-3</v>
      </c>
      <c r="D54" s="2">
        <f t="shared" si="17"/>
        <v>5.1417158074947622E-2</v>
      </c>
      <c r="E54" s="15">
        <f t="shared" si="18"/>
        <v>-9.5828054288998567E-5</v>
      </c>
      <c r="F54">
        <f t="shared" si="19"/>
        <v>2703</v>
      </c>
      <c r="G54">
        <v>2355</v>
      </c>
      <c r="H54">
        <f t="shared" si="10"/>
        <v>140</v>
      </c>
      <c r="I54">
        <v>269867</v>
      </c>
      <c r="J54">
        <f t="shared" si="20"/>
        <v>13200</v>
      </c>
      <c r="K54" s="2">
        <f t="shared" si="21"/>
        <v>5.1428504638305617E-2</v>
      </c>
      <c r="L54" s="2">
        <f t="shared" si="22"/>
        <v>0.20477272727272727</v>
      </c>
      <c r="W54">
        <v>52918</v>
      </c>
      <c r="AG54" s="2">
        <f t="shared" si="15"/>
        <v>0.20481570551419773</v>
      </c>
    </row>
    <row r="55" spans="1:33" x14ac:dyDescent="0.3">
      <c r="A55" s="1">
        <f t="shared" si="16"/>
        <v>43952</v>
      </c>
      <c r="B55">
        <f t="shared" si="28"/>
        <v>58512</v>
      </c>
      <c r="C55" s="11">
        <f t="shared" si="14"/>
        <v>4.6072440944881889E-3</v>
      </c>
      <c r="D55" s="2">
        <f t="shared" si="17"/>
        <v>5.8600039802435111E-2</v>
      </c>
      <c r="E55" s="15">
        <f t="shared" si="18"/>
        <v>2.8170184931629795E-2</v>
      </c>
      <c r="F55">
        <f t="shared" si="19"/>
        <v>3239</v>
      </c>
      <c r="G55">
        <v>2457</v>
      </c>
      <c r="H55">
        <f t="shared" si="10"/>
        <v>102</v>
      </c>
      <c r="I55">
        <v>284688</v>
      </c>
      <c r="J55">
        <f t="shared" si="20"/>
        <v>14821</v>
      </c>
      <c r="K55" s="2">
        <f t="shared" si="21"/>
        <v>5.4919645603204614E-2</v>
      </c>
      <c r="L55" s="2">
        <f t="shared" si="22"/>
        <v>0.21854125902435734</v>
      </c>
      <c r="W55">
        <v>56055</v>
      </c>
      <c r="AG55" s="2">
        <f t="shared" si="15"/>
        <v>0.20553026471084135</v>
      </c>
    </row>
    <row r="56" spans="1:33" x14ac:dyDescent="0.3">
      <c r="A56" s="1">
        <f t="shared" si="16"/>
        <v>43953</v>
      </c>
      <c r="B56">
        <f t="shared" si="28"/>
        <v>61064</v>
      </c>
      <c r="C56" s="11">
        <f t="shared" si="14"/>
        <v>4.808188976377953E-3</v>
      </c>
      <c r="D56" s="2">
        <f t="shared" si="17"/>
        <v>4.361498496034999E-2</v>
      </c>
      <c r="E56" s="15">
        <f t="shared" si="18"/>
        <v>-8.8067215393309806E-2</v>
      </c>
      <c r="F56">
        <f t="shared" si="19"/>
        <v>2552</v>
      </c>
      <c r="G56">
        <v>2559</v>
      </c>
      <c r="H56">
        <f t="shared" si="10"/>
        <v>102</v>
      </c>
      <c r="I56">
        <v>299896</v>
      </c>
      <c r="J56">
        <f t="shared" si="20"/>
        <v>15208</v>
      </c>
      <c r="K56" s="2">
        <f t="shared" si="21"/>
        <v>5.341988422413313E-2</v>
      </c>
      <c r="L56" s="2">
        <f t="shared" si="22"/>
        <v>0.16780641767490795</v>
      </c>
      <c r="W56">
        <v>58505</v>
      </c>
      <c r="AG56" s="2">
        <f t="shared" si="15"/>
        <v>0.20361725398138023</v>
      </c>
    </row>
    <row r="57" spans="1:33" x14ac:dyDescent="0.3">
      <c r="A57" s="1">
        <f t="shared" si="16"/>
        <v>43954</v>
      </c>
      <c r="B57">
        <f t="shared" ref="B57:B59" si="29">W57 + G57</f>
        <v>64117</v>
      </c>
      <c r="C57" s="11">
        <f t="shared" si="14"/>
        <v>5.0485826771653544E-3</v>
      </c>
      <c r="D57" s="2">
        <f t="shared" si="17"/>
        <v>4.9996724747805477E-2</v>
      </c>
      <c r="E57" s="15">
        <f t="shared" si="18"/>
        <v>-0.11226990249157319</v>
      </c>
      <c r="F57">
        <f t="shared" si="19"/>
        <v>3053</v>
      </c>
      <c r="G57">
        <v>2618</v>
      </c>
      <c r="H57">
        <f t="shared" si="10"/>
        <v>59</v>
      </c>
      <c r="I57">
        <v>319313</v>
      </c>
      <c r="J57">
        <f t="shared" si="20"/>
        <v>19417</v>
      </c>
      <c r="K57" s="2">
        <f t="shared" si="21"/>
        <v>6.4745778536559273E-2</v>
      </c>
      <c r="L57" s="2">
        <f t="shared" si="22"/>
        <v>0.15723335221712931</v>
      </c>
      <c r="W57">
        <v>61499</v>
      </c>
      <c r="AG57" s="2">
        <f t="shared" si="15"/>
        <v>0.20079671043772099</v>
      </c>
    </row>
    <row r="58" spans="1:33" x14ac:dyDescent="0.3">
      <c r="A58" s="1">
        <f t="shared" si="16"/>
        <v>43955</v>
      </c>
      <c r="B58">
        <f t="shared" si="29"/>
        <v>66502</v>
      </c>
      <c r="C58" s="11">
        <f t="shared" si="14"/>
        <v>5.2363779527559058E-3</v>
      </c>
      <c r="D58" s="2">
        <f t="shared" si="17"/>
        <v>3.7197623095278853E-2</v>
      </c>
      <c r="E58" s="15">
        <f t="shared" si="18"/>
        <v>-6.6215981646444502E-2</v>
      </c>
      <c r="F58">
        <f t="shared" si="19"/>
        <v>2385</v>
      </c>
      <c r="G58">
        <v>2662</v>
      </c>
      <c r="H58">
        <f t="shared" si="10"/>
        <v>44</v>
      </c>
      <c r="I58">
        <v>333147</v>
      </c>
      <c r="J58">
        <f t="shared" si="20"/>
        <v>13834</v>
      </c>
      <c r="K58" s="2">
        <f t="shared" ref="K58" si="30">I58/I57 - 1</f>
        <v>4.3324261774497108E-2</v>
      </c>
      <c r="L58" s="2">
        <f t="shared" si="22"/>
        <v>0.17240133005638283</v>
      </c>
      <c r="W58">
        <v>63840</v>
      </c>
      <c r="AG58" s="2">
        <f t="shared" si="15"/>
        <v>0.19961758623070297</v>
      </c>
    </row>
    <row r="59" spans="1:33" x14ac:dyDescent="0.3">
      <c r="A59" s="1">
        <f t="shared" si="16"/>
        <v>43956</v>
      </c>
      <c r="B59">
        <f t="shared" si="29"/>
        <v>68800</v>
      </c>
      <c r="C59" s="11">
        <f t="shared" si="14"/>
        <v>5.417322834645669E-3</v>
      </c>
      <c r="D59" s="2">
        <f t="shared" si="17"/>
        <v>3.4555351718745353E-2</v>
      </c>
      <c r="E59" s="15">
        <f t="shared" si="18"/>
        <v>-5.741108809294055E-2</v>
      </c>
      <c r="F59">
        <f t="shared" si="19"/>
        <v>2298</v>
      </c>
      <c r="G59">
        <v>2838</v>
      </c>
      <c r="H59">
        <f t="shared" si="10"/>
        <v>176</v>
      </c>
      <c r="I59">
        <v>346286</v>
      </c>
      <c r="J59">
        <f t="shared" ref="J59" si="31">I59 - I58</f>
        <v>13139</v>
      </c>
      <c r="K59" s="2">
        <f t="shared" ref="K59" si="32">I59/I58 - 1</f>
        <v>3.9439046426952729E-2</v>
      </c>
      <c r="L59" s="2">
        <f t="shared" si="22"/>
        <v>0.17489915518684832</v>
      </c>
      <c r="W59">
        <v>65962</v>
      </c>
      <c r="AG59" s="2">
        <f t="shared" si="15"/>
        <v>0.1986797040596501</v>
      </c>
    </row>
    <row r="60" spans="1:33" x14ac:dyDescent="0.3">
      <c r="A60" s="1">
        <f t="shared" si="16"/>
        <v>43957</v>
      </c>
      <c r="B60">
        <f t="shared" ref="B60:B111" si="33">W60 + G60</f>
        <v>71206</v>
      </c>
      <c r="C60" s="11">
        <f t="shared" si="14"/>
        <v>5.6067716535433071E-3</v>
      </c>
      <c r="D60" s="2">
        <f t="shared" si="17"/>
        <v>3.497093023255804E-2</v>
      </c>
      <c r="E60" s="15">
        <f t="shared" si="18"/>
        <v>-9.2195710215082424E-2</v>
      </c>
      <c r="F60">
        <f t="shared" si="19"/>
        <v>2406</v>
      </c>
      <c r="G60">
        <v>2974</v>
      </c>
      <c r="H60">
        <f t="shared" si="10"/>
        <v>136</v>
      </c>
      <c r="I60">
        <v>361260</v>
      </c>
      <c r="J60">
        <f t="shared" ref="J60" si="34">I60 - I59</f>
        <v>14974</v>
      </c>
      <c r="K60" s="2">
        <f t="shared" ref="K60" si="35">I60/I59 - 1</f>
        <v>4.3241713496936063E-2</v>
      </c>
      <c r="L60" s="2">
        <f t="shared" si="22"/>
        <v>0.16067850941632161</v>
      </c>
      <c r="W60">
        <v>68232</v>
      </c>
      <c r="AG60" s="2">
        <f t="shared" si="15"/>
        <v>0.19710457841997453</v>
      </c>
    </row>
    <row r="61" spans="1:33" x14ac:dyDescent="0.3">
      <c r="A61" s="1">
        <f t="shared" si="16"/>
        <v>43958</v>
      </c>
      <c r="B61">
        <f t="shared" si="33"/>
        <v>73984</v>
      </c>
      <c r="C61" s="11">
        <f t="shared" si="14"/>
        <v>5.8255118110236218E-3</v>
      </c>
      <c r="D61" s="2">
        <f t="shared" si="17"/>
        <v>3.9013566272505074E-2</v>
      </c>
      <c r="E61" s="15">
        <f t="shared" si="18"/>
        <v>-0.10096949943900599</v>
      </c>
      <c r="F61">
        <f t="shared" si="19"/>
        <v>2778</v>
      </c>
      <c r="G61">
        <v>3111</v>
      </c>
      <c r="H61">
        <f t="shared" si="10"/>
        <v>137</v>
      </c>
      <c r="I61">
        <v>379043</v>
      </c>
      <c r="J61">
        <f t="shared" ref="J61" si="36">I61 - I60</f>
        <v>17783</v>
      </c>
      <c r="K61" s="2">
        <f t="shared" ref="K61" si="37">I61/I60 - 1</f>
        <v>4.9224934949897658E-2</v>
      </c>
      <c r="L61" s="2">
        <f t="shared" si="22"/>
        <v>0.15621661137040993</v>
      </c>
      <c r="W61">
        <v>70873</v>
      </c>
      <c r="AG61" s="2">
        <f t="shared" si="15"/>
        <v>0.19518629812448721</v>
      </c>
    </row>
    <row r="62" spans="1:33" x14ac:dyDescent="0.3">
      <c r="A62" s="1">
        <f t="shared" si="16"/>
        <v>43959</v>
      </c>
      <c r="B62">
        <f t="shared" si="33"/>
        <v>77001</v>
      </c>
      <c r="C62" s="11">
        <f t="shared" si="14"/>
        <v>6.0630708661417324E-3</v>
      </c>
      <c r="D62" s="2">
        <f t="shared" si="17"/>
        <v>4.0779087370242273E-2</v>
      </c>
      <c r="E62" s="15">
        <f t="shared" si="18"/>
        <v>-0.1262355041832432</v>
      </c>
      <c r="F62">
        <f t="shared" si="19"/>
        <v>3017</v>
      </c>
      <c r="G62">
        <v>3241</v>
      </c>
      <c r="H62">
        <f t="shared" si="10"/>
        <v>130</v>
      </c>
      <c r="I62">
        <v>399714</v>
      </c>
      <c r="J62">
        <f t="shared" ref="J62" si="38">I62 - I61</f>
        <v>20671</v>
      </c>
      <c r="K62" s="2">
        <f t="shared" ref="K62" si="39">I62/I61 - 1</f>
        <v>5.4534709782267488E-2</v>
      </c>
      <c r="L62" s="2">
        <f t="shared" si="22"/>
        <v>0.14595326786318999</v>
      </c>
      <c r="W62">
        <v>73760</v>
      </c>
      <c r="AG62" s="2">
        <f t="shared" si="15"/>
        <v>0.19264023777000555</v>
      </c>
    </row>
    <row r="63" spans="1:33" x14ac:dyDescent="0.3">
      <c r="A63" s="1">
        <f t="shared" si="16"/>
        <v>43960</v>
      </c>
      <c r="B63">
        <f t="shared" si="33"/>
        <v>79434</v>
      </c>
      <c r="C63" s="11">
        <f t="shared" si="14"/>
        <v>6.254645669291339E-3</v>
      </c>
      <c r="D63" s="2">
        <f t="shared" si="17"/>
        <v>3.1596992246853972E-2</v>
      </c>
      <c r="E63" s="15">
        <f t="shared" si="18"/>
        <v>-0.1191575165501018</v>
      </c>
      <c r="F63">
        <f t="shared" si="19"/>
        <v>2433</v>
      </c>
      <c r="G63">
        <v>3349</v>
      </c>
      <c r="H63">
        <f t="shared" si="10"/>
        <v>108</v>
      </c>
      <c r="I63">
        <v>416331</v>
      </c>
      <c r="J63">
        <f t="shared" ref="J63" si="40">I63 - I62</f>
        <v>16617</v>
      </c>
      <c r="K63" s="2">
        <f t="shared" ref="K63" si="41">I63/I62 - 1</f>
        <v>4.1572224140260294E-2</v>
      </c>
      <c r="L63" s="2">
        <f t="shared" si="22"/>
        <v>0.14641632063549379</v>
      </c>
      <c r="W63">
        <v>76085</v>
      </c>
      <c r="AG63" s="2">
        <f t="shared" si="15"/>
        <v>0.19079530469746428</v>
      </c>
    </row>
    <row r="64" spans="1:33" x14ac:dyDescent="0.3">
      <c r="A64" s="1">
        <f t="shared" si="16"/>
        <v>43961</v>
      </c>
      <c r="B64">
        <f t="shared" si="33"/>
        <v>81147</v>
      </c>
      <c r="C64" s="11">
        <f t="shared" si="14"/>
        <v>6.3895275590551181E-3</v>
      </c>
      <c r="D64" s="2">
        <f t="shared" si="17"/>
        <v>2.1565072890701753E-2</v>
      </c>
      <c r="E64" s="15">
        <f t="shared" si="18"/>
        <v>-0.18203841015968644</v>
      </c>
      <c r="F64">
        <f t="shared" si="19"/>
        <v>1713</v>
      </c>
      <c r="G64">
        <v>3406</v>
      </c>
      <c r="H64">
        <f t="shared" si="10"/>
        <v>57</v>
      </c>
      <c r="I64">
        <v>429984</v>
      </c>
      <c r="J64">
        <f t="shared" ref="J64" si="42">I64 - I63</f>
        <v>13653</v>
      </c>
      <c r="K64" s="2">
        <f t="shared" ref="K64" si="43">I64/I63 - 1</f>
        <v>3.2793618539095126E-2</v>
      </c>
      <c r="L64" s="2">
        <f t="shared" si="22"/>
        <v>0.12546693034497913</v>
      </c>
      <c r="W64">
        <v>77741</v>
      </c>
      <c r="AG64" s="2">
        <f t="shared" si="15"/>
        <v>0.18872097566421075</v>
      </c>
    </row>
    <row r="65" spans="1:33" x14ac:dyDescent="0.3">
      <c r="A65" s="1">
        <f t="shared" si="16"/>
        <v>43962</v>
      </c>
      <c r="B65">
        <f t="shared" si="33"/>
        <v>82466</v>
      </c>
      <c r="C65" s="11">
        <f t="shared" si="14"/>
        <v>6.4933858267716537E-3</v>
      </c>
      <c r="D65" s="2">
        <f t="shared" si="17"/>
        <v>1.6254451797355518E-2</v>
      </c>
      <c r="E65" s="15">
        <f t="shared" si="18"/>
        <v>-0.25043066766966238</v>
      </c>
      <c r="F65">
        <f t="shared" si="19"/>
        <v>1319</v>
      </c>
      <c r="G65">
        <v>3459</v>
      </c>
      <c r="H65">
        <f t="shared" si="10"/>
        <v>53</v>
      </c>
      <c r="I65">
        <v>442425</v>
      </c>
      <c r="J65">
        <f t="shared" ref="J65" si="44">I65 - I64</f>
        <v>12441</v>
      </c>
      <c r="K65" s="2">
        <f t="shared" ref="K65" si="45">I65/I64 - 1</f>
        <v>2.8933634739897407E-2</v>
      </c>
      <c r="L65" s="2">
        <f t="shared" si="22"/>
        <v>0.10602041636524395</v>
      </c>
      <c r="W65">
        <v>79007</v>
      </c>
      <c r="AG65" s="2">
        <f t="shared" si="15"/>
        <v>0.18639543425439339</v>
      </c>
    </row>
    <row r="66" spans="1:33" x14ac:dyDescent="0.3">
      <c r="A66" s="1">
        <f t="shared" si="16"/>
        <v>43963</v>
      </c>
      <c r="B66">
        <f t="shared" si="33"/>
        <v>86622</v>
      </c>
      <c r="C66" s="11">
        <f t="shared" ref="C66:C97" si="46">B66/$A$1</f>
        <v>6.8206299212598426E-3</v>
      </c>
      <c r="D66" s="2">
        <f t="shared" si="17"/>
        <v>5.0396527053573559E-2</v>
      </c>
      <c r="E66" s="15">
        <f t="shared" si="18"/>
        <v>-0.1181230995053341</v>
      </c>
      <c r="F66">
        <f t="shared" si="19"/>
        <v>4156</v>
      </c>
      <c r="G66">
        <v>3601</v>
      </c>
      <c r="H66">
        <f t="shared" si="10"/>
        <v>142</v>
      </c>
      <c r="I66">
        <v>471691</v>
      </c>
      <c r="J66">
        <f t="shared" ref="J66" si="47">I66 - I65</f>
        <v>29266</v>
      </c>
      <c r="K66" s="2">
        <f t="shared" ref="K66" si="48">I66/I65 - 1</f>
        <v>6.6149064813245229E-2</v>
      </c>
      <c r="L66" s="2">
        <f t="shared" si="22"/>
        <v>0.14200779061026447</v>
      </c>
      <c r="W66">
        <v>83021</v>
      </c>
      <c r="AG66" s="2">
        <f t="shared" ref="AG66:AG97" si="49">B66/I66</f>
        <v>0.18364140931245243</v>
      </c>
    </row>
    <row r="67" spans="1:33" x14ac:dyDescent="0.3">
      <c r="A67" s="1">
        <f t="shared" ref="A67:A81" si="50">A66+1</f>
        <v>43964</v>
      </c>
      <c r="B67">
        <f t="shared" si="33"/>
        <v>88490</v>
      </c>
      <c r="C67" s="11">
        <f t="shared" si="46"/>
        <v>6.9677165354330708E-3</v>
      </c>
      <c r="D67" s="2">
        <f t="shared" ref="D67:D98" si="51">B67/B66 - 1</f>
        <v>2.1564960402669087E-2</v>
      </c>
      <c r="E67" s="15">
        <f t="shared" ref="E67:E98" si="52">LOG(D67/K67)</f>
        <v>-0.23978113568907602</v>
      </c>
      <c r="F67">
        <f t="shared" ref="F67:F98" si="53">B67 - B66</f>
        <v>1868</v>
      </c>
      <c r="G67">
        <v>3792</v>
      </c>
      <c r="H67">
        <f t="shared" si="10"/>
        <v>191</v>
      </c>
      <c r="I67">
        <v>489359</v>
      </c>
      <c r="J67">
        <f t="shared" ref="J67" si="54">I67 - I66</f>
        <v>17668</v>
      </c>
      <c r="K67" s="2">
        <f t="shared" ref="K67" si="55">I67/I66 - 1</f>
        <v>3.7456724847410694E-2</v>
      </c>
      <c r="L67" s="2">
        <f t="shared" ref="L67:L98" si="56">(B67 - B66)/(I67 - I66)</f>
        <v>0.10572786959474757</v>
      </c>
      <c r="W67">
        <v>84698</v>
      </c>
      <c r="AG67" s="2">
        <f t="shared" si="49"/>
        <v>0.18082838979154364</v>
      </c>
    </row>
    <row r="68" spans="1:33" x14ac:dyDescent="0.3">
      <c r="A68" s="1">
        <f t="shared" si="50"/>
        <v>43965</v>
      </c>
      <c r="B68">
        <f t="shared" si="33"/>
        <v>91865</v>
      </c>
      <c r="C68" s="11">
        <f t="shared" si="46"/>
        <v>7.2334645669291341E-3</v>
      </c>
      <c r="D68" s="2">
        <f t="shared" si="51"/>
        <v>3.8139902813877358E-2</v>
      </c>
      <c r="E68" s="15">
        <f t="shared" si="52"/>
        <v>-8.4597588879665467E-2</v>
      </c>
      <c r="F68">
        <f t="shared" si="53"/>
        <v>3375</v>
      </c>
      <c r="G68">
        <v>3928</v>
      </c>
      <c r="H68">
        <f t="shared" si="10"/>
        <v>136</v>
      </c>
      <c r="I68">
        <v>512037</v>
      </c>
      <c r="J68">
        <f t="shared" ref="J68" si="57">I68 - I67</f>
        <v>22678</v>
      </c>
      <c r="K68" s="2">
        <f t="shared" ref="K68" si="58">I68/I67 - 1</f>
        <v>4.6342255889847639E-2</v>
      </c>
      <c r="L68" s="2">
        <f t="shared" si="56"/>
        <v>0.14882264749977953</v>
      </c>
      <c r="W68">
        <v>87937</v>
      </c>
      <c r="AG68" s="2">
        <f t="shared" si="49"/>
        <v>0.1794108628868617</v>
      </c>
    </row>
    <row r="69" spans="1:33" x14ac:dyDescent="0.3">
      <c r="A69" s="1">
        <f t="shared" si="50"/>
        <v>43966</v>
      </c>
      <c r="B69">
        <f t="shared" si="33"/>
        <v>94427</v>
      </c>
      <c r="C69" s="11">
        <f t="shared" si="46"/>
        <v>7.4351968503937006E-3</v>
      </c>
      <c r="D69" s="2">
        <f t="shared" si="51"/>
        <v>2.7888749795896173E-2</v>
      </c>
      <c r="E69" s="15">
        <f t="shared" si="52"/>
        <v>-0.26957942980489524</v>
      </c>
      <c r="F69">
        <f t="shared" si="53"/>
        <v>2562</v>
      </c>
      <c r="G69">
        <v>4058</v>
      </c>
      <c r="H69">
        <f t="shared" si="10"/>
        <v>130</v>
      </c>
      <c r="I69">
        <v>538602</v>
      </c>
      <c r="J69">
        <f t="shared" ref="J69" si="59">I69 - I68</f>
        <v>26565</v>
      </c>
      <c r="K69" s="2">
        <f t="shared" ref="K69" si="60">I69/I68 - 1</f>
        <v>5.1881016410923353E-2</v>
      </c>
      <c r="L69" s="2">
        <f t="shared" si="56"/>
        <v>9.6442687747035571E-2</v>
      </c>
      <c r="W69">
        <v>90369</v>
      </c>
      <c r="AG69" s="2">
        <f t="shared" si="49"/>
        <v>0.17531869543744732</v>
      </c>
    </row>
    <row r="70" spans="1:33" x14ac:dyDescent="0.3">
      <c r="A70" s="1">
        <f t="shared" si="50"/>
        <v>43967</v>
      </c>
      <c r="B70">
        <f t="shared" si="33"/>
        <v>96586</v>
      </c>
      <c r="C70" s="11">
        <f t="shared" si="46"/>
        <v>7.6051968503937006E-3</v>
      </c>
      <c r="D70" s="2">
        <f t="shared" si="51"/>
        <v>2.2864223156512375E-2</v>
      </c>
      <c r="E70" s="15">
        <f t="shared" si="52"/>
        <v>-0.27218998985389686</v>
      </c>
      <c r="F70">
        <f t="shared" si="53"/>
        <v>2159</v>
      </c>
      <c r="G70">
        <v>4129</v>
      </c>
      <c r="H70">
        <f t="shared" si="10"/>
        <v>71</v>
      </c>
      <c r="I70">
        <v>561649</v>
      </c>
      <c r="J70">
        <f t="shared" ref="J70" si="61">I70 - I69</f>
        <v>23047</v>
      </c>
      <c r="K70" s="2">
        <f t="shared" ref="K70" si="62">I70/I69 - 1</f>
        <v>4.2790409244674255E-2</v>
      </c>
      <c r="L70" s="2">
        <f t="shared" si="56"/>
        <v>9.3678135982991281E-2</v>
      </c>
      <c r="W70">
        <v>92457</v>
      </c>
      <c r="AG70" s="2">
        <f t="shared" si="49"/>
        <v>0.1719686138495751</v>
      </c>
    </row>
    <row r="71" spans="1:33" x14ac:dyDescent="0.3">
      <c r="A71" s="1">
        <f t="shared" si="50"/>
        <v>43968</v>
      </c>
      <c r="B71">
        <f t="shared" si="33"/>
        <v>98368</v>
      </c>
      <c r="C71" s="11">
        <f t="shared" si="46"/>
        <v>7.7455118110236225E-3</v>
      </c>
      <c r="D71" s="2">
        <f t="shared" si="51"/>
        <v>1.8449878864431613E-2</v>
      </c>
      <c r="E71" s="15">
        <f t="shared" si="52"/>
        <v>-0.29193054660563994</v>
      </c>
      <c r="F71">
        <f t="shared" si="53"/>
        <v>1782</v>
      </c>
      <c r="G71">
        <v>4177</v>
      </c>
      <c r="H71">
        <f t="shared" si="10"/>
        <v>48</v>
      </c>
      <c r="I71">
        <v>581944</v>
      </c>
      <c r="J71">
        <f t="shared" ref="J71" si="63">I71 - I70</f>
        <v>20295</v>
      </c>
      <c r="K71" s="2">
        <f t="shared" ref="K71" si="64">I71/I70 - 1</f>
        <v>3.6134667737323545E-2</v>
      </c>
      <c r="L71" s="2">
        <f t="shared" si="56"/>
        <v>8.7804878048780483E-2</v>
      </c>
      <c r="W71">
        <v>94191</v>
      </c>
      <c r="AG71" s="2">
        <f t="shared" si="49"/>
        <v>0.16903344651719066</v>
      </c>
    </row>
    <row r="72" spans="1:33" x14ac:dyDescent="0.3">
      <c r="A72" s="1">
        <f t="shared" si="50"/>
        <v>43969</v>
      </c>
      <c r="B72">
        <f t="shared" si="33"/>
        <v>100719</v>
      </c>
      <c r="C72" s="11">
        <f t="shared" si="46"/>
        <v>7.9306299212598425E-3</v>
      </c>
      <c r="D72" s="2">
        <f t="shared" si="51"/>
        <v>2.3900048796356543E-2</v>
      </c>
      <c r="E72" s="15">
        <f t="shared" si="52"/>
        <v>-0.18503844839836517</v>
      </c>
      <c r="F72">
        <f t="shared" si="53"/>
        <v>2351</v>
      </c>
      <c r="G72">
        <v>4234</v>
      </c>
      <c r="H72">
        <f t="shared" si="10"/>
        <v>57</v>
      </c>
      <c r="I72">
        <v>603241</v>
      </c>
      <c r="J72">
        <f t="shared" ref="J72" si="65">I72 - I71</f>
        <v>21297</v>
      </c>
      <c r="K72" s="2">
        <f t="shared" ref="K72" si="66">I72/I71 - 1</f>
        <v>3.6596304799087154E-2</v>
      </c>
      <c r="L72" s="2">
        <f t="shared" si="56"/>
        <v>0.11039113490162934</v>
      </c>
      <c r="W72">
        <v>96485</v>
      </c>
      <c r="AG72" s="2">
        <f t="shared" si="49"/>
        <v>0.16696312087540469</v>
      </c>
    </row>
    <row r="73" spans="1:33" x14ac:dyDescent="0.3">
      <c r="A73" s="1">
        <f t="shared" si="50"/>
        <v>43970</v>
      </c>
      <c r="B73">
        <f t="shared" si="33"/>
        <v>102409</v>
      </c>
      <c r="C73" s="11">
        <f t="shared" si="46"/>
        <v>8.0637007874015745E-3</v>
      </c>
      <c r="D73" s="2">
        <f t="shared" si="51"/>
        <v>1.6779356427287784E-2</v>
      </c>
      <c r="E73" s="15">
        <f t="shared" si="52"/>
        <v>-0.26056541560926</v>
      </c>
      <c r="F73">
        <f t="shared" si="53"/>
        <v>1690</v>
      </c>
      <c r="G73">
        <v>4379</v>
      </c>
      <c r="H73">
        <f t="shared" si="10"/>
        <v>145</v>
      </c>
      <c r="I73">
        <v>621684</v>
      </c>
      <c r="J73">
        <f t="shared" ref="J73" si="67">I73 - I72</f>
        <v>18443</v>
      </c>
      <c r="K73" s="2">
        <f t="shared" ref="K73" si="68">I73/I72 - 1</f>
        <v>3.0573187167317828E-2</v>
      </c>
      <c r="L73" s="2">
        <f t="shared" si="56"/>
        <v>9.1633682155831481E-2</v>
      </c>
      <c r="W73">
        <v>98030</v>
      </c>
      <c r="AG73" s="2">
        <f t="shared" si="49"/>
        <v>0.16472838290835859</v>
      </c>
    </row>
    <row r="74" spans="1:33" x14ac:dyDescent="0.3">
      <c r="A74" s="1">
        <f t="shared" si="50"/>
        <v>43971</v>
      </c>
      <c r="B74">
        <f t="shared" si="33"/>
        <v>104943</v>
      </c>
      <c r="C74" s="11">
        <f t="shared" si="46"/>
        <v>8.2632283464566924E-3</v>
      </c>
      <c r="D74" s="2">
        <f t="shared" si="51"/>
        <v>2.4743918991494862E-2</v>
      </c>
      <c r="E74" s="15">
        <f t="shared" si="52"/>
        <v>-0.13578044556464078</v>
      </c>
      <c r="F74">
        <f t="shared" si="53"/>
        <v>2534</v>
      </c>
      <c r="G74">
        <v>4525</v>
      </c>
      <c r="H74">
        <f t="shared" si="10"/>
        <v>146</v>
      </c>
      <c r="I74">
        <v>642713</v>
      </c>
      <c r="J74">
        <f t="shared" ref="J74" si="69">I74 - I73</f>
        <v>21029</v>
      </c>
      <c r="K74" s="2">
        <f t="shared" ref="K74" si="70">I74/I73 - 1</f>
        <v>3.382586651739472E-2</v>
      </c>
      <c r="L74" s="2">
        <f t="shared" si="56"/>
        <v>0.12050026154358268</v>
      </c>
      <c r="W74">
        <v>100418</v>
      </c>
      <c r="AG74" s="2">
        <f t="shared" si="49"/>
        <v>0.16328127795765762</v>
      </c>
    </row>
    <row r="75" spans="1:33" x14ac:dyDescent="0.3">
      <c r="A75" s="1">
        <f t="shared" si="50"/>
        <v>43972</v>
      </c>
      <c r="B75">
        <f t="shared" si="33"/>
        <v>107293</v>
      </c>
      <c r="C75" s="11">
        <f t="shared" si="46"/>
        <v>8.4482677165354323E-3</v>
      </c>
      <c r="D75" s="2">
        <f t="shared" si="51"/>
        <v>2.2393108639928272E-2</v>
      </c>
      <c r="E75" s="15">
        <f t="shared" si="52"/>
        <v>-0.30883989287589697</v>
      </c>
      <c r="F75">
        <f t="shared" si="53"/>
        <v>2350</v>
      </c>
      <c r="G75">
        <v>4607</v>
      </c>
      <c r="H75">
        <f t="shared" si="10"/>
        <v>82</v>
      </c>
      <c r="I75">
        <v>672020</v>
      </c>
      <c r="J75">
        <f t="shared" ref="J75" si="71">I75 - I74</f>
        <v>29307</v>
      </c>
      <c r="K75" s="2">
        <f t="shared" ref="K75" si="72">I75/I74 - 1</f>
        <v>4.5598890951326743E-2</v>
      </c>
      <c r="L75" s="2">
        <f t="shared" si="56"/>
        <v>8.0185621182652614E-2</v>
      </c>
      <c r="W75">
        <v>102686</v>
      </c>
      <c r="AG75" s="2">
        <f t="shared" si="49"/>
        <v>0.15965745067111098</v>
      </c>
    </row>
    <row r="76" spans="1:33" x14ac:dyDescent="0.3">
      <c r="A76" s="1">
        <f t="shared" si="50"/>
        <v>43973</v>
      </c>
      <c r="B76">
        <f t="shared" si="33"/>
        <v>110159</v>
      </c>
      <c r="C76" s="11">
        <f t="shared" si="46"/>
        <v>8.6739370078740153E-3</v>
      </c>
      <c r="D76" s="2">
        <f t="shared" si="51"/>
        <v>2.6711901055986864E-2</v>
      </c>
      <c r="E76" s="15">
        <f t="shared" si="52"/>
        <v>-0.14581160098434706</v>
      </c>
      <c r="F76">
        <f t="shared" si="53"/>
        <v>2866</v>
      </c>
      <c r="G76">
        <v>4715</v>
      </c>
      <c r="H76">
        <f t="shared" si="10"/>
        <v>108</v>
      </c>
      <c r="I76">
        <v>697133</v>
      </c>
      <c r="J76">
        <f t="shared" ref="J76" si="73">I76 - I75</f>
        <v>25113</v>
      </c>
      <c r="K76" s="2">
        <f t="shared" ref="K76" si="74">I76/I75 - 1</f>
        <v>3.7369423529061585E-2</v>
      </c>
      <c r="L76" s="2">
        <f t="shared" si="56"/>
        <v>0.11412415880221399</v>
      </c>
      <c r="W76">
        <v>105444</v>
      </c>
      <c r="AG76" s="2">
        <f t="shared" si="49"/>
        <v>0.15801719327588853</v>
      </c>
    </row>
    <row r="77" spans="1:33" x14ac:dyDescent="0.3">
      <c r="A77" s="1">
        <f t="shared" si="50"/>
        <v>43974</v>
      </c>
      <c r="B77">
        <f t="shared" si="33"/>
        <v>112586</v>
      </c>
      <c r="C77" s="11">
        <f t="shared" si="46"/>
        <v>8.8650393700787401E-3</v>
      </c>
      <c r="D77" s="2">
        <f t="shared" si="51"/>
        <v>2.2031790412040841E-2</v>
      </c>
      <c r="E77" s="15">
        <f t="shared" si="52"/>
        <v>-0.21355045711223072</v>
      </c>
      <c r="F77">
        <f t="shared" si="53"/>
        <v>2427</v>
      </c>
      <c r="G77">
        <v>4790</v>
      </c>
      <c r="H77">
        <f t="shared" si="10"/>
        <v>75</v>
      </c>
      <c r="I77">
        <v>722247</v>
      </c>
      <c r="J77">
        <f t="shared" ref="J77" si="75">I77 - I76</f>
        <v>25114</v>
      </c>
      <c r="K77" s="2">
        <f t="shared" ref="K77" si="76">I77/I76 - 1</f>
        <v>3.6024689693358258E-2</v>
      </c>
      <c r="L77" s="2">
        <f t="shared" si="56"/>
        <v>9.6639324679461652E-2</v>
      </c>
      <c r="W77">
        <v>107796</v>
      </c>
      <c r="AG77" s="2">
        <f t="shared" si="49"/>
        <v>0.15588295970769003</v>
      </c>
    </row>
    <row r="78" spans="1:33" x14ac:dyDescent="0.3">
      <c r="A78" s="1">
        <f t="shared" si="50"/>
        <v>43975</v>
      </c>
      <c r="B78">
        <f t="shared" si="33"/>
        <v>115160</v>
      </c>
      <c r="C78" s="11">
        <f t="shared" si="46"/>
        <v>9.0677165354330711E-3</v>
      </c>
      <c r="D78" s="2">
        <f t="shared" si="51"/>
        <v>2.2862522871405E-2</v>
      </c>
      <c r="E78" s="15">
        <f t="shared" si="52"/>
        <v>-0.19168363733027449</v>
      </c>
      <c r="F78">
        <f t="shared" si="53"/>
        <v>2574</v>
      </c>
      <c r="G78">
        <v>4856</v>
      </c>
      <c r="H78">
        <f t="shared" si="10"/>
        <v>66</v>
      </c>
      <c r="I78">
        <v>747921</v>
      </c>
      <c r="J78">
        <f t="shared" ref="J78" si="77">I78 - I77</f>
        <v>25674</v>
      </c>
      <c r="K78" s="2">
        <f t="shared" ref="K78" si="78">I78/I77 - 1</f>
        <v>3.554739583549682E-2</v>
      </c>
      <c r="L78" s="2">
        <f t="shared" si="56"/>
        <v>0.10025706940874037</v>
      </c>
      <c r="W78">
        <v>110304</v>
      </c>
      <c r="AG78" s="2">
        <f t="shared" si="49"/>
        <v>0.15397348115643231</v>
      </c>
    </row>
    <row r="79" spans="1:33" x14ac:dyDescent="0.3">
      <c r="A79" s="1">
        <f t="shared" si="50"/>
        <v>43976</v>
      </c>
      <c r="B79">
        <f t="shared" si="33"/>
        <v>116901</v>
      </c>
      <c r="C79" s="11">
        <f t="shared" si="46"/>
        <v>9.2048031496062988E-3</v>
      </c>
      <c r="D79" s="2">
        <f t="shared" si="51"/>
        <v>1.5118096561306027E-2</v>
      </c>
      <c r="E79" s="15">
        <f t="shared" si="52"/>
        <v>-0.28196461709154064</v>
      </c>
      <c r="F79">
        <f t="shared" si="53"/>
        <v>1741</v>
      </c>
      <c r="G79">
        <v>4884</v>
      </c>
      <c r="H79">
        <f t="shared" si="10"/>
        <v>28</v>
      </c>
      <c r="I79">
        <v>769564</v>
      </c>
      <c r="J79">
        <f t="shared" ref="J79" si="79">I79 - I78</f>
        <v>21643</v>
      </c>
      <c r="K79" s="2">
        <f t="shared" ref="K79" si="80">I79/I78 - 1</f>
        <v>2.8937548216990905E-2</v>
      </c>
      <c r="L79" s="2">
        <f t="shared" si="56"/>
        <v>8.0441713256018108E-2</v>
      </c>
      <c r="W79">
        <v>112017</v>
      </c>
      <c r="AG79" s="2">
        <f t="shared" si="49"/>
        <v>0.15190549453976537</v>
      </c>
    </row>
    <row r="80" spans="1:33" x14ac:dyDescent="0.3">
      <c r="A80" s="1">
        <f t="shared" si="50"/>
        <v>43977</v>
      </c>
      <c r="B80">
        <f t="shared" si="33"/>
        <v>118118</v>
      </c>
      <c r="C80" s="11">
        <f t="shared" si="46"/>
        <v>9.3006299212598422E-3</v>
      </c>
      <c r="D80" s="2">
        <f t="shared" si="51"/>
        <v>1.0410518301810834E-2</v>
      </c>
      <c r="E80" s="15">
        <f t="shared" si="52"/>
        <v>-0.33256818213370992</v>
      </c>
      <c r="F80">
        <f t="shared" si="53"/>
        <v>1217</v>
      </c>
      <c r="G80">
        <v>4923</v>
      </c>
      <c r="H80">
        <f t="shared" si="10"/>
        <v>39</v>
      </c>
      <c r="I80">
        <v>786794</v>
      </c>
      <c r="J80">
        <f t="shared" ref="J80" si="81">I80 - I79</f>
        <v>17230</v>
      </c>
      <c r="K80" s="2">
        <f t="shared" ref="K80" si="82">I80/I79 - 1</f>
        <v>2.2389300954826385E-2</v>
      </c>
      <c r="L80" s="2">
        <f t="shared" si="56"/>
        <v>7.0632617527568192E-2</v>
      </c>
      <c r="W80">
        <v>113195</v>
      </c>
      <c r="AG80" s="2">
        <f t="shared" si="49"/>
        <v>0.15012569999262831</v>
      </c>
    </row>
    <row r="81" spans="1:33" x14ac:dyDescent="0.3">
      <c r="A81" s="1">
        <f t="shared" si="50"/>
        <v>43978</v>
      </c>
      <c r="B81">
        <f t="shared" si="33"/>
        <v>119389</v>
      </c>
      <c r="C81" s="11">
        <f t="shared" si="46"/>
        <v>9.4007086614173226E-3</v>
      </c>
      <c r="D81" s="2">
        <f t="shared" si="51"/>
        <v>1.0760426014663205E-2</v>
      </c>
      <c r="E81" s="15">
        <f t="shared" si="52"/>
        <v>-0.3073073745370099</v>
      </c>
      <c r="F81">
        <f t="shared" si="53"/>
        <v>1271</v>
      </c>
      <c r="G81">
        <v>5083</v>
      </c>
      <c r="H81">
        <f t="shared" si="10"/>
        <v>160</v>
      </c>
      <c r="I81">
        <v>803973</v>
      </c>
      <c r="J81">
        <f t="shared" ref="J81" si="83">I81 - I80</f>
        <v>17179</v>
      </c>
      <c r="K81" s="2">
        <f t="shared" ref="K81" si="84">I81/I80 - 1</f>
        <v>2.183417768818785E-2</v>
      </c>
      <c r="L81" s="2">
        <f t="shared" si="56"/>
        <v>7.3985680190930783E-2</v>
      </c>
      <c r="W81">
        <v>114306</v>
      </c>
      <c r="AG81" s="2">
        <f t="shared" si="49"/>
        <v>0.14849876799345252</v>
      </c>
    </row>
    <row r="82" spans="1:33" x14ac:dyDescent="0.3">
      <c r="A82" s="1" cm="1">
        <f t="array" ref="A82">IF(OR(B82:L82=""), "", A81 + 1)</f>
        <v>43979</v>
      </c>
      <c r="B82">
        <f t="shared" si="33"/>
        <v>121019</v>
      </c>
      <c r="C82" s="11">
        <f t="shared" si="46"/>
        <v>9.5290551181102367E-3</v>
      </c>
      <c r="D82" s="2">
        <f t="shared" si="51"/>
        <v>1.3652849089949681E-2</v>
      </c>
      <c r="E82" s="15">
        <f t="shared" si="52"/>
        <v>-0.37439165297007054</v>
      </c>
      <c r="F82">
        <f t="shared" si="53"/>
        <v>1630</v>
      </c>
      <c r="G82">
        <v>5186</v>
      </c>
      <c r="H82">
        <f t="shared" si="10"/>
        <v>103</v>
      </c>
      <c r="I82">
        <v>829966</v>
      </c>
      <c r="J82">
        <f t="shared" ref="J82" si="85">I82 - I81</f>
        <v>25993</v>
      </c>
      <c r="K82" s="2">
        <f t="shared" ref="K82" si="86">I82/I81 - 1</f>
        <v>3.2330687722100127E-2</v>
      </c>
      <c r="L82" s="2">
        <f t="shared" si="56"/>
        <v>6.2709190936021231E-2</v>
      </c>
      <c r="W82">
        <v>115833</v>
      </c>
      <c r="AG82" s="2">
        <f t="shared" si="49"/>
        <v>0.14581199711795423</v>
      </c>
    </row>
    <row r="83" spans="1:33" x14ac:dyDescent="0.3">
      <c r="A83" s="1" cm="1">
        <f t="array" ref="A83">IF(OR(B83:L83=""), "", A82 + 1)</f>
        <v>43980</v>
      </c>
      <c r="B83">
        <f t="shared" si="33"/>
        <v>122725</v>
      </c>
      <c r="C83" s="11">
        <f t="shared" si="46"/>
        <v>9.6633858267716529E-3</v>
      </c>
      <c r="D83" s="2">
        <f t="shared" si="51"/>
        <v>1.4096959981490409E-2</v>
      </c>
      <c r="E83" s="15">
        <f t="shared" si="52"/>
        <v>-0.27019103072940442</v>
      </c>
      <c r="F83">
        <f t="shared" si="53"/>
        <v>1706</v>
      </c>
      <c r="G83">
        <v>5270</v>
      </c>
      <c r="H83">
        <f t="shared" si="10"/>
        <v>84</v>
      </c>
      <c r="I83">
        <v>851762</v>
      </c>
      <c r="J83">
        <f t="shared" ref="J83" si="87">I83 - I82</f>
        <v>21796</v>
      </c>
      <c r="K83" s="2">
        <f t="shared" ref="K83" si="88">I83/I82 - 1</f>
        <v>2.6261316728637185E-2</v>
      </c>
      <c r="L83" s="2">
        <f t="shared" si="56"/>
        <v>7.8271242429803628E-2</v>
      </c>
      <c r="W83">
        <v>117455</v>
      </c>
      <c r="AG83" s="2">
        <f t="shared" si="49"/>
        <v>0.14408367595642915</v>
      </c>
    </row>
    <row r="84" spans="1:33" x14ac:dyDescent="0.3">
      <c r="A84" s="1" cm="1">
        <f t="array" ref="A84">IF(OR(B84:L84=""), "", A83 + 1)</f>
        <v>43981</v>
      </c>
      <c r="B84">
        <f t="shared" si="33"/>
        <v>124247</v>
      </c>
      <c r="C84" s="11">
        <f t="shared" si="46"/>
        <v>9.7832283464566929E-3</v>
      </c>
      <c r="D84" s="2">
        <f t="shared" si="51"/>
        <v>1.2401711142798977E-2</v>
      </c>
      <c r="E84" s="15">
        <f t="shared" si="52"/>
        <v>-0.38005815110472352</v>
      </c>
      <c r="F84">
        <f t="shared" si="53"/>
        <v>1522</v>
      </c>
      <c r="G84">
        <v>5330</v>
      </c>
      <c r="H84">
        <f t="shared" si="10"/>
        <v>60</v>
      </c>
      <c r="I84">
        <v>877105</v>
      </c>
      <c r="J84">
        <f t="shared" ref="J84" si="89">I84 - I83</f>
        <v>25343</v>
      </c>
      <c r="K84" s="2">
        <f t="shared" ref="K84" si="90">I84/I83 - 1</f>
        <v>2.9753616620605383E-2</v>
      </c>
      <c r="L84" s="2">
        <f t="shared" si="56"/>
        <v>6.0056031251233079E-2</v>
      </c>
      <c r="W84">
        <v>118917</v>
      </c>
      <c r="AG84" s="2">
        <f t="shared" si="49"/>
        <v>0.14165578807554396</v>
      </c>
    </row>
    <row r="85" spans="1:33" x14ac:dyDescent="0.3">
      <c r="A85" s="1" cm="1">
        <f t="array" ref="A85">IF(OR(B85:L85=""), "", A84 + 1)</f>
        <v>43982</v>
      </c>
      <c r="B85">
        <f t="shared" si="33"/>
        <v>125650</v>
      </c>
      <c r="C85" s="11">
        <f t="shared" si="46"/>
        <v>9.8937007874015746E-3</v>
      </c>
      <c r="D85" s="2">
        <f t="shared" si="51"/>
        <v>1.1292023147440267E-2</v>
      </c>
      <c r="E85" s="15">
        <f t="shared" si="52"/>
        <v>-0.32956915354188443</v>
      </c>
      <c r="F85">
        <f t="shared" si="53"/>
        <v>1403</v>
      </c>
      <c r="G85">
        <v>5390</v>
      </c>
      <c r="H85">
        <f t="shared" si="10"/>
        <v>60</v>
      </c>
      <c r="I85">
        <v>898259</v>
      </c>
      <c r="J85">
        <f t="shared" ref="J85" si="91">I85 - I84</f>
        <v>21154</v>
      </c>
      <c r="K85" s="2">
        <f t="shared" ref="K85" si="92">I85/I84 - 1</f>
        <v>2.4117979033297043E-2</v>
      </c>
      <c r="L85" s="2">
        <f t="shared" si="56"/>
        <v>6.6323154013425353E-2</v>
      </c>
      <c r="W85">
        <v>120260</v>
      </c>
      <c r="AG85" s="2">
        <f t="shared" si="49"/>
        <v>0.13988170449725523</v>
      </c>
    </row>
    <row r="86" spans="1:33" x14ac:dyDescent="0.3">
      <c r="A86" s="1" cm="1">
        <f t="array" ref="A86">IF(OR(B86:L86=""), "", A85 + 1)</f>
        <v>43983</v>
      </c>
      <c r="B86">
        <f t="shared" si="33"/>
        <v>126646</v>
      </c>
      <c r="C86" s="11">
        <f t="shared" si="46"/>
        <v>9.9721259842519682E-3</v>
      </c>
      <c r="D86" s="2">
        <f t="shared" si="51"/>
        <v>7.9267807401512957E-3</v>
      </c>
      <c r="E86" s="15">
        <f t="shared" si="52"/>
        <v>-0.4488354726929118</v>
      </c>
      <c r="F86">
        <f t="shared" si="53"/>
        <v>996</v>
      </c>
      <c r="G86">
        <v>5412</v>
      </c>
      <c r="H86">
        <f t="shared" si="10"/>
        <v>22</v>
      </c>
      <c r="I86">
        <v>918273</v>
      </c>
      <c r="J86">
        <f t="shared" ref="J86" si="93">I86 - I85</f>
        <v>20014</v>
      </c>
      <c r="K86" s="2">
        <f t="shared" ref="K86" si="94">I86/I85 - 1</f>
        <v>2.2280878900183598E-2</v>
      </c>
      <c r="L86" s="2">
        <f t="shared" si="56"/>
        <v>4.9765164384930546E-2</v>
      </c>
      <c r="W86">
        <v>121234</v>
      </c>
      <c r="AG86" s="2">
        <f t="shared" si="49"/>
        <v>0.13791759095606645</v>
      </c>
    </row>
    <row r="87" spans="1:33" x14ac:dyDescent="0.3">
      <c r="A87" s="1" cm="1">
        <f t="array" ref="A87">IF(OR(B87:L87=""), "", A86 + 1)</f>
        <v>43984</v>
      </c>
      <c r="B87">
        <f t="shared" si="33"/>
        <v>128373</v>
      </c>
      <c r="C87" s="11">
        <f t="shared" si="46"/>
        <v>1.0108110236220472E-2</v>
      </c>
      <c r="D87" s="2">
        <f t="shared" si="51"/>
        <v>1.363643541841042E-2</v>
      </c>
      <c r="E87" s="15">
        <f t="shared" si="52"/>
        <v>-0.11799132068847638</v>
      </c>
      <c r="F87">
        <f t="shared" si="53"/>
        <v>1727</v>
      </c>
      <c r="G87">
        <v>5525</v>
      </c>
      <c r="H87">
        <f t="shared" si="10"/>
        <v>113</v>
      </c>
      <c r="I87">
        <v>934704</v>
      </c>
      <c r="J87">
        <f t="shared" ref="J87" si="95">I87 - I86</f>
        <v>16431</v>
      </c>
      <c r="K87" s="2">
        <f t="shared" ref="K87" si="96">I87/I86 - 1</f>
        <v>1.789337157904014E-2</v>
      </c>
      <c r="L87" s="2">
        <f t="shared" si="56"/>
        <v>0.10510620169192381</v>
      </c>
      <c r="W87">
        <v>122848</v>
      </c>
      <c r="AG87" s="2">
        <f t="shared" si="49"/>
        <v>0.13734080521748063</v>
      </c>
    </row>
    <row r="88" spans="1:33" x14ac:dyDescent="0.3">
      <c r="A88" s="1" cm="1">
        <f t="array" ref="A88">IF(OR(B88:L88=""), "", A87 + 1)</f>
        <v>43985</v>
      </c>
      <c r="B88">
        <f t="shared" si="33"/>
        <v>129451</v>
      </c>
      <c r="C88" s="11">
        <f t="shared" si="46"/>
        <v>1.0192992125984252E-2</v>
      </c>
      <c r="D88" s="2">
        <f t="shared" si="51"/>
        <v>8.397404438628131E-3</v>
      </c>
      <c r="E88" s="15">
        <f t="shared" si="52"/>
        <v>-0.49383254547342587</v>
      </c>
      <c r="F88">
        <f t="shared" si="53"/>
        <v>1078</v>
      </c>
      <c r="G88">
        <v>5621</v>
      </c>
      <c r="H88">
        <f t="shared" si="10"/>
        <v>96</v>
      </c>
      <c r="I88">
        <v>959175</v>
      </c>
      <c r="J88">
        <f t="shared" ref="J88" si="97">I88 - I87</f>
        <v>24471</v>
      </c>
      <c r="K88" s="2">
        <f t="shared" ref="K88" si="98">I88/I87 - 1</f>
        <v>2.6180480665536798E-2</v>
      </c>
      <c r="L88" s="2">
        <f t="shared" si="56"/>
        <v>4.4052143353357033E-2</v>
      </c>
      <c r="W88">
        <v>123830</v>
      </c>
      <c r="AG88" s="2">
        <f t="shared" si="49"/>
        <v>0.13496077358146324</v>
      </c>
    </row>
    <row r="89" spans="1:33" x14ac:dyDescent="0.3">
      <c r="A89" s="1" cm="1">
        <f t="array" ref="A89">IF(OR(B89:L89=""), "", A88 + 1)</f>
        <v>43986</v>
      </c>
      <c r="B89">
        <f t="shared" si="33"/>
        <v>130495</v>
      </c>
      <c r="C89" s="11">
        <f t="shared" si="46"/>
        <v>1.02751968503937E-2</v>
      </c>
      <c r="D89" s="2">
        <f t="shared" si="51"/>
        <v>8.0648276181720657E-3</v>
      </c>
      <c r="E89" s="15">
        <f t="shared" si="52"/>
        <v>-0.47022217405601013</v>
      </c>
      <c r="F89">
        <f t="shared" si="53"/>
        <v>1044</v>
      </c>
      <c r="G89">
        <v>5736</v>
      </c>
      <c r="H89">
        <f t="shared" si="10"/>
        <v>115</v>
      </c>
      <c r="I89">
        <v>982016</v>
      </c>
      <c r="J89">
        <f t="shared" ref="J89" si="99">I89 - I88</f>
        <v>22841</v>
      </c>
      <c r="K89" s="2">
        <f t="shared" ref="K89" si="100">I89/I88 - 1</f>
        <v>2.3813172778690106E-2</v>
      </c>
      <c r="L89" s="2">
        <f t="shared" si="56"/>
        <v>4.5707280767041725E-2</v>
      </c>
      <c r="W89">
        <v>124759</v>
      </c>
      <c r="AG89" s="2">
        <f t="shared" si="49"/>
        <v>0.13288480024765381</v>
      </c>
    </row>
    <row r="90" spans="1:33" x14ac:dyDescent="0.3">
      <c r="A90" s="1" cm="1">
        <f t="array" ref="A90">IF(OR(B90:L90=""), "", A89 + 1)</f>
        <v>43987</v>
      </c>
      <c r="B90">
        <f t="shared" si="33"/>
        <v>131710</v>
      </c>
      <c r="C90" s="11">
        <f t="shared" si="46"/>
        <v>1.0370866141732283E-2</v>
      </c>
      <c r="D90" s="2">
        <f t="shared" si="51"/>
        <v>9.310701559446688E-3</v>
      </c>
      <c r="E90" s="15">
        <f t="shared" si="52"/>
        <v>-0.31542976431018582</v>
      </c>
      <c r="F90">
        <f t="shared" si="53"/>
        <v>1215</v>
      </c>
      <c r="G90">
        <v>5795</v>
      </c>
      <c r="H90">
        <f t="shared" si="10"/>
        <v>59</v>
      </c>
      <c r="I90">
        <v>1000919</v>
      </c>
      <c r="J90">
        <f t="shared" ref="J90" si="101">I90 - I89</f>
        <v>18903</v>
      </c>
      <c r="K90" s="2">
        <f t="shared" ref="K90" si="102">I90/I89 - 1</f>
        <v>1.9249177202815382E-2</v>
      </c>
      <c r="L90" s="2">
        <f t="shared" si="56"/>
        <v>6.4275511823520079E-2</v>
      </c>
      <c r="W90">
        <v>125915</v>
      </c>
      <c r="AG90" s="2">
        <f t="shared" si="49"/>
        <v>0.13158906964499625</v>
      </c>
    </row>
    <row r="91" spans="1:33" x14ac:dyDescent="0.3">
      <c r="A91" s="1" cm="1">
        <f t="array" ref="A91">IF(OR(B91:L91=""), "", A90 + 1)</f>
        <v>43988</v>
      </c>
      <c r="B91">
        <f t="shared" si="33"/>
        <v>132754</v>
      </c>
      <c r="C91" s="11">
        <f t="shared" si="46"/>
        <v>1.0453070866141733E-2</v>
      </c>
      <c r="D91" s="2">
        <f t="shared" si="51"/>
        <v>7.9265052008199444E-3</v>
      </c>
      <c r="E91" s="15">
        <f t="shared" si="52"/>
        <v>-0.42593234740658853</v>
      </c>
      <c r="F91">
        <f t="shared" si="53"/>
        <v>1044</v>
      </c>
      <c r="G91">
        <v>5864</v>
      </c>
      <c r="H91">
        <f t="shared" si="10"/>
        <v>69</v>
      </c>
      <c r="I91">
        <v>1022074</v>
      </c>
      <c r="J91">
        <f t="shared" ref="J91" si="103">I91 - I90</f>
        <v>21155</v>
      </c>
      <c r="K91" s="2">
        <f t="shared" ref="K91" si="104">I91/I90 - 1</f>
        <v>2.1135576405283629E-2</v>
      </c>
      <c r="L91" s="2">
        <f t="shared" si="56"/>
        <v>4.9350035452611678E-2</v>
      </c>
      <c r="W91">
        <v>126890</v>
      </c>
      <c r="AG91" s="2">
        <f t="shared" si="49"/>
        <v>0.12988687707543681</v>
      </c>
    </row>
    <row r="92" spans="1:33" x14ac:dyDescent="0.3">
      <c r="A92" s="1" cm="1">
        <f t="array" ref="A92">IF(OR(B92:L92=""), "", A91 + 1)</f>
        <v>43989</v>
      </c>
      <c r="B92">
        <f t="shared" si="33"/>
        <v>133661</v>
      </c>
      <c r="C92" s="11">
        <f t="shared" si="46"/>
        <v>1.0524488188976378E-2</v>
      </c>
      <c r="D92" s="2">
        <f t="shared" si="51"/>
        <v>6.8321858475073327E-3</v>
      </c>
      <c r="E92" s="15">
        <f t="shared" si="52"/>
        <v>-0.47192833339887541</v>
      </c>
      <c r="F92">
        <f t="shared" si="53"/>
        <v>907</v>
      </c>
      <c r="G92">
        <v>5904</v>
      </c>
      <c r="H92">
        <f t="shared" si="10"/>
        <v>40</v>
      </c>
      <c r="I92">
        <v>1042774</v>
      </c>
      <c r="J92">
        <f t="shared" ref="J92:J93" si="105">I92 - I91</f>
        <v>20700</v>
      </c>
      <c r="K92" s="2">
        <f t="shared" ref="K92:K93" si="106">I92/I91 - 1</f>
        <v>2.0252936675817956E-2</v>
      </c>
      <c r="L92" s="2">
        <f t="shared" si="56"/>
        <v>4.3816425120772946E-2</v>
      </c>
      <c r="W92">
        <v>127757</v>
      </c>
      <c r="AG92" s="2">
        <f t="shared" si="49"/>
        <v>0.12817830133854508</v>
      </c>
    </row>
    <row r="93" spans="1:33" x14ac:dyDescent="0.3">
      <c r="A93" s="1" cm="1">
        <f t="array" ref="A93">IF(OR(B93:L93=""), "", A92 + 1)</f>
        <v>43990</v>
      </c>
      <c r="B93">
        <f t="shared" si="33"/>
        <v>134339</v>
      </c>
      <c r="C93" s="11">
        <f t="shared" si="46"/>
        <v>1.0577874015748032E-2</v>
      </c>
      <c r="D93" s="2">
        <f t="shared" si="51"/>
        <v>5.0725342470878676E-3</v>
      </c>
      <c r="E93" s="15">
        <f t="shared" si="52"/>
        <v>-0.48338371838583194</v>
      </c>
      <c r="F93">
        <f t="shared" si="53"/>
        <v>678</v>
      </c>
      <c r="G93">
        <v>5924</v>
      </c>
      <c r="H93">
        <f t="shared" ref="H93:H156" si="107">G93-G92</f>
        <v>20</v>
      </c>
      <c r="I93">
        <v>1058873</v>
      </c>
      <c r="J93">
        <f t="shared" si="105"/>
        <v>16099</v>
      </c>
      <c r="K93" s="2">
        <f t="shared" si="106"/>
        <v>1.5438628120762576E-2</v>
      </c>
      <c r="L93" s="2">
        <f t="shared" si="56"/>
        <v>4.2114417044536931E-2</v>
      </c>
      <c r="W93">
        <v>128415</v>
      </c>
      <c r="AG93" s="2">
        <f t="shared" si="49"/>
        <v>0.12686979458348641</v>
      </c>
    </row>
    <row r="94" spans="1:33" x14ac:dyDescent="0.3">
      <c r="A94" s="1" cm="1">
        <f t="array" ref="A94">IF(OR(B94:L94=""), "", A93 + 1)</f>
        <v>43991</v>
      </c>
      <c r="B94">
        <f t="shared" si="33"/>
        <v>135230</v>
      </c>
      <c r="C94" s="11">
        <f t="shared" si="46"/>
        <v>1.0648031496062992E-2</v>
      </c>
      <c r="D94" s="2">
        <f t="shared" si="51"/>
        <v>6.6324745606265445E-3</v>
      </c>
      <c r="E94" s="15">
        <f t="shared" si="52"/>
        <v>-0.46116907225364145</v>
      </c>
      <c r="F94">
        <f t="shared" si="53"/>
        <v>891</v>
      </c>
      <c r="G94">
        <v>6018</v>
      </c>
      <c r="H94">
        <f t="shared" si="107"/>
        <v>94</v>
      </c>
      <c r="I94">
        <v>1079182</v>
      </c>
      <c r="J94">
        <f t="shared" ref="J94" si="108">I94 - I93</f>
        <v>20309</v>
      </c>
      <c r="K94" s="2">
        <f t="shared" ref="K94" si="109">I94/I93 - 1</f>
        <v>1.9179826098125075E-2</v>
      </c>
      <c r="L94" s="2">
        <f t="shared" si="56"/>
        <v>4.3872174897828548E-2</v>
      </c>
      <c r="W94">
        <v>129212</v>
      </c>
      <c r="X94">
        <v>724</v>
      </c>
      <c r="Y94">
        <v>178</v>
      </c>
      <c r="AG94" s="2">
        <f t="shared" si="49"/>
        <v>0.12530787207347788</v>
      </c>
    </row>
    <row r="95" spans="1:33" x14ac:dyDescent="0.3">
      <c r="A95" s="1" cm="1">
        <f t="array" ref="A95">IF(OR(B95:L95=""), "", A94 + 1)</f>
        <v>43992</v>
      </c>
      <c r="B95">
        <f t="shared" si="33"/>
        <v>135932</v>
      </c>
      <c r="C95" s="11">
        <f t="shared" si="46"/>
        <v>1.0703307086614173E-2</v>
      </c>
      <c r="D95" s="2">
        <f t="shared" si="51"/>
        <v>5.1911558086223941E-3</v>
      </c>
      <c r="E95" s="15">
        <f t="shared" si="52"/>
        <v>-0.57012196808261606</v>
      </c>
      <c r="F95">
        <f t="shared" si="53"/>
        <v>702</v>
      </c>
      <c r="G95">
        <v>6095</v>
      </c>
      <c r="H95">
        <f t="shared" si="107"/>
        <v>77</v>
      </c>
      <c r="I95">
        <v>1100002</v>
      </c>
      <c r="J95">
        <f t="shared" ref="J95" si="110">I95 - I94</f>
        <v>20820</v>
      </c>
      <c r="K95" s="2">
        <f t="shared" ref="K95" si="111">I95/I94 - 1</f>
        <v>1.9292389976852897E-2</v>
      </c>
      <c r="L95" s="2">
        <f t="shared" si="56"/>
        <v>3.3717579250720463E-2</v>
      </c>
      <c r="W95">
        <v>129837</v>
      </c>
      <c r="X95">
        <v>724</v>
      </c>
      <c r="Y95">
        <v>178</v>
      </c>
      <c r="AG95" s="2">
        <f t="shared" si="49"/>
        <v>0.12357432077396223</v>
      </c>
    </row>
    <row r="96" spans="1:33" x14ac:dyDescent="0.3">
      <c r="A96" s="1" cm="1">
        <f t="array" ref="A96">IF(OR(B96:L96=""), "", A95 + 1)</f>
        <v>43993</v>
      </c>
      <c r="B96">
        <f t="shared" si="33"/>
        <v>136788</v>
      </c>
      <c r="C96" s="11">
        <f t="shared" si="46"/>
        <v>1.0770708661417322E-2</v>
      </c>
      <c r="D96" s="2">
        <f t="shared" si="51"/>
        <v>6.2972662801989987E-3</v>
      </c>
      <c r="E96" s="15">
        <f t="shared" si="52"/>
        <v>-0.50824593492394166</v>
      </c>
      <c r="F96">
        <f t="shared" si="53"/>
        <v>856</v>
      </c>
      <c r="G96">
        <v>6185</v>
      </c>
      <c r="H96">
        <f t="shared" si="107"/>
        <v>90</v>
      </c>
      <c r="I96">
        <v>1122327</v>
      </c>
      <c r="J96">
        <f t="shared" ref="J96" si="112">I96 - I95</f>
        <v>22325</v>
      </c>
      <c r="K96" s="2">
        <f t="shared" ref="K96" si="113">I96/I95 - 1</f>
        <v>2.0295417644695224E-2</v>
      </c>
      <c r="L96" s="2">
        <f t="shared" si="56"/>
        <v>3.8342665173572231E-2</v>
      </c>
      <c r="W96">
        <v>130603</v>
      </c>
      <c r="X96">
        <v>724</v>
      </c>
      <c r="Y96">
        <v>178</v>
      </c>
      <c r="AG96" s="2">
        <f t="shared" si="49"/>
        <v>0.12187891764164989</v>
      </c>
    </row>
    <row r="97" spans="1:33" x14ac:dyDescent="0.3">
      <c r="A97" s="1" cm="1">
        <f t="array" ref="A97">IF(OR(B97:L97=""), "", A96 + 1)</f>
        <v>43994</v>
      </c>
      <c r="B97">
        <f t="shared" si="33"/>
        <v>137458</v>
      </c>
      <c r="C97" s="11">
        <f t="shared" si="46"/>
        <v>1.0823464566929134E-2</v>
      </c>
      <c r="D97" s="2">
        <f t="shared" si="51"/>
        <v>4.8980904757727206E-3</v>
      </c>
      <c r="E97" s="15">
        <f t="shared" si="52"/>
        <v>-0.65384991932816028</v>
      </c>
      <c r="F97">
        <f t="shared" si="53"/>
        <v>670</v>
      </c>
      <c r="G97">
        <v>6260</v>
      </c>
      <c r="H97">
        <f t="shared" si="107"/>
        <v>75</v>
      </c>
      <c r="I97">
        <v>1147101</v>
      </c>
      <c r="J97">
        <f t="shared" ref="J97" si="114">I97 - I96</f>
        <v>24774</v>
      </c>
      <c r="K97" s="2">
        <f t="shared" ref="K97" si="115">I97/I96 - 1</f>
        <v>2.2073780636124862E-2</v>
      </c>
      <c r="L97" s="2">
        <f t="shared" si="56"/>
        <v>2.7044482118349884E-2</v>
      </c>
      <c r="W97">
        <v>131198</v>
      </c>
      <c r="X97">
        <v>861</v>
      </c>
      <c r="Y97">
        <v>181</v>
      </c>
      <c r="AG97" s="2">
        <f t="shared" si="49"/>
        <v>0.11983077340181902</v>
      </c>
    </row>
    <row r="98" spans="1:33" x14ac:dyDescent="0.3">
      <c r="A98" s="1" cm="1">
        <f t="array" ref="A98">IF(OR(B98:L98=""), "", A97 + 1)</f>
        <v>43995</v>
      </c>
      <c r="B98">
        <f t="shared" si="33"/>
        <v>138160</v>
      </c>
      <c r="C98" s="11">
        <f t="shared" ref="C98:C129" si="116">B98/$A$1</f>
        <v>1.0878740157480315E-2</v>
      </c>
      <c r="D98" s="2">
        <f t="shared" si="51"/>
        <v>5.1070145062492855E-3</v>
      </c>
      <c r="E98" s="15">
        <f t="shared" si="52"/>
        <v>-0.57156341804720701</v>
      </c>
      <c r="F98">
        <f t="shared" si="53"/>
        <v>702</v>
      </c>
      <c r="G98">
        <v>6289</v>
      </c>
      <c r="H98">
        <f t="shared" si="107"/>
        <v>29</v>
      </c>
      <c r="I98">
        <v>1168945</v>
      </c>
      <c r="J98">
        <f t="shared" ref="J98" si="117">I98 - I97</f>
        <v>21844</v>
      </c>
      <c r="K98" s="2">
        <f t="shared" ref="K98" si="118">I98/I97 - 1</f>
        <v>1.9042786990857818E-2</v>
      </c>
      <c r="L98" s="2">
        <f t="shared" si="56"/>
        <v>3.2136971250686687E-2</v>
      </c>
      <c r="W98">
        <v>131871</v>
      </c>
      <c r="X98">
        <v>861</v>
      </c>
      <c r="Y98">
        <v>181</v>
      </c>
      <c r="AG98" s="2">
        <f t="shared" ref="AG98:AG111" si="119">B98/I98</f>
        <v>0.11819204496362104</v>
      </c>
    </row>
    <row r="99" spans="1:33" x14ac:dyDescent="0.3">
      <c r="A99" s="1" cm="1">
        <f t="array" ref="A99">IF(OR(B99:L99=""), "", A98 + 1)</f>
        <v>43996</v>
      </c>
      <c r="B99">
        <f t="shared" si="33"/>
        <v>138851</v>
      </c>
      <c r="C99" s="11">
        <f t="shared" si="116"/>
        <v>1.0933149606299212E-2</v>
      </c>
      <c r="D99" s="2">
        <f t="shared" ref="D99:D130" si="120">B99/B98 - 1</f>
        <v>5.0014475969890615E-3</v>
      </c>
      <c r="E99" s="15">
        <f t="shared" ref="E99:E119" si="121">LOG(D99/K99)</f>
        <v>-0.57632178970048087</v>
      </c>
      <c r="F99">
        <f t="shared" ref="F99:F130" si="122">B99 - B98</f>
        <v>691</v>
      </c>
      <c r="G99">
        <v>6308</v>
      </c>
      <c r="H99">
        <f t="shared" si="107"/>
        <v>19</v>
      </c>
      <c r="I99">
        <v>1190985</v>
      </c>
      <c r="J99">
        <f t="shared" ref="J99:J100" si="123">I99 - I98</f>
        <v>22040</v>
      </c>
      <c r="K99" s="2">
        <f t="shared" ref="K99" si="124">I99/I98 - 1</f>
        <v>1.8854608215099988E-2</v>
      </c>
      <c r="L99" s="2">
        <f t="shared" ref="L99:L130" si="125">(B99 - B98)/(I99 - I98)</f>
        <v>3.1352087114337568E-2</v>
      </c>
      <c r="W99">
        <v>132543</v>
      </c>
      <c r="X99">
        <v>861</v>
      </c>
      <c r="Y99">
        <v>181</v>
      </c>
      <c r="AG99" s="2">
        <f t="shared" si="119"/>
        <v>0.11658501156605666</v>
      </c>
    </row>
    <row r="100" spans="1:33" x14ac:dyDescent="0.3">
      <c r="A100" s="1" cm="1">
        <f t="array" ref="A100">IF(OR(B100:L100=""), "", A99 + 1)</f>
        <v>43997</v>
      </c>
      <c r="B100">
        <f t="shared" si="33"/>
        <v>139342</v>
      </c>
      <c r="C100" s="11">
        <f t="shared" si="116"/>
        <v>1.0971811023622047E-2</v>
      </c>
      <c r="D100" s="2">
        <f t="shared" si="120"/>
        <v>3.5361646657208201E-3</v>
      </c>
      <c r="E100" s="15">
        <f t="shared" si="121"/>
        <v>-0.64570414256921072</v>
      </c>
      <c r="F100">
        <f t="shared" si="122"/>
        <v>491</v>
      </c>
      <c r="G100">
        <v>6326</v>
      </c>
      <c r="H100">
        <f t="shared" si="107"/>
        <v>18</v>
      </c>
      <c r="I100">
        <v>1209612</v>
      </c>
      <c r="J100">
        <f t="shared" si="123"/>
        <v>18627</v>
      </c>
      <c r="K100" s="2">
        <f t="shared" ref="K100" si="126">I100/I99 - 1</f>
        <v>1.5639995465937861E-2</v>
      </c>
      <c r="L100" s="2">
        <f t="shared" si="125"/>
        <v>2.6359585547860633E-2</v>
      </c>
      <c r="W100">
        <v>133016</v>
      </c>
      <c r="X100">
        <v>861</v>
      </c>
      <c r="Y100">
        <v>181</v>
      </c>
      <c r="AG100" s="2">
        <f t="shared" si="119"/>
        <v>0.11519561644560404</v>
      </c>
    </row>
    <row r="101" spans="1:33" x14ac:dyDescent="0.3">
      <c r="A101" s="1" cm="1">
        <f t="array" ref="A101">IF(OR(B101:L101=""), "", A100 + 1)</f>
        <v>43998</v>
      </c>
      <c r="B101">
        <f t="shared" si="33"/>
        <v>140037</v>
      </c>
      <c r="C101" s="11">
        <f t="shared" si="116"/>
        <v>1.1026535433070866E-2</v>
      </c>
      <c r="D101" s="2">
        <f t="shared" si="120"/>
        <v>4.9877280360550724E-3</v>
      </c>
      <c r="E101" s="15">
        <f t="shared" si="121"/>
        <v>-0.49196573819572603</v>
      </c>
      <c r="F101">
        <f t="shared" si="122"/>
        <v>695</v>
      </c>
      <c r="G101">
        <v>6398</v>
      </c>
      <c r="H101">
        <f t="shared" si="107"/>
        <v>72</v>
      </c>
      <c r="I101">
        <v>1228341</v>
      </c>
      <c r="J101">
        <f t="shared" ref="J101" si="127">I101 - I100</f>
        <v>18729</v>
      </c>
      <c r="K101" s="2">
        <f t="shared" ref="K101" si="128">I101/I100 - 1</f>
        <v>1.5483477346454944E-2</v>
      </c>
      <c r="L101" s="2">
        <f t="shared" si="125"/>
        <v>3.7108227881894391E-2</v>
      </c>
      <c r="W101">
        <v>133639</v>
      </c>
      <c r="X101">
        <v>861</v>
      </c>
      <c r="Y101">
        <v>181</v>
      </c>
      <c r="AG101" s="2">
        <f t="shared" si="119"/>
        <v>0.11400498721446244</v>
      </c>
    </row>
    <row r="102" spans="1:33" x14ac:dyDescent="0.3">
      <c r="A102" s="1" cm="1">
        <f t="array" ref="A102">IF(OR(B102:L102=""), "", A101 + 1)</f>
        <v>43999</v>
      </c>
      <c r="B102">
        <f t="shared" si="33"/>
        <v>140670</v>
      </c>
      <c r="C102" s="11">
        <f t="shared" si="116"/>
        <v>1.1076377952755906E-2</v>
      </c>
      <c r="D102" s="2">
        <f t="shared" si="120"/>
        <v>4.520233938173579E-3</v>
      </c>
      <c r="E102" s="15">
        <f t="shared" si="121"/>
        <v>-0.73245315985629311</v>
      </c>
      <c r="F102">
        <f t="shared" si="122"/>
        <v>633</v>
      </c>
      <c r="G102">
        <v>6485</v>
      </c>
      <c r="H102">
        <f t="shared" si="107"/>
        <v>87</v>
      </c>
      <c r="I102">
        <v>1258328</v>
      </c>
      <c r="J102">
        <f t="shared" ref="J102" si="129">I102 - I101</f>
        <v>29987</v>
      </c>
      <c r="K102" s="2">
        <f t="shared" ref="K102" si="130">I102/I101 - 1</f>
        <v>2.4412602038033304E-2</v>
      </c>
      <c r="L102" s="2">
        <f t="shared" si="125"/>
        <v>2.1109147297162102E-2</v>
      </c>
      <c r="W102">
        <v>134185</v>
      </c>
      <c r="X102">
        <v>861</v>
      </c>
      <c r="Y102">
        <v>181</v>
      </c>
      <c r="AG102" s="2">
        <f t="shared" si="119"/>
        <v>0.11179120229383753</v>
      </c>
    </row>
    <row r="103" spans="1:33" x14ac:dyDescent="0.3">
      <c r="A103" s="1" cm="1">
        <f t="array" ref="A103">IF(OR(B103:L103=""), "", A102 + 1)</f>
        <v>44000</v>
      </c>
      <c r="B103">
        <f t="shared" si="33"/>
        <v>141315</v>
      </c>
      <c r="C103" s="11">
        <f t="shared" si="116"/>
        <v>1.1127165354330708E-2</v>
      </c>
      <c r="D103" s="2">
        <f t="shared" si="120"/>
        <v>4.5851994028578424E-3</v>
      </c>
      <c r="E103" s="15">
        <f t="shared" si="121"/>
        <v>-0.64545621201594572</v>
      </c>
      <c r="F103">
        <f t="shared" si="122"/>
        <v>645</v>
      </c>
      <c r="G103">
        <v>6537</v>
      </c>
      <c r="H103">
        <f t="shared" si="107"/>
        <v>52</v>
      </c>
      <c r="I103">
        <v>1283832</v>
      </c>
      <c r="J103">
        <f t="shared" ref="J103" si="131">I103 - I102</f>
        <v>25504</v>
      </c>
      <c r="K103" s="2">
        <f t="shared" ref="K103" si="132">I103/I102 - 1</f>
        <v>2.0268165375005642E-2</v>
      </c>
      <c r="L103" s="2">
        <f t="shared" si="125"/>
        <v>2.5290150564617316E-2</v>
      </c>
      <c r="W103">
        <v>134778</v>
      </c>
      <c r="X103" t="s">
        <v>18</v>
      </c>
      <c r="Y103" t="s">
        <v>18</v>
      </c>
      <c r="AG103" s="2">
        <f t="shared" si="119"/>
        <v>0.11007281326528705</v>
      </c>
    </row>
    <row r="104" spans="1:33" x14ac:dyDescent="0.3">
      <c r="A104" s="1" cm="1">
        <f t="array" ref="A104">IF(OR(B104:L104=""), "", A103 + 1)</f>
        <v>44001</v>
      </c>
      <c r="B104">
        <f t="shared" si="33"/>
        <v>142050</v>
      </c>
      <c r="C104" s="11">
        <f t="shared" si="116"/>
        <v>1.1185039370078741E-2</v>
      </c>
      <c r="D104" s="2">
        <f t="shared" si="120"/>
        <v>5.2011463751193698E-3</v>
      </c>
      <c r="E104" s="15">
        <f t="shared" si="121"/>
        <v>-0.60949834979003714</v>
      </c>
      <c r="F104">
        <f t="shared" si="122"/>
        <v>735</v>
      </c>
      <c r="G104">
        <v>6580</v>
      </c>
      <c r="H104">
        <f t="shared" si="107"/>
        <v>43</v>
      </c>
      <c r="I104">
        <v>1311003</v>
      </c>
      <c r="J104">
        <f t="shared" ref="J104" si="133">I104 - I103</f>
        <v>27171</v>
      </c>
      <c r="K104" s="2">
        <f t="shared" ref="K104" si="134">I104/I103 - 1</f>
        <v>2.1163984072682496E-2</v>
      </c>
      <c r="L104" s="2">
        <f t="shared" si="125"/>
        <v>2.7050899856464614E-2</v>
      </c>
      <c r="W104">
        <v>135470</v>
      </c>
      <c r="X104">
        <v>1000</v>
      </c>
      <c r="Y104">
        <v>204</v>
      </c>
      <c r="AG104" s="2">
        <f t="shared" si="119"/>
        <v>0.1083521548005611</v>
      </c>
    </row>
    <row r="105" spans="1:33" x14ac:dyDescent="0.3">
      <c r="A105" s="1" cm="1">
        <f t="array" ref="A105">IF(OR(B105:L105=""), "", A104 + 1)</f>
        <v>44002</v>
      </c>
      <c r="B105">
        <f t="shared" si="33"/>
        <v>142729</v>
      </c>
      <c r="C105" s="11">
        <f t="shared" si="116"/>
        <v>1.1238503937007874E-2</v>
      </c>
      <c r="D105" s="2">
        <f t="shared" si="120"/>
        <v>4.7800070397747696E-3</v>
      </c>
      <c r="E105" s="15">
        <f t="shared" si="121"/>
        <v>-0.61735610521169304</v>
      </c>
      <c r="F105">
        <f t="shared" si="122"/>
        <v>679</v>
      </c>
      <c r="G105">
        <v>6625</v>
      </c>
      <c r="H105">
        <f t="shared" si="107"/>
        <v>45</v>
      </c>
      <c r="I105">
        <v>1336968</v>
      </c>
      <c r="J105">
        <f t="shared" ref="J105" si="135">I105 - I104</f>
        <v>25965</v>
      </c>
      <c r="K105" s="2">
        <f t="shared" ref="K105" si="136">I105/I104 - 1</f>
        <v>1.9805446669458382E-2</v>
      </c>
      <c r="L105" s="2">
        <f t="shared" si="125"/>
        <v>2.615058732909686E-2</v>
      </c>
      <c r="W105">
        <v>136104</v>
      </c>
      <c r="X105">
        <v>1000</v>
      </c>
      <c r="Y105">
        <v>204</v>
      </c>
      <c r="AG105" s="2">
        <f t="shared" si="119"/>
        <v>0.10675573386947182</v>
      </c>
    </row>
    <row r="106" spans="1:33" x14ac:dyDescent="0.3">
      <c r="A106" s="1" cm="1">
        <f t="array" ref="A106">IF(OR(B106:L106=""), "", A105 + 1)</f>
        <v>44003</v>
      </c>
      <c r="B106">
        <f t="shared" si="33"/>
        <v>143409</v>
      </c>
      <c r="C106" s="11">
        <f t="shared" si="116"/>
        <v>1.1292047244094489E-2</v>
      </c>
      <c r="D106" s="2">
        <f t="shared" si="120"/>
        <v>4.764273553377274E-3</v>
      </c>
      <c r="E106" s="15">
        <f t="shared" si="121"/>
        <v>-0.57275111928988853</v>
      </c>
      <c r="F106">
        <f t="shared" si="122"/>
        <v>680</v>
      </c>
      <c r="G106">
        <v>6647</v>
      </c>
      <c r="H106">
        <f t="shared" si="107"/>
        <v>22</v>
      </c>
      <c r="I106">
        <v>1360784</v>
      </c>
      <c r="J106">
        <f t="shared" ref="J106" si="137">I106 - I105</f>
        <v>23816</v>
      </c>
      <c r="K106" s="2">
        <f t="shared" ref="K106" si="138">I106/I105 - 1</f>
        <v>1.7813440561030625E-2</v>
      </c>
      <c r="L106" s="2">
        <f t="shared" si="125"/>
        <v>2.8552233792408465E-2</v>
      </c>
      <c r="W106">
        <v>136762</v>
      </c>
      <c r="X106">
        <v>1000</v>
      </c>
      <c r="Y106">
        <v>204</v>
      </c>
      <c r="AG106" s="2">
        <f t="shared" si="119"/>
        <v>0.10538704158779057</v>
      </c>
    </row>
    <row r="107" spans="1:33" x14ac:dyDescent="0.3">
      <c r="A107" s="1" cm="1">
        <f t="array" ref="A107">IF(OR(B107:L107=""), "", A106 + 1)</f>
        <v>44004</v>
      </c>
      <c r="B107">
        <f t="shared" si="33"/>
        <v>143895</v>
      </c>
      <c r="C107" s="11">
        <f t="shared" si="116"/>
        <v>1.133031496062992E-2</v>
      </c>
      <c r="D107" s="2">
        <f t="shared" si="120"/>
        <v>3.3889086459009121E-3</v>
      </c>
      <c r="E107" s="15">
        <f t="shared" si="121"/>
        <v>-0.59667547980087499</v>
      </c>
      <c r="F107">
        <f t="shared" si="122"/>
        <v>486</v>
      </c>
      <c r="G107">
        <v>6671</v>
      </c>
      <c r="H107">
        <f t="shared" si="107"/>
        <v>24</v>
      </c>
      <c r="I107">
        <v>1379003</v>
      </c>
      <c r="J107">
        <f t="shared" ref="J107" si="139">I107 - I106</f>
        <v>18219</v>
      </c>
      <c r="K107" s="2">
        <f t="shared" ref="K107" si="140">I107/I106 - 1</f>
        <v>1.3388605392185671E-2</v>
      </c>
      <c r="L107" s="2">
        <f t="shared" si="125"/>
        <v>2.6675448707393381E-2</v>
      </c>
      <c r="W107">
        <v>137224</v>
      </c>
      <c r="X107">
        <v>1000</v>
      </c>
      <c r="Y107">
        <v>204</v>
      </c>
      <c r="AG107" s="2">
        <f t="shared" si="119"/>
        <v>0.10434712614838401</v>
      </c>
    </row>
    <row r="108" spans="1:33" x14ac:dyDescent="0.3">
      <c r="A108" s="1" cm="1">
        <f t="array" ref="A108">IF(OR(B108:L108=""), "", A107 + 1)</f>
        <v>44005</v>
      </c>
      <c r="B108">
        <f t="shared" si="33"/>
        <v>144532</v>
      </c>
      <c r="C108" s="11">
        <f t="shared" si="116"/>
        <v>1.1380472440944882E-2</v>
      </c>
      <c r="D108" s="2">
        <f t="shared" si="120"/>
        <v>4.4268390145592029E-3</v>
      </c>
      <c r="E108" s="15">
        <f t="shared" si="121"/>
        <v>-0.52624319163189592</v>
      </c>
      <c r="F108">
        <f t="shared" si="122"/>
        <v>637</v>
      </c>
      <c r="G108">
        <v>6707</v>
      </c>
      <c r="H108">
        <f t="shared" si="107"/>
        <v>36</v>
      </c>
      <c r="I108">
        <v>1399510</v>
      </c>
      <c r="J108">
        <f t="shared" ref="J108" si="141">I108 - I107</f>
        <v>20507</v>
      </c>
      <c r="K108" s="2">
        <f t="shared" ref="K108" si="142">I108/I107 - 1</f>
        <v>1.4870888605753585E-2</v>
      </c>
      <c r="L108" s="2">
        <f t="shared" si="125"/>
        <v>3.1062564002535719E-2</v>
      </c>
      <c r="W108">
        <v>137825</v>
      </c>
      <c r="X108">
        <v>1000</v>
      </c>
      <c r="Y108">
        <v>204</v>
      </c>
      <c r="AG108" s="2">
        <f t="shared" si="119"/>
        <v>0.1032732885081207</v>
      </c>
    </row>
    <row r="109" spans="1:33" x14ac:dyDescent="0.3">
      <c r="A109" s="1" cm="1">
        <f t="array" ref="A109">IF(OR(B109:L109=""), "", A108 + 1)</f>
        <v>44006</v>
      </c>
      <c r="B109">
        <f t="shared" si="33"/>
        <v>145310</v>
      </c>
      <c r="C109" s="11">
        <f t="shared" si="116"/>
        <v>1.1441732283464567E-2</v>
      </c>
      <c r="D109" s="2">
        <f t="shared" si="120"/>
        <v>5.3828909860791363E-3</v>
      </c>
      <c r="E109" s="15">
        <f t="shared" si="121"/>
        <v>-0.59033527929748997</v>
      </c>
      <c r="F109">
        <f t="shared" si="122"/>
        <v>778</v>
      </c>
      <c r="G109">
        <v>6770</v>
      </c>
      <c r="H109">
        <f t="shared" si="107"/>
        <v>63</v>
      </c>
      <c r="I109">
        <v>1428841</v>
      </c>
      <c r="J109">
        <f t="shared" ref="J109" si="143">I109 - I108</f>
        <v>29331</v>
      </c>
      <c r="K109" s="2">
        <f t="shared" ref="K109" si="144">I109/I108 - 1</f>
        <v>2.0958049603075457E-2</v>
      </c>
      <c r="L109" s="2">
        <f t="shared" si="125"/>
        <v>2.6524837202959325E-2</v>
      </c>
      <c r="W109">
        <v>138540</v>
      </c>
      <c r="X109">
        <v>1000</v>
      </c>
      <c r="Y109">
        <v>204</v>
      </c>
      <c r="AG109" s="2">
        <f t="shared" si="119"/>
        <v>0.10169780962332407</v>
      </c>
    </row>
    <row r="110" spans="1:33" x14ac:dyDescent="0.3">
      <c r="A110" s="1" cm="1">
        <f t="array" ref="A110">IF(OR(B110:L110=""), "", A109 + 1)</f>
        <v>44007</v>
      </c>
      <c r="B110">
        <f t="shared" si="33"/>
        <v>146244</v>
      </c>
      <c r="C110" s="11">
        <f t="shared" si="116"/>
        <v>1.1515275590551181E-2</v>
      </c>
      <c r="D110" s="2">
        <f t="shared" si="120"/>
        <v>6.4276374647305179E-3</v>
      </c>
      <c r="E110" s="15">
        <f t="shared" si="121"/>
        <v>-0.53783214079146335</v>
      </c>
      <c r="F110">
        <f t="shared" si="122"/>
        <v>934</v>
      </c>
      <c r="G110">
        <v>6810</v>
      </c>
      <c r="H110">
        <f t="shared" si="107"/>
        <v>40</v>
      </c>
      <c r="I110">
        <v>1460527</v>
      </c>
      <c r="J110">
        <f t="shared" ref="J110" si="145">I110 - I109</f>
        <v>31686</v>
      </c>
      <c r="K110" s="2">
        <f t="shared" ref="K110" si="146">I110/I109 - 1</f>
        <v>2.2176015385896752E-2</v>
      </c>
      <c r="L110" s="2">
        <f t="shared" si="125"/>
        <v>2.9476740516316356E-2</v>
      </c>
      <c r="W110">
        <v>139434</v>
      </c>
      <c r="X110">
        <v>1000</v>
      </c>
      <c r="Y110">
        <v>204</v>
      </c>
      <c r="AG110" s="2">
        <f t="shared" si="119"/>
        <v>0.10013098011882013</v>
      </c>
    </row>
    <row r="111" spans="1:33" x14ac:dyDescent="0.3">
      <c r="A111" s="1" cm="1">
        <f t="array" ref="A111">IF(OR(B111:L111=""), "", A110 + 1)</f>
        <v>44008</v>
      </c>
      <c r="B111">
        <f t="shared" si="33"/>
        <v>147138</v>
      </c>
      <c r="C111" s="11">
        <f t="shared" si="116"/>
        <v>1.1585669291338583E-2</v>
      </c>
      <c r="D111" s="2">
        <f t="shared" si="120"/>
        <v>6.113071305489548E-3</v>
      </c>
      <c r="E111" s="15">
        <f t="shared" si="121"/>
        <v>-0.53246153532630325</v>
      </c>
      <c r="F111">
        <f t="shared" si="122"/>
        <v>894</v>
      </c>
      <c r="G111">
        <v>6847</v>
      </c>
      <c r="H111">
        <f t="shared" si="107"/>
        <v>37</v>
      </c>
      <c r="I111">
        <v>1490952</v>
      </c>
      <c r="J111">
        <f t="shared" ref="J111" si="147">I111 - I110</f>
        <v>30425</v>
      </c>
      <c r="K111" s="2">
        <f t="shared" ref="K111" si="148">I111/I110 - 1</f>
        <v>2.0831521772620487E-2</v>
      </c>
      <c r="L111" s="2">
        <f t="shared" si="125"/>
        <v>2.9383730484798684E-2</v>
      </c>
      <c r="W111">
        <v>140291</v>
      </c>
      <c r="X111">
        <v>1053</v>
      </c>
      <c r="Y111">
        <v>201</v>
      </c>
      <c r="AG111" s="2">
        <f t="shared" si="119"/>
        <v>9.868728168311254E-2</v>
      </c>
    </row>
    <row r="112" spans="1:33" x14ac:dyDescent="0.3">
      <c r="A112" s="1" cm="1">
        <f t="array" ref="A112">IF(OR(B112:L112=""), "", A111 + 1)</f>
        <v>44009</v>
      </c>
      <c r="B112">
        <f t="shared" ref="B112:B119" si="149">W112 + G112</f>
        <v>147950</v>
      </c>
      <c r="C112" s="11">
        <f t="shared" si="116"/>
        <v>1.1649606299212599E-2</v>
      </c>
      <c r="D112" s="2">
        <f t="shared" si="120"/>
        <v>5.5186287702699843E-3</v>
      </c>
      <c r="E112" s="15">
        <f t="shared" si="121"/>
        <v>-0.56524385728398407</v>
      </c>
      <c r="F112">
        <f t="shared" si="122"/>
        <v>812</v>
      </c>
      <c r="G112">
        <v>6873</v>
      </c>
      <c r="H112">
        <f t="shared" si="107"/>
        <v>26</v>
      </c>
      <c r="I112">
        <v>1521189</v>
      </c>
      <c r="J112">
        <f t="shared" ref="J112" si="150">I112 - I111</f>
        <v>30237</v>
      </c>
      <c r="K112" s="2">
        <f t="shared" ref="K112" si="151">I112/I111 - 1</f>
        <v>2.028033095632864E-2</v>
      </c>
      <c r="L112" s="2">
        <f t="shared" si="125"/>
        <v>2.6854515990342956E-2</v>
      </c>
      <c r="W112">
        <v>141077</v>
      </c>
      <c r="X112">
        <v>1053</v>
      </c>
      <c r="Y112">
        <v>201</v>
      </c>
    </row>
    <row r="113" spans="1:25" x14ac:dyDescent="0.3">
      <c r="A113" s="1" cm="1">
        <f t="array" ref="A113">IF(OR(B113:L113=""), "", A112 + 1)</f>
        <v>44010</v>
      </c>
      <c r="B113">
        <f t="shared" si="149"/>
        <v>148611</v>
      </c>
      <c r="C113" s="11">
        <f t="shared" si="116"/>
        <v>1.1701653543307086E-2</v>
      </c>
      <c r="D113" s="2">
        <f t="shared" si="120"/>
        <v>4.4677255829672635E-3</v>
      </c>
      <c r="E113" s="15">
        <f t="shared" si="121"/>
        <v>-0.54410652004007642</v>
      </c>
      <c r="F113">
        <f t="shared" si="122"/>
        <v>661</v>
      </c>
      <c r="G113">
        <v>6888</v>
      </c>
      <c r="H113">
        <f t="shared" si="107"/>
        <v>15</v>
      </c>
      <c r="I113">
        <v>1544978</v>
      </c>
      <c r="J113">
        <f t="shared" ref="J113" si="152">I113 - I112</f>
        <v>23789</v>
      </c>
      <c r="K113" s="2">
        <f t="shared" ref="K113" si="153">I113/I112 - 1</f>
        <v>1.5638424942594265E-2</v>
      </c>
      <c r="L113" s="2">
        <f t="shared" si="125"/>
        <v>2.7785951490184538E-2</v>
      </c>
      <c r="W113">
        <v>141723</v>
      </c>
      <c r="X113">
        <v>1053</v>
      </c>
      <c r="Y113">
        <v>201</v>
      </c>
    </row>
    <row r="114" spans="1:25" x14ac:dyDescent="0.3">
      <c r="A114" s="1" cm="1">
        <f t="array" ref="A114">IF(OR(B114:L114=""), "", A113 + 1)</f>
        <v>44011</v>
      </c>
      <c r="B114">
        <f t="shared" si="149"/>
        <v>149363</v>
      </c>
      <c r="C114" s="11">
        <f t="shared" si="116"/>
        <v>1.1760866141732284E-2</v>
      </c>
      <c r="D114" s="2">
        <f t="shared" si="120"/>
        <v>5.0601906992080448E-3</v>
      </c>
      <c r="E114" s="15">
        <f t="shared" si="121"/>
        <v>-0.53695360515775636</v>
      </c>
      <c r="F114">
        <f t="shared" si="122"/>
        <v>752</v>
      </c>
      <c r="G114">
        <v>6902</v>
      </c>
      <c r="H114">
        <f t="shared" si="107"/>
        <v>14</v>
      </c>
      <c r="I114">
        <v>1571896</v>
      </c>
      <c r="J114">
        <f t="shared" ref="J114" si="154">I114 - I113</f>
        <v>26918</v>
      </c>
      <c r="K114" s="2">
        <f t="shared" ref="K114" si="155">I114/I113 - 1</f>
        <v>1.742290181478312E-2</v>
      </c>
      <c r="L114" s="2">
        <f t="shared" si="125"/>
        <v>2.7936696634222453E-2</v>
      </c>
      <c r="W114">
        <v>142461</v>
      </c>
      <c r="X114">
        <v>1053</v>
      </c>
      <c r="Y114">
        <v>201</v>
      </c>
    </row>
    <row r="115" spans="1:25" x14ac:dyDescent="0.3">
      <c r="A115" s="1" cm="1">
        <f t="array" ref="A115">IF(OR(B115:L115=""), "", A114 + 1)</f>
        <v>44012</v>
      </c>
      <c r="B115">
        <f t="shared" si="149"/>
        <v>150108</v>
      </c>
      <c r="C115" s="11">
        <f t="shared" si="116"/>
        <v>1.1819527559055118E-2</v>
      </c>
      <c r="D115" s="2">
        <f t="shared" si="120"/>
        <v>4.987848396189154E-3</v>
      </c>
      <c r="E115" s="15">
        <f t="shared" si="121"/>
        <v>-0.59799022150458303</v>
      </c>
      <c r="F115">
        <f t="shared" si="122"/>
        <v>745</v>
      </c>
      <c r="G115">
        <v>6923</v>
      </c>
      <c r="H115">
        <f t="shared" si="107"/>
        <v>21</v>
      </c>
      <c r="I115">
        <v>1602965</v>
      </c>
      <c r="J115">
        <f t="shared" ref="J115" si="156">I115 - I114</f>
        <v>31069</v>
      </c>
      <c r="K115" s="2">
        <f t="shared" ref="K115" si="157">I115/I114 - 1</f>
        <v>1.9765302539099361E-2</v>
      </c>
      <c r="L115" s="2">
        <f t="shared" si="125"/>
        <v>2.3978885706009204E-2</v>
      </c>
      <c r="W115">
        <v>143185</v>
      </c>
      <c r="X115">
        <v>1053</v>
      </c>
      <c r="Y115">
        <v>201</v>
      </c>
    </row>
    <row r="116" spans="1:25" x14ac:dyDescent="0.3">
      <c r="A116" s="1" cm="1">
        <f t="array" ref="A116">IF(OR(B116:L116=""), "", A115 + 1)</f>
        <v>44013</v>
      </c>
      <c r="B116">
        <f t="shared" si="149"/>
        <v>150964</v>
      </c>
      <c r="C116" s="11">
        <f t="shared" si="116"/>
        <v>1.1886929133858267E-2</v>
      </c>
      <c r="D116" s="2">
        <f t="shared" si="120"/>
        <v>5.7025608228742364E-3</v>
      </c>
      <c r="E116" s="15">
        <f t="shared" si="121"/>
        <v>-0.55870280121186688</v>
      </c>
      <c r="F116">
        <f t="shared" si="122"/>
        <v>856</v>
      </c>
      <c r="G116">
        <v>6951</v>
      </c>
      <c r="H116">
        <f t="shared" si="107"/>
        <v>28</v>
      </c>
      <c r="I116">
        <v>1636055</v>
      </c>
      <c r="J116">
        <f t="shared" ref="J116" si="158">I116 - I115</f>
        <v>33090</v>
      </c>
      <c r="K116" s="2">
        <f t="shared" ref="K116" si="159">I116/I115 - 1</f>
        <v>2.0642995948133569E-2</v>
      </c>
      <c r="L116" s="2">
        <f t="shared" si="125"/>
        <v>2.5868842550619522E-2</v>
      </c>
      <c r="W116">
        <v>144013</v>
      </c>
      <c r="X116">
        <v>1053</v>
      </c>
      <c r="Y116">
        <v>201</v>
      </c>
    </row>
    <row r="117" spans="1:25" x14ac:dyDescent="0.3">
      <c r="A117" s="1" cm="1">
        <f t="array" ref="A117">IF(OR(B117:L117=""), "", A116 + 1)</f>
        <v>44014</v>
      </c>
      <c r="B117">
        <f t="shared" si="149"/>
        <v>151869</v>
      </c>
      <c r="C117" s="11">
        <f t="shared" si="116"/>
        <v>1.1958188976377952E-2</v>
      </c>
      <c r="D117" s="2">
        <f t="shared" si="120"/>
        <v>5.9948067088841928E-3</v>
      </c>
      <c r="E117" s="15">
        <f t="shared" si="121"/>
        <v>-0.48932454281704924</v>
      </c>
      <c r="F117">
        <f t="shared" si="122"/>
        <v>905</v>
      </c>
      <c r="G117">
        <v>6987</v>
      </c>
      <c r="H117">
        <f t="shared" si="107"/>
        <v>36</v>
      </c>
      <c r="I117">
        <v>1666317</v>
      </c>
      <c r="J117">
        <f t="shared" ref="J117" si="160">I117 - I116</f>
        <v>30262</v>
      </c>
      <c r="K117" s="2">
        <f t="shared" ref="K117" si="161">I117/I116 - 1</f>
        <v>1.8496933171562091E-2</v>
      </c>
      <c r="L117" s="2">
        <f t="shared" si="125"/>
        <v>2.9905492036217039E-2</v>
      </c>
      <c r="W117">
        <v>144882</v>
      </c>
      <c r="X117" t="s">
        <v>18</v>
      </c>
      <c r="Y117" t="s">
        <v>18</v>
      </c>
    </row>
    <row r="118" spans="1:25" x14ac:dyDescent="0.3">
      <c r="A118" s="1" cm="1">
        <f t="array" ref="A118">IF(OR(B118:L118=""), "", A117 + 1)</f>
        <v>44015</v>
      </c>
      <c r="B118">
        <f t="shared" si="149"/>
        <v>152755</v>
      </c>
      <c r="C118" s="11">
        <f t="shared" si="116"/>
        <v>1.2027952755905512E-2</v>
      </c>
      <c r="D118" s="2">
        <f t="shared" si="120"/>
        <v>5.8339753340048706E-3</v>
      </c>
      <c r="E118" s="15">
        <f t="shared" si="121"/>
        <v>-0.54779975623177612</v>
      </c>
      <c r="F118">
        <f t="shared" si="122"/>
        <v>886</v>
      </c>
      <c r="G118">
        <v>7005</v>
      </c>
      <c r="H118">
        <f t="shared" si="107"/>
        <v>18</v>
      </c>
      <c r="I118">
        <v>1700635</v>
      </c>
      <c r="J118">
        <f t="shared" ref="J118" si="162">I118 - I117</f>
        <v>34318</v>
      </c>
      <c r="K118" s="2">
        <f t="shared" ref="K118" si="163">I118/I117 - 1</f>
        <v>2.0595120856355731E-2</v>
      </c>
      <c r="L118" s="2">
        <f t="shared" si="125"/>
        <v>2.5817355323736815E-2</v>
      </c>
      <c r="W118">
        <v>145750</v>
      </c>
      <c r="X118">
        <v>1122</v>
      </c>
      <c r="Y118">
        <v>210</v>
      </c>
    </row>
    <row r="119" spans="1:25" x14ac:dyDescent="0.3">
      <c r="A119" s="1" cm="1">
        <f t="array" ref="A119">IF(OR(B119:L119=""), "", A118 + 1)</f>
        <v>44016</v>
      </c>
      <c r="B119">
        <f t="shared" si="149"/>
        <v>153626</v>
      </c>
      <c r="C119" s="11">
        <f t="shared" si="116"/>
        <v>1.2096535433070866E-2</v>
      </c>
      <c r="D119" s="2">
        <f t="shared" si="120"/>
        <v>5.701941016660772E-3</v>
      </c>
      <c r="E119" s="15">
        <f t="shared" si="121"/>
        <v>-0.54274518296965668</v>
      </c>
      <c r="F119">
        <f t="shared" si="122"/>
        <v>871</v>
      </c>
      <c r="G119">
        <v>7014</v>
      </c>
      <c r="H119">
        <f t="shared" si="107"/>
        <v>9</v>
      </c>
      <c r="I119">
        <v>1734471</v>
      </c>
      <c r="J119">
        <f t="shared" ref="J119" si="164">I119 - I118</f>
        <v>33836</v>
      </c>
      <c r="K119" s="2">
        <f t="shared" ref="K119" si="165">I119/I118 - 1</f>
        <v>1.9896097634118926E-2</v>
      </c>
      <c r="L119" s="2">
        <f t="shared" si="125"/>
        <v>2.5741813453126847E-2</v>
      </c>
      <c r="W119">
        <v>146612</v>
      </c>
      <c r="X119">
        <v>1122</v>
      </c>
      <c r="Y119">
        <v>210</v>
      </c>
    </row>
    <row r="120" spans="1:25" x14ac:dyDescent="0.3">
      <c r="A120" s="1" cm="1">
        <f t="array" ref="A120">IF(OR(B120:L120=""), "", A119 + 1)</f>
        <v>44017</v>
      </c>
      <c r="B120">
        <f t="shared" ref="B120:B238" si="166">W120 + G120</f>
        <v>154271</v>
      </c>
      <c r="C120" s="11">
        <f t="shared" si="116"/>
        <v>1.2147322834645669E-2</v>
      </c>
      <c r="D120" s="2">
        <f t="shared" si="120"/>
        <v>4.1985080650410733E-3</v>
      </c>
      <c r="E120" s="18">
        <f t="shared" ref="E120:E151" si="167">IFERROR(LOG(D120/K120), FALSE)</f>
        <v>-0.57286534491314156</v>
      </c>
      <c r="F120">
        <f t="shared" si="122"/>
        <v>645</v>
      </c>
      <c r="G120">
        <v>7020</v>
      </c>
      <c r="H120">
        <f t="shared" si="107"/>
        <v>6</v>
      </c>
      <c r="I120">
        <v>1761706</v>
      </c>
      <c r="J120">
        <f t="shared" ref="J120:J238" si="168">I120 - I119</f>
        <v>27235</v>
      </c>
      <c r="K120" s="2">
        <f t="shared" ref="K120:K238" si="169">I120/I119 - 1</f>
        <v>1.5702193925410057E-2</v>
      </c>
      <c r="L120" s="2">
        <f t="shared" si="125"/>
        <v>2.3682761152928219E-2</v>
      </c>
      <c r="W120">
        <v>147251</v>
      </c>
      <c r="X120">
        <v>1122</v>
      </c>
      <c r="Y120">
        <v>210</v>
      </c>
    </row>
    <row r="121" spans="1:25" x14ac:dyDescent="0.3">
      <c r="A121" s="1" cm="1">
        <f t="array" ref="A121">IF(OR(B121:L121=""), "", A120 + 1)</f>
        <v>44018</v>
      </c>
      <c r="B121">
        <f t="shared" si="166"/>
        <v>154891</v>
      </c>
      <c r="C121" s="11">
        <f t="shared" si="116"/>
        <v>1.2196141732283465E-2</v>
      </c>
      <c r="D121" s="2">
        <f t="shared" si="120"/>
        <v>4.0189018026719481E-3</v>
      </c>
      <c r="E121" s="18">
        <f t="shared" si="167"/>
        <v>-0.47494087480426894</v>
      </c>
      <c r="F121">
        <f t="shared" si="122"/>
        <v>620</v>
      </c>
      <c r="G121">
        <v>7026</v>
      </c>
      <c r="H121">
        <f t="shared" si="107"/>
        <v>6</v>
      </c>
      <c r="I121">
        <v>1782840</v>
      </c>
      <c r="J121">
        <f t="shared" si="168"/>
        <v>21134</v>
      </c>
      <c r="K121" s="2">
        <f t="shared" si="169"/>
        <v>1.19963262882683E-2</v>
      </c>
      <c r="L121" s="2">
        <f t="shared" si="125"/>
        <v>2.9336613986940475E-2</v>
      </c>
      <c r="W121">
        <v>147865</v>
      </c>
      <c r="X121">
        <v>1122</v>
      </c>
      <c r="Y121">
        <v>210</v>
      </c>
    </row>
    <row r="122" spans="1:25" x14ac:dyDescent="0.3">
      <c r="A122" s="1" cm="1">
        <f t="array" ref="A122">IF(OR(B122:L122=""), "", A121 + 1)</f>
        <v>44019</v>
      </c>
      <c r="B122">
        <f t="shared" si="166"/>
        <v>155515</v>
      </c>
      <c r="C122" s="11">
        <f t="shared" si="116"/>
        <v>1.2245275590551181E-2</v>
      </c>
      <c r="D122" s="2">
        <f t="shared" si="120"/>
        <v>4.028639494870534E-3</v>
      </c>
      <c r="E122" s="18">
        <f t="shared" si="167"/>
        <v>-0.57499646811077365</v>
      </c>
      <c r="F122">
        <f t="shared" si="122"/>
        <v>624</v>
      </c>
      <c r="G122">
        <v>7063</v>
      </c>
      <c r="H122">
        <f t="shared" si="107"/>
        <v>37</v>
      </c>
      <c r="I122">
        <v>1809834</v>
      </c>
      <c r="J122">
        <f t="shared" si="168"/>
        <v>26994</v>
      </c>
      <c r="K122" s="2">
        <f t="shared" si="169"/>
        <v>1.5141010971259306E-2</v>
      </c>
      <c r="L122" s="2">
        <f t="shared" si="125"/>
        <v>2.311624805512336E-2</v>
      </c>
      <c r="W122">
        <v>148452</v>
      </c>
      <c r="X122">
        <v>1122</v>
      </c>
      <c r="Y122">
        <v>210</v>
      </c>
    </row>
    <row r="123" spans="1:25" x14ac:dyDescent="0.3">
      <c r="A123" s="1" cm="1">
        <f t="array" ref="A123">IF(OR(B123:L123=""), "", A122 + 1)</f>
        <v>44020</v>
      </c>
      <c r="B123">
        <f t="shared" si="166"/>
        <v>156531</v>
      </c>
      <c r="C123" s="11">
        <f t="shared" si="116"/>
        <v>1.2325275590551181E-2</v>
      </c>
      <c r="D123" s="2">
        <f t="shared" si="120"/>
        <v>6.5331318522328097E-3</v>
      </c>
      <c r="E123" s="18">
        <f t="shared" si="167"/>
        <v>-0.4423450381997332</v>
      </c>
      <c r="F123">
        <f t="shared" si="122"/>
        <v>1016</v>
      </c>
      <c r="G123">
        <v>7099</v>
      </c>
      <c r="H123">
        <f t="shared" si="107"/>
        <v>36</v>
      </c>
      <c r="I123">
        <v>1842576</v>
      </c>
      <c r="J123">
        <f t="shared" si="168"/>
        <v>32742</v>
      </c>
      <c r="K123" s="2">
        <f t="shared" si="169"/>
        <v>1.809116195186955E-2</v>
      </c>
      <c r="L123" s="2">
        <f t="shared" si="125"/>
        <v>3.1030480728116792E-2</v>
      </c>
      <c r="W123">
        <v>149432</v>
      </c>
      <c r="X123">
        <v>1122</v>
      </c>
      <c r="Y123">
        <v>210</v>
      </c>
    </row>
    <row r="124" spans="1:25" x14ac:dyDescent="0.3">
      <c r="A124" s="1" cm="1">
        <f t="array" ref="A124">IF(OR(B124:L124=""), "", A123 + 1)</f>
        <v>44021</v>
      </c>
      <c r="B124">
        <f t="shared" si="166"/>
        <v>157569</v>
      </c>
      <c r="C124" s="11">
        <f t="shared" si="116"/>
        <v>1.2407007874015748E-2</v>
      </c>
      <c r="D124" s="2">
        <f t="shared" si="120"/>
        <v>6.6312743162695309E-3</v>
      </c>
      <c r="E124" s="18">
        <f t="shared" si="167"/>
        <v>-0.47144615868533929</v>
      </c>
      <c r="F124">
        <f t="shared" si="122"/>
        <v>1038</v>
      </c>
      <c r="G124">
        <v>7119</v>
      </c>
      <c r="H124">
        <f t="shared" si="107"/>
        <v>20</v>
      </c>
      <c r="I124">
        <v>1878756</v>
      </c>
      <c r="J124">
        <f t="shared" si="168"/>
        <v>36180</v>
      </c>
      <c r="K124" s="2">
        <f t="shared" si="169"/>
        <v>1.9635553703076569E-2</v>
      </c>
      <c r="L124" s="2">
        <f t="shared" si="125"/>
        <v>2.8689883913764511E-2</v>
      </c>
      <c r="W124">
        <v>150450</v>
      </c>
      <c r="X124">
        <v>1122</v>
      </c>
      <c r="Y124">
        <v>210</v>
      </c>
    </row>
    <row r="125" spans="1:25" x14ac:dyDescent="0.3">
      <c r="A125" s="1" cm="1">
        <f t="array" ref="A125">IF(OR(B125:L125=""), "", A124 + 1)</f>
        <v>44022</v>
      </c>
      <c r="B125">
        <f t="shared" si="166"/>
        <v>158911</v>
      </c>
      <c r="C125" s="11">
        <f t="shared" si="116"/>
        <v>1.2512677165354331E-2</v>
      </c>
      <c r="D125" s="2">
        <f t="shared" si="120"/>
        <v>8.5169037056782582E-3</v>
      </c>
      <c r="E125" s="18">
        <f t="shared" si="167"/>
        <v>-0.31419070287693612</v>
      </c>
      <c r="F125">
        <f t="shared" si="122"/>
        <v>1342</v>
      </c>
      <c r="G125">
        <v>7144</v>
      </c>
      <c r="H125">
        <f t="shared" si="107"/>
        <v>25</v>
      </c>
      <c r="I125">
        <v>1911743</v>
      </c>
      <c r="J125">
        <f t="shared" si="168"/>
        <v>32987</v>
      </c>
      <c r="K125" s="2">
        <f t="shared" si="169"/>
        <v>1.7557894692019627E-2</v>
      </c>
      <c r="L125" s="2">
        <f t="shared" si="125"/>
        <v>4.0682693182162673E-2</v>
      </c>
      <c r="W125">
        <v>151767</v>
      </c>
      <c r="X125">
        <v>1132</v>
      </c>
      <c r="Y125">
        <v>201</v>
      </c>
    </row>
    <row r="126" spans="1:25" x14ac:dyDescent="0.3">
      <c r="A126" s="1" cm="1">
        <f t="array" ref="A126">IF(OR(B126:L126=""), "", A125 + 1)</f>
        <v>44023</v>
      </c>
      <c r="B126">
        <f t="shared" si="166"/>
        <v>160130</v>
      </c>
      <c r="C126" s="11">
        <f t="shared" si="116"/>
        <v>1.2608661417322834E-2</v>
      </c>
      <c r="D126" s="2">
        <f t="shared" si="120"/>
        <v>7.6709604747311477E-3</v>
      </c>
      <c r="E126" s="18">
        <f t="shared" si="167"/>
        <v>-0.34352790180370502</v>
      </c>
      <c r="F126">
        <f t="shared" si="122"/>
        <v>1219</v>
      </c>
      <c r="G126">
        <v>7168</v>
      </c>
      <c r="H126">
        <f t="shared" si="107"/>
        <v>24</v>
      </c>
      <c r="I126">
        <v>1944088</v>
      </c>
      <c r="J126">
        <f t="shared" si="168"/>
        <v>32345</v>
      </c>
      <c r="K126" s="2">
        <f t="shared" si="169"/>
        <v>1.6919115173953836E-2</v>
      </c>
      <c r="L126" s="2">
        <f t="shared" si="125"/>
        <v>3.7687432369763491E-2</v>
      </c>
      <c r="W126">
        <v>152962</v>
      </c>
      <c r="X126">
        <v>1132</v>
      </c>
      <c r="Y126">
        <v>201</v>
      </c>
    </row>
    <row r="127" spans="1:25" x14ac:dyDescent="0.3">
      <c r="A127" s="1" cm="1">
        <f t="array" ref="A127">IF(OR(B127:L127=""), "", A126 + 1)</f>
        <v>44024</v>
      </c>
      <c r="B127">
        <f t="shared" si="166"/>
        <v>161103</v>
      </c>
      <c r="C127" s="11">
        <f t="shared" si="116"/>
        <v>1.2685275590551182E-2</v>
      </c>
      <c r="D127" s="2">
        <f t="shared" si="120"/>
        <v>6.0763129956908912E-3</v>
      </c>
      <c r="E127" s="18">
        <f t="shared" si="167"/>
        <v>-0.51752655367805467</v>
      </c>
      <c r="F127">
        <f t="shared" si="122"/>
        <v>973</v>
      </c>
      <c r="G127">
        <v>7187</v>
      </c>
      <c r="H127">
        <f t="shared" si="107"/>
        <v>19</v>
      </c>
      <c r="I127">
        <v>1982982</v>
      </c>
      <c r="J127">
        <f t="shared" si="168"/>
        <v>38894</v>
      </c>
      <c r="K127" s="2">
        <f t="shared" si="169"/>
        <v>2.0006296011291669E-2</v>
      </c>
      <c r="L127" s="2">
        <f t="shared" si="125"/>
        <v>2.5016712089268266E-2</v>
      </c>
      <c r="W127">
        <v>153916</v>
      </c>
      <c r="X127">
        <v>1132</v>
      </c>
      <c r="Y127">
        <v>201</v>
      </c>
    </row>
    <row r="128" spans="1:25" x14ac:dyDescent="0.3">
      <c r="A128" s="1" cm="1">
        <f t="array" ref="A128">IF(OR(B128:L128=""), "", A127 + 1)</f>
        <v>44025</v>
      </c>
      <c r="B128">
        <f t="shared" si="166"/>
        <v>161992</v>
      </c>
      <c r="C128" s="11">
        <f t="shared" si="116"/>
        <v>1.2755275590551181E-2</v>
      </c>
      <c r="D128" s="2">
        <f t="shared" si="120"/>
        <v>5.5182088477558899E-3</v>
      </c>
      <c r="E128" s="18">
        <f t="shared" si="167"/>
        <v>-0.43817803254361498</v>
      </c>
      <c r="F128">
        <f t="shared" si="122"/>
        <v>889</v>
      </c>
      <c r="G128">
        <v>7193</v>
      </c>
      <c r="H128">
        <f t="shared" si="107"/>
        <v>6</v>
      </c>
      <c r="I128">
        <v>2012994</v>
      </c>
      <c r="J128">
        <f t="shared" si="168"/>
        <v>30012</v>
      </c>
      <c r="K128" s="2">
        <f t="shared" si="169"/>
        <v>1.5134781858836766E-2</v>
      </c>
      <c r="L128" s="2">
        <f t="shared" si="125"/>
        <v>2.962148473943756E-2</v>
      </c>
      <c r="W128">
        <v>154799</v>
      </c>
      <c r="X128">
        <v>1132</v>
      </c>
      <c r="Y128">
        <v>201</v>
      </c>
    </row>
    <row r="129" spans="1:25" x14ac:dyDescent="0.3">
      <c r="A129" s="1" cm="1">
        <f t="array" ref="A129">IF(OR(B129:L129=""), "", A128 + 1)</f>
        <v>44026</v>
      </c>
      <c r="B129">
        <f t="shared" si="166"/>
        <v>162724</v>
      </c>
      <c r="C129" s="11">
        <f t="shared" si="116"/>
        <v>1.2812913385826772E-2</v>
      </c>
      <c r="D129" s="2">
        <f t="shared" si="120"/>
        <v>4.5187416662550994E-3</v>
      </c>
      <c r="E129" s="18">
        <f t="shared" si="167"/>
        <v>-0.49516121159886267</v>
      </c>
      <c r="F129">
        <f t="shared" si="122"/>
        <v>732</v>
      </c>
      <c r="G129">
        <v>7218</v>
      </c>
      <c r="H129">
        <f t="shared" si="107"/>
        <v>25</v>
      </c>
      <c r="I129">
        <v>2041440</v>
      </c>
      <c r="J129">
        <f t="shared" si="168"/>
        <v>28446</v>
      </c>
      <c r="K129" s="2">
        <f t="shared" si="169"/>
        <v>1.4131189660773869E-2</v>
      </c>
      <c r="L129" s="2">
        <f t="shared" si="125"/>
        <v>2.5732967728327356E-2</v>
      </c>
      <c r="W129">
        <v>155506</v>
      </c>
      <c r="X129">
        <v>1132</v>
      </c>
      <c r="Y129">
        <v>201</v>
      </c>
    </row>
    <row r="130" spans="1:25" x14ac:dyDescent="0.3">
      <c r="A130" s="1" cm="1">
        <f t="array" ref="A130">IF(OR(B130:L130=""), "", A129 + 1)</f>
        <v>44027</v>
      </c>
      <c r="B130">
        <f t="shared" si="166"/>
        <v>163919</v>
      </c>
      <c r="C130" s="11">
        <f t="shared" ref="C130:C161" si="170">B130/$A$1</f>
        <v>1.2907007874015749E-2</v>
      </c>
      <c r="D130" s="2">
        <f t="shared" si="120"/>
        <v>7.3437231139843462E-3</v>
      </c>
      <c r="E130" s="18">
        <f t="shared" si="167"/>
        <v>-0.40576683271149849</v>
      </c>
      <c r="F130">
        <f t="shared" si="122"/>
        <v>1195</v>
      </c>
      <c r="G130">
        <v>7226</v>
      </c>
      <c r="H130">
        <f t="shared" si="107"/>
        <v>8</v>
      </c>
      <c r="I130">
        <v>2079601</v>
      </c>
      <c r="J130">
        <f t="shared" si="168"/>
        <v>38161</v>
      </c>
      <c r="K130" s="2">
        <f t="shared" si="169"/>
        <v>1.8693177364997204E-2</v>
      </c>
      <c r="L130" s="2">
        <f t="shared" si="125"/>
        <v>3.1314693011189436E-2</v>
      </c>
      <c r="W130">
        <v>156693</v>
      </c>
      <c r="X130">
        <v>1132</v>
      </c>
      <c r="Y130">
        <v>201</v>
      </c>
    </row>
    <row r="131" spans="1:25" x14ac:dyDescent="0.3">
      <c r="A131" s="1" cm="1">
        <f t="array" ref="A131">IF(OR(B131:L131=""), "", A130 + 1)</f>
        <v>44028</v>
      </c>
      <c r="B131">
        <f t="shared" si="166"/>
        <v>165201</v>
      </c>
      <c r="C131" s="11">
        <f t="shared" si="170"/>
        <v>1.3007952755905512E-2</v>
      </c>
      <c r="D131" s="2">
        <f t="shared" ref="D131:D162" si="171">B131/B130 - 1</f>
        <v>7.8209359500729381E-3</v>
      </c>
      <c r="E131" s="18">
        <f t="shared" si="167"/>
        <v>-0.42229030375784904</v>
      </c>
      <c r="F131">
        <f t="shared" ref="F131:F162" si="172">B131 - B130</f>
        <v>1282</v>
      </c>
      <c r="G131">
        <v>7251</v>
      </c>
      <c r="H131">
        <f t="shared" si="107"/>
        <v>25</v>
      </c>
      <c r="I131">
        <v>2122607</v>
      </c>
      <c r="J131">
        <f t="shared" si="168"/>
        <v>43006</v>
      </c>
      <c r="K131" s="2">
        <f t="shared" si="169"/>
        <v>2.0679928505516143E-2</v>
      </c>
      <c r="L131" s="2">
        <f t="shared" ref="L131:L162" si="173">(B131 - B130)/(I131 - I130)</f>
        <v>2.9809793982235037E-2</v>
      </c>
      <c r="W131">
        <v>157950</v>
      </c>
      <c r="X131">
        <v>1132</v>
      </c>
      <c r="Y131">
        <v>201</v>
      </c>
    </row>
    <row r="132" spans="1:25" x14ac:dyDescent="0.3">
      <c r="A132" s="1" cm="1">
        <f t="array" ref="A132">IF(OR(B132:L132=""), "", A131 + 1)</f>
        <v>44029</v>
      </c>
      <c r="B132">
        <f t="shared" si="166"/>
        <v>166606</v>
      </c>
      <c r="C132" s="11">
        <f t="shared" si="170"/>
        <v>1.3118582677165353E-2</v>
      </c>
      <c r="D132" s="2">
        <f t="shared" si="171"/>
        <v>8.5047911332256643E-3</v>
      </c>
      <c r="E132" s="18">
        <f t="shared" si="167"/>
        <v>-0.3838686804920744</v>
      </c>
      <c r="F132">
        <f t="shared" si="172"/>
        <v>1405</v>
      </c>
      <c r="G132">
        <v>7272</v>
      </c>
      <c r="H132">
        <f t="shared" si="107"/>
        <v>21</v>
      </c>
      <c r="I132">
        <v>2166299</v>
      </c>
      <c r="J132">
        <f t="shared" si="168"/>
        <v>43692</v>
      </c>
      <c r="K132" s="2">
        <f t="shared" si="169"/>
        <v>2.058412131873677E-2</v>
      </c>
      <c r="L132" s="2">
        <f t="shared" si="173"/>
        <v>3.2156916598004209E-2</v>
      </c>
      <c r="W132">
        <v>159334</v>
      </c>
      <c r="X132">
        <v>1175</v>
      </c>
      <c r="Y132">
        <v>193</v>
      </c>
    </row>
    <row r="133" spans="1:25" x14ac:dyDescent="0.3">
      <c r="A133" s="1" cm="1">
        <f t="array" ref="A133">IF(OR(B133:L133=""), "", A132 + 1)</f>
        <v>44030</v>
      </c>
      <c r="B133">
        <f t="shared" si="166"/>
        <v>167900</v>
      </c>
      <c r="C133" s="11">
        <f t="shared" si="170"/>
        <v>1.3220472440944882E-2</v>
      </c>
      <c r="D133" s="2">
        <f t="shared" si="171"/>
        <v>7.7668271250734833E-3</v>
      </c>
      <c r="E133" s="18">
        <f t="shared" si="167"/>
        <v>-0.43772946666024032</v>
      </c>
      <c r="F133">
        <f t="shared" si="172"/>
        <v>1294</v>
      </c>
      <c r="G133">
        <v>7290</v>
      </c>
      <c r="H133">
        <f t="shared" si="107"/>
        <v>18</v>
      </c>
      <c r="I133">
        <v>2212398</v>
      </c>
      <c r="J133">
        <f t="shared" si="168"/>
        <v>46099</v>
      </c>
      <c r="K133" s="2">
        <f t="shared" si="169"/>
        <v>2.1280072603089506E-2</v>
      </c>
      <c r="L133" s="2">
        <f t="shared" si="173"/>
        <v>2.8070023210915639E-2</v>
      </c>
      <c r="W133">
        <v>160610</v>
      </c>
      <c r="X133">
        <v>1175</v>
      </c>
      <c r="Y133">
        <v>193</v>
      </c>
    </row>
    <row r="134" spans="1:25" x14ac:dyDescent="0.3">
      <c r="A134" s="1" cm="1">
        <f t="array" ref="A134">IF(OR(B134:L134=""), "", A133 + 1)</f>
        <v>44031</v>
      </c>
      <c r="B134">
        <f t="shared" si="166"/>
        <v>168870</v>
      </c>
      <c r="C134" s="11">
        <f t="shared" si="170"/>
        <v>1.3296850393700788E-2</v>
      </c>
      <c r="D134" s="2">
        <f t="shared" si="171"/>
        <v>5.7772483621203463E-3</v>
      </c>
      <c r="E134" s="18">
        <f t="shared" si="167"/>
        <v>-0.40009658397528763</v>
      </c>
      <c r="F134">
        <f t="shared" si="172"/>
        <v>970</v>
      </c>
      <c r="G134">
        <v>7295</v>
      </c>
      <c r="H134">
        <f t="shared" si="107"/>
        <v>5</v>
      </c>
      <c r="I134">
        <v>2244511</v>
      </c>
      <c r="J134">
        <f t="shared" si="168"/>
        <v>32113</v>
      </c>
      <c r="K134" s="2">
        <f t="shared" si="169"/>
        <v>1.4515019449484301E-2</v>
      </c>
      <c r="L134" s="2">
        <f t="shared" si="173"/>
        <v>3.0205835642886057E-2</v>
      </c>
      <c r="W134">
        <v>161575</v>
      </c>
      <c r="X134">
        <v>1175</v>
      </c>
      <c r="Y134">
        <v>193</v>
      </c>
    </row>
    <row r="135" spans="1:25" x14ac:dyDescent="0.3">
      <c r="A135" s="1" cm="1">
        <f t="array" ref="A135">IF(OR(B135:L135=""), "", A134 + 1)</f>
        <v>44032</v>
      </c>
      <c r="B135">
        <f t="shared" si="166"/>
        <v>170049</v>
      </c>
      <c r="C135" s="11">
        <f t="shared" si="170"/>
        <v>1.3389685039370079E-2</v>
      </c>
      <c r="D135" s="2">
        <f t="shared" si="171"/>
        <v>6.9817019008704406E-3</v>
      </c>
      <c r="E135" s="18">
        <f t="shared" si="167"/>
        <v>-0.34396795447198064</v>
      </c>
      <c r="F135">
        <f t="shared" si="172"/>
        <v>1179</v>
      </c>
      <c r="G135">
        <v>7301</v>
      </c>
      <c r="H135">
        <f t="shared" si="107"/>
        <v>6</v>
      </c>
      <c r="I135">
        <v>2279109</v>
      </c>
      <c r="J135">
        <f t="shared" si="168"/>
        <v>34598</v>
      </c>
      <c r="K135" s="2">
        <f t="shared" si="169"/>
        <v>1.5414493401903595E-2</v>
      </c>
      <c r="L135" s="2">
        <f t="shared" si="173"/>
        <v>3.4077114284062661E-2</v>
      </c>
      <c r="W135">
        <v>162748</v>
      </c>
      <c r="X135">
        <v>1175</v>
      </c>
      <c r="Y135">
        <v>193</v>
      </c>
    </row>
    <row r="136" spans="1:25" x14ac:dyDescent="0.3">
      <c r="A136" s="1" cm="1">
        <f t="array" ref="A136">IF(OR(B136:L136=""), "", A135 + 1)</f>
        <v>44033</v>
      </c>
      <c r="B136">
        <f t="shared" si="166"/>
        <v>171027</v>
      </c>
      <c r="C136" s="11">
        <f t="shared" si="170"/>
        <v>1.3466692913385828E-2</v>
      </c>
      <c r="D136" s="2">
        <f t="shared" si="171"/>
        <v>5.7512834535928814E-3</v>
      </c>
      <c r="E136" s="18">
        <f t="shared" si="167"/>
        <v>-0.35588410469447812</v>
      </c>
      <c r="F136">
        <f t="shared" si="172"/>
        <v>978</v>
      </c>
      <c r="G136">
        <v>7324</v>
      </c>
      <c r="H136">
        <f t="shared" si="107"/>
        <v>23</v>
      </c>
      <c r="I136">
        <v>2308854</v>
      </c>
      <c r="J136">
        <f t="shared" si="168"/>
        <v>29745</v>
      </c>
      <c r="K136" s="2">
        <f t="shared" si="169"/>
        <v>1.3051152884745676E-2</v>
      </c>
      <c r="L136" s="2">
        <f t="shared" si="173"/>
        <v>3.2879475542107919E-2</v>
      </c>
      <c r="W136">
        <v>163703</v>
      </c>
      <c r="X136">
        <v>1175</v>
      </c>
      <c r="Y136">
        <v>193</v>
      </c>
    </row>
    <row r="137" spans="1:25" x14ac:dyDescent="0.3">
      <c r="A137" s="1" cm="1">
        <f t="array" ref="A137">IF(OR(B137:L137=""), "", A136 + 1)</f>
        <v>44034</v>
      </c>
      <c r="B137">
        <f t="shared" si="166"/>
        <v>172648</v>
      </c>
      <c r="C137" s="11">
        <f t="shared" si="170"/>
        <v>1.3594330708661418E-2</v>
      </c>
      <c r="D137" s="2">
        <f t="shared" si="171"/>
        <v>9.4780356318007186E-3</v>
      </c>
      <c r="E137" s="18">
        <f t="shared" si="167"/>
        <v>-0.25794213897843976</v>
      </c>
      <c r="F137">
        <f t="shared" si="172"/>
        <v>1621</v>
      </c>
      <c r="G137">
        <v>7347</v>
      </c>
      <c r="H137">
        <f t="shared" si="107"/>
        <v>23</v>
      </c>
      <c r="I137">
        <v>2348487</v>
      </c>
      <c r="J137">
        <f t="shared" si="168"/>
        <v>39633</v>
      </c>
      <c r="K137" s="2">
        <f t="shared" si="169"/>
        <v>1.7165658807356321E-2</v>
      </c>
      <c r="L137" s="2">
        <f t="shared" si="173"/>
        <v>4.0900259884439738E-2</v>
      </c>
      <c r="W137">
        <v>165301</v>
      </c>
      <c r="X137">
        <v>1175</v>
      </c>
      <c r="Y137">
        <v>193</v>
      </c>
    </row>
    <row r="138" spans="1:25" x14ac:dyDescent="0.3">
      <c r="A138" s="1" cm="1">
        <f t="array" ref="A138">IF(OR(B138:L138=""), "", A137 + 1)</f>
        <v>44035</v>
      </c>
      <c r="B138">
        <f t="shared" si="166"/>
        <v>174292</v>
      </c>
      <c r="C138" s="11">
        <f t="shared" si="170"/>
        <v>1.3723779527559056E-2</v>
      </c>
      <c r="D138" s="2">
        <f t="shared" si="171"/>
        <v>9.5222649552846317E-3</v>
      </c>
      <c r="E138" s="18">
        <f t="shared" si="167"/>
        <v>-0.24932771627996969</v>
      </c>
      <c r="F138">
        <f t="shared" si="172"/>
        <v>1644</v>
      </c>
      <c r="G138">
        <v>7367</v>
      </c>
      <c r="H138">
        <f t="shared" si="107"/>
        <v>20</v>
      </c>
      <c r="I138">
        <v>2388193</v>
      </c>
      <c r="J138">
        <f t="shared" si="168"/>
        <v>39706</v>
      </c>
      <c r="K138" s="2">
        <f t="shared" si="169"/>
        <v>1.6907055478697641E-2</v>
      </c>
      <c r="L138" s="2">
        <f t="shared" si="173"/>
        <v>4.1404321764972551E-2</v>
      </c>
      <c r="W138">
        <v>166925</v>
      </c>
      <c r="X138">
        <v>1175</v>
      </c>
      <c r="Y138">
        <v>193</v>
      </c>
    </row>
    <row r="139" spans="1:25" x14ac:dyDescent="0.3">
      <c r="A139" s="1" cm="1">
        <f t="array" ref="A139">IF(OR(B139:L139=""), "", A138 + 1)</f>
        <v>44036</v>
      </c>
      <c r="B139">
        <f t="shared" si="166"/>
        <v>175842</v>
      </c>
      <c r="C139" s="11">
        <f t="shared" si="170"/>
        <v>1.3845826771653543E-2</v>
      </c>
      <c r="D139" s="2">
        <f t="shared" si="171"/>
        <v>8.8931218874073181E-3</v>
      </c>
      <c r="E139" s="18">
        <f t="shared" si="167"/>
        <v>-0.31957406553310702</v>
      </c>
      <c r="F139">
        <f t="shared" si="172"/>
        <v>1550</v>
      </c>
      <c r="G139">
        <v>7385</v>
      </c>
      <c r="H139">
        <f t="shared" si="107"/>
        <v>18</v>
      </c>
      <c r="I139">
        <v>2432523</v>
      </c>
      <c r="J139">
        <f t="shared" si="168"/>
        <v>44330</v>
      </c>
      <c r="K139" s="2">
        <f t="shared" si="169"/>
        <v>1.8562151383912484E-2</v>
      </c>
      <c r="L139" s="2">
        <f t="shared" si="173"/>
        <v>3.4965034965034968E-2</v>
      </c>
      <c r="W139">
        <v>168457</v>
      </c>
      <c r="X139">
        <v>1242</v>
      </c>
      <c r="Y139">
        <v>192</v>
      </c>
    </row>
    <row r="140" spans="1:25" x14ac:dyDescent="0.3">
      <c r="A140" s="1" cm="1">
        <f t="array" ref="A140">IF(OR(B140:L140=""), "", A139 + 1)</f>
        <v>44037</v>
      </c>
      <c r="B140">
        <f t="shared" si="166"/>
        <v>177280</v>
      </c>
      <c r="C140" s="11">
        <f t="shared" si="170"/>
        <v>1.3959055118110237E-2</v>
      </c>
      <c r="D140" s="2">
        <f t="shared" si="171"/>
        <v>8.1777959759330443E-3</v>
      </c>
      <c r="E140" s="18">
        <f t="shared" si="167"/>
        <v>-0.28337013626881369</v>
      </c>
      <c r="F140">
        <f t="shared" si="172"/>
        <v>1438</v>
      </c>
      <c r="G140">
        <v>7397</v>
      </c>
      <c r="H140">
        <f t="shared" si="107"/>
        <v>12</v>
      </c>
      <c r="I140">
        <v>2470723</v>
      </c>
      <c r="J140">
        <f t="shared" si="168"/>
        <v>38200</v>
      </c>
      <c r="K140" s="2">
        <f t="shared" si="169"/>
        <v>1.5703859737400183E-2</v>
      </c>
      <c r="L140" s="2">
        <f t="shared" si="173"/>
        <v>3.764397905759162E-2</v>
      </c>
      <c r="W140">
        <v>169883</v>
      </c>
      <c r="X140">
        <v>1242</v>
      </c>
      <c r="Y140">
        <v>192</v>
      </c>
    </row>
    <row r="141" spans="1:25" x14ac:dyDescent="0.3">
      <c r="A141" s="1" cm="1">
        <f t="array" ref="A141">IF(OR(B141:L141=""), "", A140 + 1)</f>
        <v>44038</v>
      </c>
      <c r="B141">
        <f t="shared" si="166"/>
        <v>178822</v>
      </c>
      <c r="C141" s="11">
        <f t="shared" si="170"/>
        <v>1.4080472440944881E-2</v>
      </c>
      <c r="D141" s="2">
        <f t="shared" si="171"/>
        <v>8.6981046931406958E-3</v>
      </c>
      <c r="E141" s="18">
        <f t="shared" si="167"/>
        <v>-0.27887957875009206</v>
      </c>
      <c r="F141">
        <f t="shared" si="172"/>
        <v>1542</v>
      </c>
      <c r="G141">
        <v>7398</v>
      </c>
      <c r="H141">
        <f t="shared" si="107"/>
        <v>1</v>
      </c>
      <c r="I141">
        <v>2511567</v>
      </c>
      <c r="J141">
        <f t="shared" si="168"/>
        <v>40844</v>
      </c>
      <c r="K141" s="2">
        <f t="shared" si="169"/>
        <v>1.6531193500849861E-2</v>
      </c>
      <c r="L141" s="2">
        <f t="shared" si="173"/>
        <v>3.7753403192635392E-2</v>
      </c>
      <c r="W141">
        <v>171424</v>
      </c>
      <c r="X141">
        <v>1242</v>
      </c>
      <c r="Y141">
        <v>192</v>
      </c>
    </row>
    <row r="142" spans="1:25" x14ac:dyDescent="0.3">
      <c r="A142" s="1" cm="1">
        <f t="array" ref="A142">IF(OR(B142:L142=""), "", A141 + 1)</f>
        <v>44039</v>
      </c>
      <c r="B142">
        <f t="shared" si="166"/>
        <v>180071</v>
      </c>
      <c r="C142" s="11">
        <f t="shared" si="170"/>
        <v>1.4178818897637795E-2</v>
      </c>
      <c r="D142" s="2">
        <f t="shared" si="171"/>
        <v>6.9845992103880761E-3</v>
      </c>
      <c r="E142" s="18">
        <f t="shared" si="167"/>
        <v>-0.24116655830160394</v>
      </c>
      <c r="F142">
        <f t="shared" si="172"/>
        <v>1249</v>
      </c>
      <c r="G142">
        <v>7416</v>
      </c>
      <c r="H142">
        <f t="shared" si="107"/>
        <v>18</v>
      </c>
      <c r="I142">
        <v>2542134</v>
      </c>
      <c r="J142">
        <f t="shared" si="168"/>
        <v>30567</v>
      </c>
      <c r="K142" s="2">
        <f t="shared" si="169"/>
        <v>1.2170489578816834E-2</v>
      </c>
      <c r="L142" s="2">
        <f t="shared" si="173"/>
        <v>4.0861059312330292E-2</v>
      </c>
      <c r="W142">
        <v>172655</v>
      </c>
      <c r="X142">
        <v>1242</v>
      </c>
      <c r="Y142">
        <v>192</v>
      </c>
    </row>
    <row r="143" spans="1:25" x14ac:dyDescent="0.3">
      <c r="A143" s="1" cm="1">
        <f t="array" ref="A143">IF(OR(B143:L143=""), "", A142 + 1)</f>
        <v>44040</v>
      </c>
      <c r="B143">
        <f t="shared" si="166"/>
        <v>181177</v>
      </c>
      <c r="C143" s="11">
        <f t="shared" si="170"/>
        <v>1.4265905511811023E-2</v>
      </c>
      <c r="D143" s="2">
        <f t="shared" si="171"/>
        <v>6.1420217580843151E-3</v>
      </c>
      <c r="E143" s="18">
        <f t="shared" si="167"/>
        <v>-0.2587521143111059</v>
      </c>
      <c r="F143">
        <f t="shared" si="172"/>
        <v>1106</v>
      </c>
      <c r="G143">
        <v>7446</v>
      </c>
      <c r="H143">
        <f t="shared" si="107"/>
        <v>30</v>
      </c>
      <c r="I143">
        <v>2570465</v>
      </c>
      <c r="J143">
        <f t="shared" si="168"/>
        <v>28331</v>
      </c>
      <c r="K143" s="2">
        <f t="shared" si="169"/>
        <v>1.1144573810822012E-2</v>
      </c>
      <c r="L143" s="2">
        <f t="shared" si="173"/>
        <v>3.9038509053686776E-2</v>
      </c>
      <c r="W143">
        <v>173731</v>
      </c>
      <c r="X143">
        <v>1242</v>
      </c>
      <c r="Y143">
        <v>192</v>
      </c>
    </row>
    <row r="144" spans="1:25" x14ac:dyDescent="0.3">
      <c r="A144" s="1" cm="1">
        <f t="array" ref="A144">IF(OR(B144:L144=""), "", A143 + 1)</f>
        <v>44041</v>
      </c>
      <c r="B144">
        <f t="shared" si="166"/>
        <v>182586</v>
      </c>
      <c r="C144" s="11">
        <f t="shared" si="170"/>
        <v>1.4376850393700787E-2</v>
      </c>
      <c r="D144" s="2">
        <f t="shared" si="171"/>
        <v>7.7769253271662286E-3</v>
      </c>
      <c r="E144" s="18">
        <f t="shared" si="167"/>
        <v>-0.28109591746225626</v>
      </c>
      <c r="F144">
        <f t="shared" si="172"/>
        <v>1409</v>
      </c>
      <c r="G144">
        <v>7462</v>
      </c>
      <c r="H144">
        <f t="shared" si="107"/>
        <v>16</v>
      </c>
      <c r="I144">
        <v>2608652</v>
      </c>
      <c r="J144">
        <f t="shared" si="168"/>
        <v>38187</v>
      </c>
      <c r="K144" s="2">
        <f t="shared" si="169"/>
        <v>1.4856066898401687E-2</v>
      </c>
      <c r="L144" s="2">
        <f t="shared" si="173"/>
        <v>3.6897373451698225E-2</v>
      </c>
      <c r="W144">
        <v>175124</v>
      </c>
      <c r="X144">
        <v>1242</v>
      </c>
      <c r="Y144">
        <v>192</v>
      </c>
    </row>
    <row r="145" spans="1:25" x14ac:dyDescent="0.3">
      <c r="A145" s="1" cm="1">
        <f t="array" ref="A145">IF(OR(B145:L145=""), "", A144 + 1)</f>
        <v>44042</v>
      </c>
      <c r="B145">
        <f t="shared" si="166"/>
        <v>184374</v>
      </c>
      <c r="C145" s="11">
        <f t="shared" si="170"/>
        <v>1.451763779527559E-2</v>
      </c>
      <c r="D145" s="2">
        <f t="shared" si="171"/>
        <v>9.7926456573889098E-3</v>
      </c>
      <c r="E145" s="18">
        <f t="shared" si="167"/>
        <v>-0.20688475658403699</v>
      </c>
      <c r="F145">
        <f t="shared" si="172"/>
        <v>1788</v>
      </c>
      <c r="G145">
        <v>7478</v>
      </c>
      <c r="H145">
        <f t="shared" si="107"/>
        <v>16</v>
      </c>
      <c r="I145">
        <v>2649786</v>
      </c>
      <c r="J145">
        <f t="shared" si="168"/>
        <v>41134</v>
      </c>
      <c r="K145" s="2">
        <f t="shared" si="169"/>
        <v>1.5768297189506342E-2</v>
      </c>
      <c r="L145" s="2">
        <f t="shared" si="173"/>
        <v>4.3467690961248605E-2</v>
      </c>
      <c r="W145">
        <v>176896</v>
      </c>
      <c r="X145">
        <v>1242</v>
      </c>
      <c r="Y145">
        <v>192</v>
      </c>
    </row>
    <row r="146" spans="1:25" x14ac:dyDescent="0.3">
      <c r="A146" s="1" cm="1">
        <f t="array" ref="A146">IF(OR(B146:L146=""), "", A145 + 1)</f>
        <v>44043</v>
      </c>
      <c r="B146">
        <f t="shared" si="166"/>
        <v>186332</v>
      </c>
      <c r="C146" s="11">
        <f t="shared" si="170"/>
        <v>1.4671811023622047E-2</v>
      </c>
      <c r="D146" s="2">
        <f t="shared" si="171"/>
        <v>1.0619718615423102E-2</v>
      </c>
      <c r="E146" s="18">
        <f t="shared" si="167"/>
        <v>-0.24774852963553914</v>
      </c>
      <c r="F146">
        <f t="shared" si="172"/>
        <v>1958</v>
      </c>
      <c r="G146">
        <v>7495</v>
      </c>
      <c r="H146">
        <f t="shared" si="107"/>
        <v>17</v>
      </c>
      <c r="I146">
        <v>2699568</v>
      </c>
      <c r="J146">
        <f t="shared" si="168"/>
        <v>49782</v>
      </c>
      <c r="K146" s="2">
        <f t="shared" si="169"/>
        <v>1.8787177530562804E-2</v>
      </c>
      <c r="L146" s="2">
        <f t="shared" si="173"/>
        <v>3.9331485275802498E-2</v>
      </c>
      <c r="W146">
        <v>178837</v>
      </c>
      <c r="X146">
        <v>1281</v>
      </c>
      <c r="Y146">
        <v>197</v>
      </c>
    </row>
    <row r="147" spans="1:25" x14ac:dyDescent="0.3">
      <c r="A147" s="1" cm="1">
        <f t="array" ref="A147">IF(OR(B147:L147=""), "", A146 + 1)</f>
        <v>44044</v>
      </c>
      <c r="B147">
        <f t="shared" si="166"/>
        <v>187979</v>
      </c>
      <c r="C147" s="11">
        <f t="shared" si="170"/>
        <v>1.4801496062992126E-2</v>
      </c>
      <c r="D147" s="2">
        <f t="shared" si="171"/>
        <v>8.8390614601894235E-3</v>
      </c>
      <c r="E147" s="18">
        <f t="shared" si="167"/>
        <v>-0.22228084311716567</v>
      </c>
      <c r="F147">
        <f t="shared" si="172"/>
        <v>1647</v>
      </c>
      <c r="G147">
        <v>7503</v>
      </c>
      <c r="H147">
        <f t="shared" si="107"/>
        <v>8</v>
      </c>
      <c r="I147">
        <v>2739377</v>
      </c>
      <c r="J147">
        <f t="shared" si="168"/>
        <v>39809</v>
      </c>
      <c r="K147" s="2">
        <f t="shared" si="169"/>
        <v>1.4746433503434631E-2</v>
      </c>
      <c r="L147" s="2">
        <f t="shared" si="173"/>
        <v>4.1372553945087792E-2</v>
      </c>
      <c r="W147">
        <v>180476</v>
      </c>
      <c r="X147">
        <v>1281</v>
      </c>
      <c r="Y147">
        <v>197</v>
      </c>
    </row>
    <row r="148" spans="1:25" x14ac:dyDescent="0.3">
      <c r="A148" s="1" cm="1">
        <f t="array" ref="A148">IF(OR(B148:L148=""), "", A147 + 1)</f>
        <v>44045</v>
      </c>
      <c r="B148">
        <f t="shared" si="166"/>
        <v>189460</v>
      </c>
      <c r="C148" s="11">
        <f t="shared" si="170"/>
        <v>1.4918110236220472E-2</v>
      </c>
      <c r="D148" s="2">
        <f t="shared" si="171"/>
        <v>7.878539624107006E-3</v>
      </c>
      <c r="E148" s="18">
        <f t="shared" si="167"/>
        <v>-0.25635417951720624</v>
      </c>
      <c r="F148">
        <f t="shared" si="172"/>
        <v>1481</v>
      </c>
      <c r="G148">
        <v>7517</v>
      </c>
      <c r="H148">
        <f t="shared" si="107"/>
        <v>14</v>
      </c>
      <c r="I148">
        <v>2778322</v>
      </c>
      <c r="J148">
        <f t="shared" si="168"/>
        <v>38945</v>
      </c>
      <c r="K148" s="2">
        <f t="shared" si="169"/>
        <v>1.421673614110075E-2</v>
      </c>
      <c r="L148" s="2">
        <f t="shared" si="173"/>
        <v>3.8027988188470918E-2</v>
      </c>
      <c r="W148">
        <v>181943</v>
      </c>
      <c r="X148">
        <v>1281</v>
      </c>
      <c r="Y148">
        <v>197</v>
      </c>
    </row>
    <row r="149" spans="1:25" x14ac:dyDescent="0.3">
      <c r="A149" s="1" cm="1">
        <f t="array" ref="A149">IF(OR(B149:L149=""), "", A148 + 1)</f>
        <v>44046</v>
      </c>
      <c r="B149">
        <f t="shared" si="166"/>
        <v>190767</v>
      </c>
      <c r="C149" s="11">
        <f t="shared" si="170"/>
        <v>1.5021023622047243E-2</v>
      </c>
      <c r="D149" s="2">
        <f t="shared" si="171"/>
        <v>6.8985537844399314E-3</v>
      </c>
      <c r="E149" s="18">
        <f t="shared" si="167"/>
        <v>-0.1719231002661942</v>
      </c>
      <c r="F149">
        <f t="shared" si="172"/>
        <v>1307</v>
      </c>
      <c r="G149">
        <v>7526</v>
      </c>
      <c r="H149">
        <f t="shared" si="107"/>
        <v>9</v>
      </c>
      <c r="I149">
        <v>2806797</v>
      </c>
      <c r="J149">
        <f t="shared" si="168"/>
        <v>28475</v>
      </c>
      <c r="K149" s="2">
        <f t="shared" si="169"/>
        <v>1.0248992017483971E-2</v>
      </c>
      <c r="L149" s="2">
        <f t="shared" si="173"/>
        <v>4.5899912203687443E-2</v>
      </c>
      <c r="W149">
        <v>183241</v>
      </c>
      <c r="X149">
        <v>1281</v>
      </c>
      <c r="Y149">
        <v>197</v>
      </c>
    </row>
    <row r="150" spans="1:25" x14ac:dyDescent="0.3">
      <c r="A150" s="1" cm="1">
        <f t="array" ref="A150">IF(OR(B150:L150=""), "", A149 + 1)</f>
        <v>44047</v>
      </c>
      <c r="B150">
        <f t="shared" si="166"/>
        <v>192257</v>
      </c>
      <c r="C150" s="11">
        <f t="shared" si="170"/>
        <v>1.5138346456692913E-2</v>
      </c>
      <c r="D150" s="2">
        <f t="shared" si="171"/>
        <v>7.8105752043067245E-3</v>
      </c>
      <c r="E150" s="18">
        <f t="shared" si="167"/>
        <v>-0.28849518717733763</v>
      </c>
      <c r="F150">
        <f t="shared" si="172"/>
        <v>1490</v>
      </c>
      <c r="G150">
        <v>7545</v>
      </c>
      <c r="H150">
        <f t="shared" si="107"/>
        <v>19</v>
      </c>
      <c r="I150">
        <v>2849395</v>
      </c>
      <c r="J150">
        <f t="shared" si="168"/>
        <v>42598</v>
      </c>
      <c r="K150" s="2">
        <f t="shared" si="169"/>
        <v>1.5176729916698717E-2</v>
      </c>
      <c r="L150" s="2">
        <f t="shared" si="173"/>
        <v>3.4978167989107467E-2</v>
      </c>
      <c r="W150">
        <v>184712</v>
      </c>
      <c r="X150">
        <v>1281</v>
      </c>
      <c r="Y150">
        <v>197</v>
      </c>
    </row>
    <row r="151" spans="1:25" x14ac:dyDescent="0.3">
      <c r="A151" s="1" cm="1">
        <f t="array" ref="A151">IF(OR(B151:L151=""), "", A150 + 1)</f>
        <v>44048</v>
      </c>
      <c r="B151">
        <f t="shared" si="166"/>
        <v>194044</v>
      </c>
      <c r="C151" s="11">
        <f t="shared" si="170"/>
        <v>1.5279055118110237E-2</v>
      </c>
      <c r="D151" s="2">
        <f t="shared" si="171"/>
        <v>9.2948501224923152E-3</v>
      </c>
      <c r="E151" s="18">
        <f t="shared" si="167"/>
        <v>-0.24602414005367937</v>
      </c>
      <c r="F151">
        <f t="shared" si="172"/>
        <v>1787</v>
      </c>
      <c r="G151">
        <v>7573</v>
      </c>
      <c r="H151">
        <f t="shared" si="107"/>
        <v>28</v>
      </c>
      <c r="I151">
        <v>2896063</v>
      </c>
      <c r="J151">
        <f t="shared" si="168"/>
        <v>46668</v>
      </c>
      <c r="K151" s="2">
        <f t="shared" si="169"/>
        <v>1.6378213620786175E-2</v>
      </c>
      <c r="L151" s="2">
        <f t="shared" si="173"/>
        <v>3.8291763092483069E-2</v>
      </c>
      <c r="W151">
        <v>186471</v>
      </c>
      <c r="X151">
        <v>1281</v>
      </c>
      <c r="Y151">
        <v>197</v>
      </c>
    </row>
    <row r="152" spans="1:25" x14ac:dyDescent="0.3">
      <c r="A152" s="1" cm="1">
        <f t="array" ref="A152">IF(OR(B152:L152=""), "", A151 + 1)</f>
        <v>44049</v>
      </c>
      <c r="B152">
        <f t="shared" si="166"/>
        <v>196018</v>
      </c>
      <c r="C152" s="11">
        <f t="shared" si="170"/>
        <v>1.5434488188976378E-2</v>
      </c>
      <c r="D152" s="2">
        <f t="shared" si="171"/>
        <v>1.0172950464843122E-2</v>
      </c>
      <c r="E152" s="18">
        <f t="shared" ref="E152:E238" si="174">IFERROR(LOG(D152/K152), FALSE)</f>
        <v>-0.15073528927224669</v>
      </c>
      <c r="F152">
        <f t="shared" si="172"/>
        <v>1974</v>
      </c>
      <c r="G152">
        <v>7594</v>
      </c>
      <c r="H152">
        <f t="shared" si="107"/>
        <v>21</v>
      </c>
      <c r="I152">
        <v>2937749</v>
      </c>
      <c r="J152">
        <f t="shared" si="168"/>
        <v>41686</v>
      </c>
      <c r="K152" s="2">
        <f t="shared" si="169"/>
        <v>1.4394023886911356E-2</v>
      </c>
      <c r="L152" s="2">
        <f t="shared" si="173"/>
        <v>4.7354027731132751E-2</v>
      </c>
      <c r="W152">
        <v>188424</v>
      </c>
      <c r="X152">
        <v>1281</v>
      </c>
      <c r="Y152">
        <v>197</v>
      </c>
    </row>
    <row r="153" spans="1:25" x14ac:dyDescent="0.3">
      <c r="A153" s="1" cm="1">
        <f t="array" ref="A153">IF(OR(B153:L153=""), "", A152 + 1)</f>
        <v>44050</v>
      </c>
      <c r="B153">
        <f t="shared" si="166"/>
        <v>198121</v>
      </c>
      <c r="C153" s="11">
        <f t="shared" si="170"/>
        <v>1.560007874015748E-2</v>
      </c>
      <c r="D153" s="2">
        <f t="shared" si="171"/>
        <v>1.0728606556540621E-2</v>
      </c>
      <c r="E153" s="18">
        <f t="shared" si="174"/>
        <v>-0.17232768140282331</v>
      </c>
      <c r="F153">
        <f t="shared" si="172"/>
        <v>2103</v>
      </c>
      <c r="G153">
        <v>7613</v>
      </c>
      <c r="H153">
        <f t="shared" si="107"/>
        <v>19</v>
      </c>
      <c r="I153">
        <v>2984618</v>
      </c>
      <c r="J153">
        <f t="shared" si="168"/>
        <v>46869</v>
      </c>
      <c r="K153" s="2">
        <f t="shared" si="169"/>
        <v>1.595405189483512E-2</v>
      </c>
      <c r="L153" s="2">
        <f t="shared" si="173"/>
        <v>4.4869743327145876E-2</v>
      </c>
      <c r="W153">
        <v>190508</v>
      </c>
      <c r="X153">
        <v>1300</v>
      </c>
      <c r="Y153">
        <v>209</v>
      </c>
    </row>
    <row r="154" spans="1:25" x14ac:dyDescent="0.3">
      <c r="A154" s="1" cm="1">
        <f t="array" ref="A154">IF(OR(B154:L154=""), "", A153 + 1)</f>
        <v>44051</v>
      </c>
      <c r="B154">
        <f t="shared" si="166"/>
        <v>200329</v>
      </c>
      <c r="C154" s="11">
        <f t="shared" si="170"/>
        <v>1.5773937007874016E-2</v>
      </c>
      <c r="D154" s="2">
        <f t="shared" si="171"/>
        <v>1.1144704498765812E-2</v>
      </c>
      <c r="E154" s="18">
        <f t="shared" si="174"/>
        <v>-0.15942866655191781</v>
      </c>
      <c r="F154">
        <f t="shared" si="172"/>
        <v>2208</v>
      </c>
      <c r="G154">
        <v>7631</v>
      </c>
      <c r="H154">
        <f t="shared" si="107"/>
        <v>18</v>
      </c>
      <c r="I154">
        <v>3032634</v>
      </c>
      <c r="J154">
        <f t="shared" si="168"/>
        <v>48016</v>
      </c>
      <c r="K154" s="2">
        <f t="shared" si="169"/>
        <v>1.6087820953971432E-2</v>
      </c>
      <c r="L154" s="2">
        <f t="shared" si="173"/>
        <v>4.598467177607464E-2</v>
      </c>
      <c r="W154">
        <v>192698</v>
      </c>
      <c r="X154">
        <v>1300</v>
      </c>
      <c r="Y154">
        <v>209</v>
      </c>
    </row>
    <row r="155" spans="1:25" x14ac:dyDescent="0.3">
      <c r="A155" s="1" cm="1">
        <f t="array" ref="A155">IF(OR(B155:L155=""), "", A154 + 1)</f>
        <v>44052</v>
      </c>
      <c r="B155">
        <f t="shared" si="166"/>
        <v>201716</v>
      </c>
      <c r="C155" s="11">
        <f t="shared" si="170"/>
        <v>1.5883149606299211E-2</v>
      </c>
      <c r="D155" s="2">
        <f t="shared" si="171"/>
        <v>6.9236106604635417E-3</v>
      </c>
      <c r="E155" s="18">
        <f t="shared" si="174"/>
        <v>-0.29436488576254261</v>
      </c>
      <c r="F155">
        <f t="shared" si="172"/>
        <v>1387</v>
      </c>
      <c r="G155">
        <v>7636</v>
      </c>
      <c r="H155">
        <f t="shared" si="107"/>
        <v>5</v>
      </c>
      <c r="I155">
        <v>3073988</v>
      </c>
      <c r="J155">
        <f t="shared" si="168"/>
        <v>41354</v>
      </c>
      <c r="K155" s="2">
        <f t="shared" si="169"/>
        <v>1.3636330661728424E-2</v>
      </c>
      <c r="L155" s="2">
        <f t="shared" si="173"/>
        <v>3.3539681772017216E-2</v>
      </c>
      <c r="W155">
        <v>194080</v>
      </c>
      <c r="X155">
        <v>1300</v>
      </c>
      <c r="Y155">
        <v>209</v>
      </c>
    </row>
    <row r="156" spans="1:25" x14ac:dyDescent="0.3">
      <c r="A156" s="1" cm="1">
        <f t="array" ref="A156">IF(OR(B156:L156=""), "", A155 + 1)</f>
        <v>44053</v>
      </c>
      <c r="B156">
        <f t="shared" si="166"/>
        <v>203036</v>
      </c>
      <c r="C156" s="11">
        <f t="shared" si="170"/>
        <v>1.5987086614173227E-2</v>
      </c>
      <c r="D156" s="2">
        <f t="shared" si="171"/>
        <v>6.5438537349540304E-3</v>
      </c>
      <c r="E156" s="18">
        <f t="shared" si="174"/>
        <v>-0.20637880630818095</v>
      </c>
      <c r="F156">
        <f t="shared" si="172"/>
        <v>1320</v>
      </c>
      <c r="G156">
        <v>7637</v>
      </c>
      <c r="H156">
        <f t="shared" si="107"/>
        <v>1</v>
      </c>
      <c r="I156">
        <v>3106341</v>
      </c>
      <c r="J156">
        <f t="shared" si="168"/>
        <v>32353</v>
      </c>
      <c r="K156" s="2">
        <f t="shared" si="169"/>
        <v>1.052476457292606E-2</v>
      </c>
      <c r="L156" s="2">
        <f t="shared" si="173"/>
        <v>4.0799925818316693E-2</v>
      </c>
      <c r="W156">
        <v>195399</v>
      </c>
      <c r="X156">
        <v>1300</v>
      </c>
      <c r="Y156">
        <v>209</v>
      </c>
    </row>
    <row r="157" spans="1:25" x14ac:dyDescent="0.3">
      <c r="A157" s="1" cm="1">
        <f t="array" ref="A157">IF(OR(B157:L157=""), "", A156 + 1)</f>
        <v>44054</v>
      </c>
      <c r="B157">
        <f t="shared" si="166"/>
        <v>204605</v>
      </c>
      <c r="C157" s="11">
        <f t="shared" si="170"/>
        <v>1.6110629921259844E-2</v>
      </c>
      <c r="D157" s="2">
        <f t="shared" si="171"/>
        <v>7.7276936109853533E-3</v>
      </c>
      <c r="E157" s="18">
        <f t="shared" si="174"/>
        <v>-0.23630250663266675</v>
      </c>
      <c r="F157">
        <f t="shared" si="172"/>
        <v>1569</v>
      </c>
      <c r="G157">
        <v>7657</v>
      </c>
      <c r="H157">
        <f t="shared" ref="H157:H284" si="175">G157-G156</f>
        <v>20</v>
      </c>
      <c r="I157">
        <v>3147703</v>
      </c>
      <c r="J157">
        <f t="shared" si="168"/>
        <v>41362</v>
      </c>
      <c r="K157" s="2">
        <f t="shared" si="169"/>
        <v>1.3315344323111988E-2</v>
      </c>
      <c r="L157" s="2">
        <f t="shared" si="173"/>
        <v>3.7933368792611576E-2</v>
      </c>
      <c r="W157">
        <v>196948</v>
      </c>
      <c r="X157">
        <v>1300</v>
      </c>
      <c r="Y157">
        <v>209</v>
      </c>
    </row>
    <row r="158" spans="1:25" x14ac:dyDescent="0.3">
      <c r="A158" s="1" cm="1">
        <f t="array" ref="A158">IF(OR(B158:L158=""), "", A157 + 1)</f>
        <v>44055</v>
      </c>
      <c r="B158">
        <f t="shared" si="166"/>
        <v>206265</v>
      </c>
      <c r="C158" s="11">
        <f t="shared" si="170"/>
        <v>1.6241338582677164E-2</v>
      </c>
      <c r="D158" s="2">
        <f t="shared" si="171"/>
        <v>8.1131937147185251E-3</v>
      </c>
      <c r="E158" s="18">
        <f t="shared" si="174"/>
        <v>-0.21707587026877898</v>
      </c>
      <c r="F158">
        <f t="shared" si="172"/>
        <v>1660</v>
      </c>
      <c r="G158">
        <v>7672</v>
      </c>
      <c r="H158">
        <f t="shared" si="175"/>
        <v>15</v>
      </c>
      <c r="I158">
        <v>3189801</v>
      </c>
      <c r="J158">
        <f t="shared" si="168"/>
        <v>42098</v>
      </c>
      <c r="K158" s="2">
        <f t="shared" si="169"/>
        <v>1.337419699380793E-2</v>
      </c>
      <c r="L158" s="2">
        <f t="shared" si="173"/>
        <v>3.9431801985842556E-2</v>
      </c>
      <c r="W158">
        <v>198593</v>
      </c>
      <c r="X158">
        <v>1300</v>
      </c>
      <c r="Y158">
        <v>209</v>
      </c>
    </row>
    <row r="159" spans="1:25" x14ac:dyDescent="0.3">
      <c r="A159" s="1" cm="1">
        <f t="array" ref="A159">IF(OR(B159:L159=""), "", A158 + 1)</f>
        <v>44056</v>
      </c>
      <c r="B159">
        <f t="shared" si="166"/>
        <v>208123</v>
      </c>
      <c r="C159" s="11">
        <f t="shared" si="170"/>
        <v>1.6387637795275592E-2</v>
      </c>
      <c r="D159" s="2">
        <f t="shared" si="171"/>
        <v>9.0078297335951518E-3</v>
      </c>
      <c r="E159" s="18">
        <f t="shared" si="174"/>
        <v>-0.20443071670252125</v>
      </c>
      <c r="F159">
        <f t="shared" si="172"/>
        <v>1858</v>
      </c>
      <c r="G159">
        <v>7696</v>
      </c>
      <c r="H159">
        <f t="shared" si="175"/>
        <v>24</v>
      </c>
      <c r="I159">
        <v>3235807</v>
      </c>
      <c r="J159">
        <f t="shared" si="168"/>
        <v>46006</v>
      </c>
      <c r="K159" s="2">
        <f t="shared" si="169"/>
        <v>1.4422843305899047E-2</v>
      </c>
      <c r="L159" s="2">
        <f t="shared" si="173"/>
        <v>4.0386036603921226E-2</v>
      </c>
      <c r="W159">
        <v>200427</v>
      </c>
      <c r="X159">
        <v>1300</v>
      </c>
      <c r="Y159">
        <v>209</v>
      </c>
    </row>
    <row r="160" spans="1:25" x14ac:dyDescent="0.3">
      <c r="A160" s="1" cm="1">
        <f t="array" ref="A160">IF(OR(B160:L160=""), "", A159 + 1)</f>
        <v>44057</v>
      </c>
      <c r="B160">
        <f t="shared" si="166"/>
        <v>210412</v>
      </c>
      <c r="C160" s="11">
        <f t="shared" si="170"/>
        <v>1.6567874015748031E-2</v>
      </c>
      <c r="D160" s="2">
        <f t="shared" si="171"/>
        <v>1.0998303887604921E-2</v>
      </c>
      <c r="E160" s="18">
        <f t="shared" si="174"/>
        <v>-0.14365644327931465</v>
      </c>
      <c r="F160">
        <f t="shared" si="172"/>
        <v>2289</v>
      </c>
      <c r="G160">
        <v>7721</v>
      </c>
      <c r="H160">
        <f t="shared" si="175"/>
        <v>25</v>
      </c>
      <c r="I160">
        <v>3285348</v>
      </c>
      <c r="J160">
        <f t="shared" si="168"/>
        <v>49541</v>
      </c>
      <c r="K160" s="2">
        <f t="shared" si="169"/>
        <v>1.5310245635787201E-2</v>
      </c>
      <c r="L160" s="2">
        <f t="shared" si="173"/>
        <v>4.6204154134958923E-2</v>
      </c>
      <c r="W160">
        <v>202691</v>
      </c>
      <c r="X160">
        <v>1332</v>
      </c>
      <c r="Y160">
        <v>211</v>
      </c>
    </row>
    <row r="161" spans="1:25" x14ac:dyDescent="0.3">
      <c r="A161" s="1" cm="1">
        <f t="array" ref="A161">IF(OR(B161:L161=""), "", A160 + 1)</f>
        <v>44058</v>
      </c>
      <c r="B161">
        <f t="shared" si="166"/>
        <v>212245</v>
      </c>
      <c r="C161" s="11">
        <f t="shared" si="170"/>
        <v>1.671220472440945E-2</v>
      </c>
      <c r="D161" s="2">
        <f t="shared" si="171"/>
        <v>8.7114803338212976E-3</v>
      </c>
      <c r="E161" s="18">
        <f t="shared" si="174"/>
        <v>-0.19084654878046423</v>
      </c>
      <c r="F161">
        <f t="shared" si="172"/>
        <v>1833</v>
      </c>
      <c r="G161">
        <v>7726</v>
      </c>
      <c r="H161">
        <f t="shared" si="175"/>
        <v>5</v>
      </c>
      <c r="I161">
        <v>3329762</v>
      </c>
      <c r="J161">
        <f t="shared" si="168"/>
        <v>44414</v>
      </c>
      <c r="K161" s="2">
        <f t="shared" si="169"/>
        <v>1.3518811401410202E-2</v>
      </c>
      <c r="L161" s="2">
        <f t="shared" si="173"/>
        <v>4.1270770477777274E-2</v>
      </c>
      <c r="W161">
        <v>204519</v>
      </c>
      <c r="X161">
        <v>1332</v>
      </c>
      <c r="Y161">
        <v>211</v>
      </c>
    </row>
    <row r="162" spans="1:25" x14ac:dyDescent="0.3">
      <c r="A162" s="1" cm="1">
        <f t="array" ref="A162">IF(OR(B162:L162=""), "", A161 + 1)</f>
        <v>44059</v>
      </c>
      <c r="B162">
        <f t="shared" si="166"/>
        <v>213825</v>
      </c>
      <c r="C162" s="11">
        <f t="shared" ref="C162:C238" si="176">B162/$A$1</f>
        <v>1.6836614173228348E-2</v>
      </c>
      <c r="D162" s="2">
        <f t="shared" si="171"/>
        <v>7.4442271902754875E-3</v>
      </c>
      <c r="E162" s="18">
        <f t="shared" si="174"/>
        <v>-0.17501231234375503</v>
      </c>
      <c r="F162">
        <f t="shared" si="172"/>
        <v>1580</v>
      </c>
      <c r="G162">
        <v>7744</v>
      </c>
      <c r="H162">
        <f t="shared" si="175"/>
        <v>18</v>
      </c>
      <c r="I162">
        <v>3366851</v>
      </c>
      <c r="J162">
        <f t="shared" si="168"/>
        <v>37089</v>
      </c>
      <c r="K162" s="2">
        <f t="shared" si="169"/>
        <v>1.1138633932395114E-2</v>
      </c>
      <c r="L162" s="2">
        <f t="shared" si="173"/>
        <v>4.2600231874679824E-2</v>
      </c>
      <c r="W162">
        <v>206081</v>
      </c>
      <c r="X162">
        <v>1332</v>
      </c>
      <c r="Y162">
        <v>211</v>
      </c>
    </row>
    <row r="163" spans="1:25" x14ac:dyDescent="0.3">
      <c r="A163" s="1" cm="1">
        <f t="array" ref="A163">IF(OR(B163:L163=""), "", A162 + 1)</f>
        <v>44060</v>
      </c>
      <c r="B163">
        <f t="shared" si="166"/>
        <v>215610</v>
      </c>
      <c r="C163" s="11">
        <f t="shared" si="176"/>
        <v>1.697716535433071E-2</v>
      </c>
      <c r="D163" s="2">
        <f t="shared" ref="D163:D238" si="177">B163/B162 - 1</f>
        <v>8.3479480883901225E-3</v>
      </c>
      <c r="E163" s="18">
        <f t="shared" si="174"/>
        <v>-0.13378238384138955</v>
      </c>
      <c r="F163">
        <f t="shared" ref="F163:F238" si="178">B163 - B162</f>
        <v>1785</v>
      </c>
      <c r="G163">
        <v>7756</v>
      </c>
      <c r="H163">
        <f t="shared" si="175"/>
        <v>12</v>
      </c>
      <c r="I163">
        <v>3405097</v>
      </c>
      <c r="J163">
        <f t="shared" si="168"/>
        <v>38246</v>
      </c>
      <c r="K163" s="2">
        <f t="shared" si="169"/>
        <v>1.1359576054895237E-2</v>
      </c>
      <c r="L163" s="2">
        <f t="shared" ref="L163:L238" si="179">(B163 - B162)/(I163 - I162)</f>
        <v>4.6671547351357007E-2</v>
      </c>
      <c r="W163">
        <v>207854</v>
      </c>
      <c r="X163">
        <v>1332</v>
      </c>
      <c r="Y163">
        <v>211</v>
      </c>
    </row>
    <row r="164" spans="1:25" x14ac:dyDescent="0.3">
      <c r="A164" s="1" cm="1">
        <f t="array" ref="A164">IF(OR(B164:L164=""), "", A163 + 1)</f>
        <v>44061</v>
      </c>
      <c r="B164">
        <f t="shared" si="166"/>
        <v>217375</v>
      </c>
      <c r="C164" s="11">
        <f t="shared" si="176"/>
        <v>1.7116141732283464E-2</v>
      </c>
      <c r="D164" s="2">
        <f t="shared" si="177"/>
        <v>8.1860767125829792E-3</v>
      </c>
      <c r="E164" s="18">
        <f t="shared" si="174"/>
        <v>-8.8503225047816048E-2</v>
      </c>
      <c r="F164">
        <f t="shared" si="178"/>
        <v>1765</v>
      </c>
      <c r="G164">
        <v>7781</v>
      </c>
      <c r="H164">
        <f t="shared" si="175"/>
        <v>25</v>
      </c>
      <c r="I164">
        <v>3439272</v>
      </c>
      <c r="J164">
        <f t="shared" si="168"/>
        <v>34175</v>
      </c>
      <c r="K164" s="2">
        <f t="shared" si="169"/>
        <v>1.00364248066942E-2</v>
      </c>
      <c r="L164" s="2">
        <f t="shared" si="179"/>
        <v>5.1645940014630576E-2</v>
      </c>
      <c r="W164">
        <v>209594</v>
      </c>
      <c r="X164">
        <v>1332</v>
      </c>
      <c r="Y164">
        <v>211</v>
      </c>
    </row>
    <row r="165" spans="1:25" x14ac:dyDescent="0.3">
      <c r="A165" s="1" cm="1">
        <f t="array" ref="A165">IF(OR(B165:L165=""), "", A164 + 1)</f>
        <v>44062</v>
      </c>
      <c r="B165">
        <f t="shared" si="166"/>
        <v>219695</v>
      </c>
      <c r="C165" s="11">
        <f t="shared" si="176"/>
        <v>1.7298818897637794E-2</v>
      </c>
      <c r="D165" s="2">
        <f t="shared" si="177"/>
        <v>1.0672800460034493E-2</v>
      </c>
      <c r="E165" s="18">
        <f t="shared" si="174"/>
        <v>-0.13681443699213625</v>
      </c>
      <c r="F165">
        <f t="shared" si="178"/>
        <v>2320</v>
      </c>
      <c r="G165">
        <v>7806</v>
      </c>
      <c r="H165">
        <f t="shared" si="175"/>
        <v>25</v>
      </c>
      <c r="I165">
        <v>3489571</v>
      </c>
      <c r="J165">
        <f t="shared" si="168"/>
        <v>50299</v>
      </c>
      <c r="K165" s="2">
        <f t="shared" si="169"/>
        <v>1.4624897361999789E-2</v>
      </c>
      <c r="L165" s="2">
        <f t="shared" si="179"/>
        <v>4.6124177419034178E-2</v>
      </c>
      <c r="W165">
        <v>211889</v>
      </c>
      <c r="X165">
        <v>1332</v>
      </c>
      <c r="Y165">
        <v>211</v>
      </c>
    </row>
    <row r="166" spans="1:25" x14ac:dyDescent="0.3">
      <c r="A166" s="1" cm="1">
        <f t="array" ref="A166">IF(OR(B166:L166=""), "", A165 + 1)</f>
        <v>44063</v>
      </c>
      <c r="B166">
        <f t="shared" si="166"/>
        <v>221554</v>
      </c>
      <c r="C166" s="11">
        <f t="shared" si="176"/>
        <v>1.74451968503937E-2</v>
      </c>
      <c r="D166" s="2">
        <f t="shared" si="177"/>
        <v>8.4617310362093967E-3</v>
      </c>
      <c r="E166" s="18">
        <f t="shared" si="174"/>
        <v>-0.24251943277553803</v>
      </c>
      <c r="F166">
        <f t="shared" si="178"/>
        <v>1859</v>
      </c>
      <c r="G166">
        <v>7833</v>
      </c>
      <c r="H166">
        <f t="shared" si="175"/>
        <v>27</v>
      </c>
      <c r="I166">
        <v>3541183</v>
      </c>
      <c r="J166">
        <f t="shared" si="168"/>
        <v>51612</v>
      </c>
      <c r="K166" s="2">
        <f t="shared" si="169"/>
        <v>1.479035675158924E-2</v>
      </c>
      <c r="L166" s="2">
        <f t="shared" si="179"/>
        <v>3.6018755328218244E-2</v>
      </c>
      <c r="W166">
        <v>213721</v>
      </c>
      <c r="X166">
        <v>1332</v>
      </c>
      <c r="Y166">
        <v>211</v>
      </c>
    </row>
    <row r="167" spans="1:25" x14ac:dyDescent="0.3">
      <c r="A167" s="1" cm="1">
        <f t="array" ref="A167">IF(OR(B167:L167=""), "", A166 + 1)</f>
        <v>44064</v>
      </c>
      <c r="B167">
        <f t="shared" si="166"/>
        <v>223786</v>
      </c>
      <c r="C167" s="11">
        <f t="shared" si="176"/>
        <v>1.7620944881889762E-2</v>
      </c>
      <c r="D167" s="2">
        <f t="shared" si="177"/>
        <v>1.0074293400254675E-2</v>
      </c>
      <c r="E167" s="18">
        <f t="shared" si="174"/>
        <v>-0.16142988233577027</v>
      </c>
      <c r="F167">
        <f t="shared" si="178"/>
        <v>2232</v>
      </c>
      <c r="G167">
        <v>7857</v>
      </c>
      <c r="H167">
        <f t="shared" si="175"/>
        <v>24</v>
      </c>
      <c r="I167">
        <v>3592919</v>
      </c>
      <c r="J167">
        <f t="shared" si="168"/>
        <v>51736</v>
      </c>
      <c r="K167" s="2">
        <f t="shared" si="169"/>
        <v>1.4609806948694848E-2</v>
      </c>
      <c r="L167" s="2">
        <f t="shared" si="179"/>
        <v>4.3142106077006338E-2</v>
      </c>
      <c r="W167">
        <v>215929</v>
      </c>
      <c r="X167">
        <v>1417</v>
      </c>
      <c r="Y167">
        <v>209</v>
      </c>
    </row>
    <row r="168" spans="1:25" x14ac:dyDescent="0.3">
      <c r="A168" s="1" cm="1">
        <f t="array" ref="A168">IF(OR(B168:L168=""), "", A167 + 1)</f>
        <v>44065</v>
      </c>
      <c r="B168">
        <f t="shared" si="166"/>
        <v>226159</v>
      </c>
      <c r="C168" s="11">
        <f t="shared" si="176"/>
        <v>1.7807795275590552E-2</v>
      </c>
      <c r="D168" s="2">
        <f t="shared" si="177"/>
        <v>1.0603880492970896E-2</v>
      </c>
      <c r="E168" s="18">
        <f t="shared" si="174"/>
        <v>-0.17317604189896099</v>
      </c>
      <c r="F168">
        <f t="shared" si="178"/>
        <v>2373</v>
      </c>
      <c r="G168">
        <v>7874</v>
      </c>
      <c r="H168">
        <f t="shared" si="175"/>
        <v>17</v>
      </c>
      <c r="I168">
        <v>3649685</v>
      </c>
      <c r="J168">
        <f t="shared" si="168"/>
        <v>56766</v>
      </c>
      <c r="K168" s="2">
        <f t="shared" si="169"/>
        <v>1.5799409894851513E-2</v>
      </c>
      <c r="L168" s="2">
        <f t="shared" si="179"/>
        <v>4.1803192051580174E-2</v>
      </c>
      <c r="W168">
        <v>218285</v>
      </c>
      <c r="X168">
        <v>1417</v>
      </c>
      <c r="Y168">
        <v>209</v>
      </c>
    </row>
    <row r="169" spans="1:25" x14ac:dyDescent="0.3">
      <c r="A169" s="1" cm="1">
        <f t="array" ref="A169">IF(OR(B169:L169=""), "", A168 + 1)</f>
        <v>44066</v>
      </c>
      <c r="B169">
        <f t="shared" si="166"/>
        <v>228058</v>
      </c>
      <c r="C169" s="11">
        <f t="shared" si="176"/>
        <v>1.795732283464567E-2</v>
      </c>
      <c r="D169" s="2">
        <f t="shared" si="177"/>
        <v>8.3967474210622228E-3</v>
      </c>
      <c r="E169" s="18">
        <f t="shared" si="174"/>
        <v>-0.24884106685997029</v>
      </c>
      <c r="F169">
        <f t="shared" si="178"/>
        <v>1899</v>
      </c>
      <c r="G169">
        <v>7880</v>
      </c>
      <c r="H169">
        <f t="shared" si="175"/>
        <v>6</v>
      </c>
      <c r="I169">
        <v>3704036</v>
      </c>
      <c r="J169">
        <f t="shared" si="168"/>
        <v>54351</v>
      </c>
      <c r="K169" s="2">
        <f t="shared" si="169"/>
        <v>1.4891970128928955E-2</v>
      </c>
      <c r="L169" s="2">
        <f t="shared" si="179"/>
        <v>3.4939559529723462E-2</v>
      </c>
      <c r="W169">
        <v>220178</v>
      </c>
      <c r="X169">
        <v>1417</v>
      </c>
      <c r="Y169">
        <v>209</v>
      </c>
    </row>
    <row r="170" spans="1:25" x14ac:dyDescent="0.3">
      <c r="A170" s="1" cm="1">
        <f t="array" ref="A170">IF(OR(B170:L170=""), "", A169 + 1)</f>
        <v>44067</v>
      </c>
      <c r="B170">
        <f t="shared" si="166"/>
        <v>229678</v>
      </c>
      <c r="C170" s="11">
        <f t="shared" si="176"/>
        <v>1.8084881889763781E-2</v>
      </c>
      <c r="D170" s="2">
        <f t="shared" si="177"/>
        <v>7.1034561383507278E-3</v>
      </c>
      <c r="E170" s="18">
        <f t="shared" si="174"/>
        <v>-0.13802346370479551</v>
      </c>
      <c r="F170">
        <f t="shared" si="178"/>
        <v>1620</v>
      </c>
      <c r="G170">
        <v>7888</v>
      </c>
      <c r="H170">
        <f t="shared" si="175"/>
        <v>8</v>
      </c>
      <c r="I170">
        <v>3740191</v>
      </c>
      <c r="J170">
        <f t="shared" si="168"/>
        <v>36155</v>
      </c>
      <c r="K170" s="2">
        <f t="shared" si="169"/>
        <v>9.7609742453907966E-3</v>
      </c>
      <c r="L170" s="2">
        <f t="shared" si="179"/>
        <v>4.4807080625086433E-2</v>
      </c>
      <c r="W170">
        <v>221790</v>
      </c>
      <c r="X170">
        <v>1417</v>
      </c>
      <c r="Y170">
        <v>209</v>
      </c>
    </row>
    <row r="171" spans="1:25" x14ac:dyDescent="0.3">
      <c r="A171" s="1" cm="1">
        <f t="array" ref="A171">IF(OR(B171:L171=""), "", A170 + 1)</f>
        <v>44068</v>
      </c>
      <c r="B171">
        <f t="shared" si="166"/>
        <v>231387</v>
      </c>
      <c r="C171" s="11">
        <f t="shared" si="176"/>
        <v>1.8219448818897636E-2</v>
      </c>
      <c r="D171" s="2">
        <f t="shared" si="177"/>
        <v>7.4408519753741409E-3</v>
      </c>
      <c r="E171" s="18">
        <f t="shared" si="174"/>
        <v>-0.16677128749603776</v>
      </c>
      <c r="F171">
        <f t="shared" si="178"/>
        <v>1709</v>
      </c>
      <c r="G171">
        <v>7917</v>
      </c>
      <c r="H171">
        <f t="shared" si="175"/>
        <v>29</v>
      </c>
      <c r="I171">
        <v>3781050</v>
      </c>
      <c r="J171">
        <f t="shared" si="168"/>
        <v>40859</v>
      </c>
      <c r="K171" s="2">
        <f t="shared" si="169"/>
        <v>1.0924308410987571E-2</v>
      </c>
      <c r="L171" s="2">
        <f t="shared" si="179"/>
        <v>4.1826770111848065E-2</v>
      </c>
      <c r="W171">
        <v>223470</v>
      </c>
      <c r="X171">
        <v>1417</v>
      </c>
      <c r="Y171">
        <v>209</v>
      </c>
    </row>
    <row r="172" spans="1:25" x14ac:dyDescent="0.3">
      <c r="A172" s="1" cm="1">
        <f t="array" ref="A172">IF(OR(B172:L172=""), "", A171 + 1)</f>
        <v>44069</v>
      </c>
      <c r="B172">
        <f t="shared" si="166"/>
        <v>233581</v>
      </c>
      <c r="C172" s="11">
        <f t="shared" si="176"/>
        <v>1.8392204724409448E-2</v>
      </c>
      <c r="D172" s="2">
        <f t="shared" si="177"/>
        <v>9.48195015277431E-3</v>
      </c>
      <c r="E172" s="18">
        <f t="shared" si="174"/>
        <v>-0.14759288037397014</v>
      </c>
      <c r="F172">
        <f t="shared" si="178"/>
        <v>2194</v>
      </c>
      <c r="G172">
        <v>7954</v>
      </c>
      <c r="H172">
        <f t="shared" si="175"/>
        <v>37</v>
      </c>
      <c r="I172">
        <v>3831412</v>
      </c>
      <c r="J172">
        <f t="shared" si="168"/>
        <v>50362</v>
      </c>
      <c r="K172" s="2">
        <f t="shared" si="169"/>
        <v>1.3319580539797204E-2</v>
      </c>
      <c r="L172" s="2">
        <f t="shared" si="179"/>
        <v>4.3564592351376039E-2</v>
      </c>
      <c r="W172">
        <v>225627</v>
      </c>
      <c r="X172">
        <v>1417</v>
      </c>
      <c r="Y172">
        <v>209</v>
      </c>
    </row>
    <row r="173" spans="1:25" x14ac:dyDescent="0.3">
      <c r="A173" s="1" cm="1">
        <f t="array" ref="A173">IF(OR(B173:L173=""), "", A172 + 1)</f>
        <v>44070</v>
      </c>
      <c r="B173">
        <f t="shared" si="166"/>
        <v>235311</v>
      </c>
      <c r="C173" s="11">
        <f t="shared" si="176"/>
        <v>1.8528425196850395E-2</v>
      </c>
      <c r="D173" s="2">
        <f t="shared" si="177"/>
        <v>7.4064243238962657E-3</v>
      </c>
      <c r="E173" s="18">
        <f t="shared" si="174"/>
        <v>-0.19549014943111906</v>
      </c>
      <c r="F173">
        <f t="shared" si="178"/>
        <v>1730</v>
      </c>
      <c r="G173">
        <v>7977</v>
      </c>
      <c r="H173">
        <f t="shared" si="175"/>
        <v>23</v>
      </c>
      <c r="I173">
        <v>3875922</v>
      </c>
      <c r="J173">
        <f t="shared" si="168"/>
        <v>44510</v>
      </c>
      <c r="K173" s="2">
        <f t="shared" si="169"/>
        <v>1.1617127053942466E-2</v>
      </c>
      <c r="L173" s="2">
        <f t="shared" si="179"/>
        <v>3.8867670186474947E-2</v>
      </c>
      <c r="W173">
        <v>227334</v>
      </c>
      <c r="X173">
        <v>1417</v>
      </c>
      <c r="Y173">
        <v>209</v>
      </c>
    </row>
    <row r="174" spans="1:25" x14ac:dyDescent="0.3">
      <c r="A174" s="1" cm="1">
        <f t="array" ref="A174">IF(OR(B174:L174=""), "", A173 + 1)</f>
        <v>44071</v>
      </c>
      <c r="B174">
        <f t="shared" si="166"/>
        <v>237480</v>
      </c>
      <c r="C174" s="11">
        <f t="shared" si="176"/>
        <v>1.8699212598425198E-2</v>
      </c>
      <c r="D174" s="2">
        <f t="shared" si="177"/>
        <v>9.2175886380152505E-3</v>
      </c>
      <c r="E174" s="18">
        <f t="shared" si="174"/>
        <v>-0.13170044222676611</v>
      </c>
      <c r="F174">
        <f t="shared" si="178"/>
        <v>2169</v>
      </c>
      <c r="G174">
        <v>7997</v>
      </c>
      <c r="H174">
        <f t="shared" si="175"/>
        <v>20</v>
      </c>
      <c r="I174">
        <v>3924305</v>
      </c>
      <c r="J174">
        <f t="shared" si="168"/>
        <v>48383</v>
      </c>
      <c r="K174" s="2">
        <f t="shared" si="169"/>
        <v>1.248296534347193E-2</v>
      </c>
      <c r="L174" s="2">
        <f t="shared" si="179"/>
        <v>4.48297955893599E-2</v>
      </c>
      <c r="W174">
        <v>229483</v>
      </c>
      <c r="X174">
        <v>1702</v>
      </c>
      <c r="Y174">
        <v>209</v>
      </c>
    </row>
    <row r="175" spans="1:25" x14ac:dyDescent="0.3">
      <c r="A175" s="1" cm="1">
        <f t="array" ref="A175">IF(OR(B175:L175=""), "", A174 + 1)</f>
        <v>44072</v>
      </c>
      <c r="B175">
        <f t="shared" si="166"/>
        <v>239371</v>
      </c>
      <c r="C175" s="11">
        <f t="shared" si="176"/>
        <v>1.8848110236220472E-2</v>
      </c>
      <c r="D175" s="2">
        <f t="shared" si="177"/>
        <v>7.9627758127001069E-3</v>
      </c>
      <c r="E175" s="18">
        <f t="shared" si="174"/>
        <v>-0.19345016470978096</v>
      </c>
      <c r="F175">
        <f t="shared" si="178"/>
        <v>1891</v>
      </c>
      <c r="G175">
        <v>8008</v>
      </c>
      <c r="H175">
        <f t="shared" si="175"/>
        <v>11</v>
      </c>
      <c r="I175">
        <v>3973089</v>
      </c>
      <c r="J175">
        <f t="shared" si="168"/>
        <v>48784</v>
      </c>
      <c r="K175" s="2">
        <f t="shared" si="169"/>
        <v>1.2431245787470679E-2</v>
      </c>
      <c r="L175" s="2">
        <f t="shared" si="179"/>
        <v>3.8762709084945883E-2</v>
      </c>
      <c r="W175">
        <v>231363</v>
      </c>
      <c r="X175">
        <v>1702</v>
      </c>
      <c r="Y175">
        <v>209</v>
      </c>
    </row>
    <row r="176" spans="1:25" x14ac:dyDescent="0.3">
      <c r="A176" s="1" cm="1">
        <f t="array" ref="A176">IF(OR(B176:L176=""), "", A175 + 1)</f>
        <v>44073</v>
      </c>
      <c r="B176">
        <f t="shared" si="166"/>
        <v>241374</v>
      </c>
      <c r="C176" s="11">
        <f t="shared" si="176"/>
        <v>1.9005826771653543E-2</v>
      </c>
      <c r="D176" s="2">
        <f t="shared" si="177"/>
        <v>8.3677638477510641E-3</v>
      </c>
      <c r="E176" s="18">
        <f t="shared" si="174"/>
        <v>-0.11867415592714353</v>
      </c>
      <c r="F176">
        <f t="shared" si="178"/>
        <v>2003</v>
      </c>
      <c r="G176">
        <v>8019</v>
      </c>
      <c r="H176">
        <f t="shared" si="175"/>
        <v>11</v>
      </c>
      <c r="I176">
        <v>4016782</v>
      </c>
      <c r="J176">
        <f t="shared" si="168"/>
        <v>43693</v>
      </c>
      <c r="K176" s="2">
        <f t="shared" si="169"/>
        <v>1.0997236658932152E-2</v>
      </c>
      <c r="L176" s="2">
        <f t="shared" si="179"/>
        <v>4.5842583480191337E-2</v>
      </c>
      <c r="W176">
        <v>233355</v>
      </c>
      <c r="X176">
        <v>1702</v>
      </c>
      <c r="Y176">
        <v>209</v>
      </c>
    </row>
    <row r="177" spans="1:25" x14ac:dyDescent="0.3">
      <c r="A177" s="1" cm="1">
        <f t="array" ref="A177">IF(OR(B177:L177=""), "", A176 + 1)</f>
        <v>44074</v>
      </c>
      <c r="B177">
        <f t="shared" si="166"/>
        <v>243049</v>
      </c>
      <c r="C177" s="11">
        <f t="shared" si="176"/>
        <v>1.9137716535433072E-2</v>
      </c>
      <c r="D177" s="2">
        <f t="shared" si="177"/>
        <v>6.9394383819301186E-3</v>
      </c>
      <c r="E177" s="18">
        <f t="shared" si="174"/>
        <v>-0.23038330403971422</v>
      </c>
      <c r="F177">
        <f t="shared" si="178"/>
        <v>1675</v>
      </c>
      <c r="G177">
        <v>8026</v>
      </c>
      <c r="H177">
        <f t="shared" si="175"/>
        <v>7</v>
      </c>
      <c r="I177">
        <v>4064161</v>
      </c>
      <c r="J177">
        <f t="shared" si="168"/>
        <v>47379</v>
      </c>
      <c r="K177" s="2">
        <f t="shared" si="169"/>
        <v>1.1795262974191756E-2</v>
      </c>
      <c r="L177" s="2">
        <f t="shared" si="179"/>
        <v>3.5353215559636123E-2</v>
      </c>
      <c r="W177">
        <v>235023</v>
      </c>
      <c r="X177">
        <v>1702</v>
      </c>
      <c r="Y177">
        <v>209</v>
      </c>
    </row>
    <row r="178" spans="1:25" x14ac:dyDescent="0.3">
      <c r="A178" s="1" cm="1">
        <f t="array" ref="A178">IF(OR(B178:L178=""), "", A177 + 1)</f>
        <v>44075</v>
      </c>
      <c r="B178">
        <f t="shared" si="166"/>
        <v>244579</v>
      </c>
      <c r="C178" s="11">
        <f t="shared" si="176"/>
        <v>1.9258188976377953E-2</v>
      </c>
      <c r="D178" s="2">
        <f t="shared" si="177"/>
        <v>6.2950269287262994E-3</v>
      </c>
      <c r="E178" s="18">
        <f t="shared" si="174"/>
        <v>4.697769769104089E-2</v>
      </c>
      <c r="F178">
        <f t="shared" si="178"/>
        <v>1530</v>
      </c>
      <c r="G178">
        <v>8064</v>
      </c>
      <c r="H178">
        <f t="shared" si="175"/>
        <v>38</v>
      </c>
      <c r="I178">
        <v>4087122</v>
      </c>
      <c r="J178">
        <f t="shared" si="168"/>
        <v>22961</v>
      </c>
      <c r="K178" s="2">
        <f t="shared" si="169"/>
        <v>5.6496285457194872E-3</v>
      </c>
      <c r="L178" s="2">
        <f t="shared" si="179"/>
        <v>6.6634728452593522E-2</v>
      </c>
      <c r="W178">
        <v>236515</v>
      </c>
      <c r="X178">
        <v>1702</v>
      </c>
      <c r="Y178">
        <v>209</v>
      </c>
    </row>
    <row r="179" spans="1:25" x14ac:dyDescent="0.3">
      <c r="A179" s="1" cm="1">
        <f t="array" ref="A179">IF(OR(B179:L179=""), "", A178 + 1)</f>
        <v>44076</v>
      </c>
      <c r="B179">
        <f t="shared" si="166"/>
        <v>246734</v>
      </c>
      <c r="C179" s="11">
        <f t="shared" si="176"/>
        <v>1.9427874015748033E-2</v>
      </c>
      <c r="D179" s="2">
        <f t="shared" si="177"/>
        <v>8.8110590034304881E-3</v>
      </c>
      <c r="E179" s="18">
        <f t="shared" si="174"/>
        <v>4.1221146020693253E-2</v>
      </c>
      <c r="F179">
        <f t="shared" si="178"/>
        <v>2155</v>
      </c>
      <c r="G179">
        <v>8091</v>
      </c>
      <c r="H179">
        <f t="shared" si="175"/>
        <v>27</v>
      </c>
      <c r="I179">
        <v>4119873</v>
      </c>
      <c r="J179">
        <f t="shared" si="168"/>
        <v>32751</v>
      </c>
      <c r="K179" s="2">
        <f t="shared" si="169"/>
        <v>8.0132181031054017E-3</v>
      </c>
      <c r="L179" s="2">
        <f t="shared" si="179"/>
        <v>6.5799517571982533E-2</v>
      </c>
      <c r="W179">
        <v>238643</v>
      </c>
      <c r="X179">
        <v>1702</v>
      </c>
      <c r="Y179">
        <v>209</v>
      </c>
    </row>
    <row r="180" spans="1:25" x14ac:dyDescent="0.3">
      <c r="A180" s="1" cm="1">
        <f t="array" ref="A180">IF(OR(B180:L180=""), "", A179 + 1)</f>
        <v>44077</v>
      </c>
      <c r="B180">
        <f t="shared" si="166"/>
        <v>248118</v>
      </c>
      <c r="C180" s="11">
        <f t="shared" si="176"/>
        <v>1.9536850393700789E-2</v>
      </c>
      <c r="D180" s="2">
        <f t="shared" si="177"/>
        <v>5.6092796290743152E-3</v>
      </c>
      <c r="E180" s="18">
        <f t="shared" si="174"/>
        <v>-0.24681601824029645</v>
      </c>
      <c r="F180">
        <f t="shared" si="178"/>
        <v>1384</v>
      </c>
      <c r="G180">
        <v>8115</v>
      </c>
      <c r="H180">
        <f t="shared" si="175"/>
        <v>24</v>
      </c>
      <c r="I180">
        <v>4160668</v>
      </c>
      <c r="J180">
        <f t="shared" si="168"/>
        <v>40795</v>
      </c>
      <c r="K180" s="2">
        <f t="shared" si="169"/>
        <v>9.9020042608108927E-3</v>
      </c>
      <c r="L180" s="2">
        <f t="shared" si="179"/>
        <v>3.3925726191935283E-2</v>
      </c>
      <c r="W180">
        <v>240003</v>
      </c>
      <c r="X180">
        <v>1702</v>
      </c>
      <c r="Y180">
        <v>209</v>
      </c>
    </row>
    <row r="181" spans="1:25" x14ac:dyDescent="0.3">
      <c r="A181" s="1" cm="1">
        <f t="array" ref="A181">IF(OR(B181:L181=""), "", A180 + 1)</f>
        <v>44078</v>
      </c>
      <c r="B181">
        <f t="shared" si="166"/>
        <v>253514</v>
      </c>
      <c r="C181" s="11">
        <f t="shared" si="176"/>
        <v>1.9961732283464567E-2</v>
      </c>
      <c r="D181" s="2">
        <f t="shared" si="177"/>
        <v>2.1747716812162032E-2</v>
      </c>
      <c r="E181" s="18">
        <f t="shared" si="174"/>
        <v>-0.21740452919609848</v>
      </c>
      <c r="F181">
        <f t="shared" si="178"/>
        <v>5396</v>
      </c>
      <c r="G181">
        <v>8143</v>
      </c>
      <c r="H181">
        <f t="shared" si="175"/>
        <v>28</v>
      </c>
      <c r="I181">
        <v>4309941</v>
      </c>
      <c r="J181">
        <f t="shared" si="168"/>
        <v>149273</v>
      </c>
      <c r="K181" s="2">
        <f t="shared" si="169"/>
        <v>3.587717164647608E-2</v>
      </c>
      <c r="L181" s="2">
        <f t="shared" si="179"/>
        <v>3.6148533224360735E-2</v>
      </c>
      <c r="W181">
        <v>245371</v>
      </c>
      <c r="X181">
        <v>1928</v>
      </c>
      <c r="Y181">
        <v>219</v>
      </c>
    </row>
    <row r="182" spans="1:25" x14ac:dyDescent="0.3">
      <c r="A182" s="1" cm="1">
        <f t="array" ref="A182">IF(OR(B182:L182=""), "", A181 + 1)</f>
        <v>44079</v>
      </c>
      <c r="B182">
        <f t="shared" si="166"/>
        <v>256343</v>
      </c>
      <c r="C182" s="11">
        <f t="shared" si="176"/>
        <v>2.0184488188976377E-2</v>
      </c>
      <c r="D182" s="2">
        <f t="shared" si="177"/>
        <v>1.1159147029355276E-2</v>
      </c>
      <c r="E182" s="18">
        <f t="shared" si="174"/>
        <v>-0.10983381716402559</v>
      </c>
      <c r="F182">
        <f t="shared" si="178"/>
        <v>2829</v>
      </c>
      <c r="G182">
        <v>8166</v>
      </c>
      <c r="H182">
        <f t="shared" si="175"/>
        <v>23</v>
      </c>
      <c r="I182">
        <v>4371876</v>
      </c>
      <c r="J182">
        <f t="shared" si="168"/>
        <v>61935</v>
      </c>
      <c r="K182" s="2">
        <f t="shared" si="169"/>
        <v>1.437026632151106E-2</v>
      </c>
      <c r="L182" s="2">
        <f t="shared" si="179"/>
        <v>4.5676919350932432E-2</v>
      </c>
      <c r="W182">
        <v>248177</v>
      </c>
      <c r="X182">
        <v>1928</v>
      </c>
      <c r="Y182">
        <v>219</v>
      </c>
    </row>
    <row r="183" spans="1:25" x14ac:dyDescent="0.3">
      <c r="A183" s="1" cm="1">
        <f t="array" ref="A183">IF(OR(B183:L183=""), "", A182 + 1)</f>
        <v>44080</v>
      </c>
      <c r="B183">
        <f t="shared" si="166"/>
        <v>257751</v>
      </c>
      <c r="C183" s="11">
        <f t="shared" si="176"/>
        <v>2.029535433070866E-2</v>
      </c>
      <c r="D183" s="2">
        <f t="shared" si="177"/>
        <v>5.492640719660713E-3</v>
      </c>
      <c r="E183" s="18">
        <f t="shared" si="174"/>
        <v>-0.28696656488993644</v>
      </c>
      <c r="F183">
        <f t="shared" si="178"/>
        <v>1408</v>
      </c>
      <c r="G183">
        <v>8171</v>
      </c>
      <c r="H183">
        <f t="shared" si="175"/>
        <v>5</v>
      </c>
      <c r="I183">
        <v>4418372</v>
      </c>
      <c r="J183">
        <f t="shared" si="168"/>
        <v>46496</v>
      </c>
      <c r="K183" s="2">
        <f t="shared" si="169"/>
        <v>1.0635251320028294E-2</v>
      </c>
      <c r="L183" s="2">
        <f t="shared" si="179"/>
        <v>3.0282174810736407E-2</v>
      </c>
      <c r="W183">
        <v>249580</v>
      </c>
      <c r="X183">
        <v>1928</v>
      </c>
      <c r="Y183">
        <v>219</v>
      </c>
    </row>
    <row r="184" spans="1:25" x14ac:dyDescent="0.3">
      <c r="A184" s="1" cm="1">
        <f t="array" ref="A184">IF(OR(B184:L184=""), "", A183 + 1)</f>
        <v>44081</v>
      </c>
      <c r="B184">
        <f t="shared" si="166"/>
        <v>259140</v>
      </c>
      <c r="C184" s="11">
        <f t="shared" si="176"/>
        <v>2.0404724409448818E-2</v>
      </c>
      <c r="D184" s="2">
        <f t="shared" si="177"/>
        <v>5.3889218664524563E-3</v>
      </c>
      <c r="E184" s="18">
        <f t="shared" si="174"/>
        <v>-8.5259279771079763E-2</v>
      </c>
      <c r="F184">
        <f t="shared" si="178"/>
        <v>1389</v>
      </c>
      <c r="G184">
        <v>8179</v>
      </c>
      <c r="H184">
        <f t="shared" si="175"/>
        <v>8</v>
      </c>
      <c r="I184">
        <v>4447347</v>
      </c>
      <c r="J184">
        <f t="shared" si="168"/>
        <v>28975</v>
      </c>
      <c r="K184" s="2">
        <f t="shared" si="169"/>
        <v>6.557845287811892E-3</v>
      </c>
      <c r="L184" s="2">
        <f t="shared" si="179"/>
        <v>4.7937877480586713E-2</v>
      </c>
      <c r="W184">
        <v>250961</v>
      </c>
      <c r="X184">
        <v>1928</v>
      </c>
      <c r="Y184">
        <v>219</v>
      </c>
    </row>
    <row r="185" spans="1:25" x14ac:dyDescent="0.3">
      <c r="A185" s="1" cm="1">
        <f t="array" ref="A185">IF(OR(B185:L185=""), "", A184 + 1)</f>
        <v>44082</v>
      </c>
      <c r="B185">
        <f t="shared" si="166"/>
        <v>260539</v>
      </c>
      <c r="C185" s="11">
        <f t="shared" si="176"/>
        <v>2.0514881889763779E-2</v>
      </c>
      <c r="D185" s="2">
        <f t="shared" si="177"/>
        <v>5.398626225206371E-3</v>
      </c>
      <c r="E185" s="18">
        <f t="shared" si="174"/>
        <v>-0.11603332180998155</v>
      </c>
      <c r="F185">
        <f t="shared" si="178"/>
        <v>1399</v>
      </c>
      <c r="G185">
        <v>8186</v>
      </c>
      <c r="H185">
        <f t="shared" si="175"/>
        <v>7</v>
      </c>
      <c r="I185">
        <v>4478710</v>
      </c>
      <c r="J185">
        <f t="shared" si="168"/>
        <v>31363</v>
      </c>
      <c r="K185" s="2">
        <f t="shared" si="169"/>
        <v>7.052069469731137E-3</v>
      </c>
      <c r="L185" s="2">
        <f t="shared" si="179"/>
        <v>4.4606702164971465E-2</v>
      </c>
      <c r="W185">
        <v>252353</v>
      </c>
      <c r="X185">
        <v>1928</v>
      </c>
      <c r="Y185">
        <v>219</v>
      </c>
    </row>
    <row r="186" spans="1:25" x14ac:dyDescent="0.3">
      <c r="A186" s="1" cm="1">
        <f t="array" ref="A186">IF(OR(B186:L186=""), "", A185 + 1)</f>
        <v>44083</v>
      </c>
      <c r="B186">
        <f t="shared" si="166"/>
        <v>261904</v>
      </c>
      <c r="C186" s="11">
        <f t="shared" si="176"/>
        <v>2.0622362204724409E-2</v>
      </c>
      <c r="D186" s="2">
        <f t="shared" si="177"/>
        <v>5.2391388621282342E-3</v>
      </c>
      <c r="E186" s="18">
        <f t="shared" si="174"/>
        <v>-0.31109069247681093</v>
      </c>
      <c r="F186">
        <f t="shared" si="178"/>
        <v>1365</v>
      </c>
      <c r="G186">
        <v>8214</v>
      </c>
      <c r="H186">
        <f t="shared" si="175"/>
        <v>28</v>
      </c>
      <c r="I186">
        <v>4526739</v>
      </c>
      <c r="J186">
        <f t="shared" si="168"/>
        <v>48029</v>
      </c>
      <c r="K186" s="2">
        <f t="shared" si="169"/>
        <v>1.0723846821964367E-2</v>
      </c>
      <c r="L186" s="2">
        <f t="shared" si="179"/>
        <v>2.8420329384330301E-2</v>
      </c>
      <c r="W186">
        <v>253690</v>
      </c>
      <c r="X186">
        <v>1928</v>
      </c>
      <c r="Y186">
        <v>219</v>
      </c>
    </row>
    <row r="187" spans="1:25" x14ac:dyDescent="0.3">
      <c r="A187" s="1" cm="1">
        <f t="array" ref="A187">IF(OR(B187:L187=""), "", A186 + 1)</f>
        <v>44084</v>
      </c>
      <c r="B187">
        <f t="shared" si="166"/>
        <v>263885</v>
      </c>
      <c r="C187" s="11">
        <f t="shared" si="176"/>
        <v>2.0778346456692912E-2</v>
      </c>
      <c r="D187" s="2">
        <f t="shared" si="177"/>
        <v>7.5638401857169857E-3</v>
      </c>
      <c r="E187" s="18">
        <f t="shared" si="174"/>
        <v>-0.15550871486145518</v>
      </c>
      <c r="F187">
        <f t="shared" si="178"/>
        <v>1981</v>
      </c>
      <c r="G187">
        <v>8242</v>
      </c>
      <c r="H187">
        <f t="shared" si="175"/>
        <v>28</v>
      </c>
      <c r="I187">
        <v>4575721</v>
      </c>
      <c r="J187">
        <f t="shared" si="168"/>
        <v>48982</v>
      </c>
      <c r="K187" s="2">
        <f t="shared" si="169"/>
        <v>1.0820592925724126E-2</v>
      </c>
      <c r="L187" s="2">
        <f t="shared" si="179"/>
        <v>4.0443428198113592E-2</v>
      </c>
      <c r="W187">
        <v>255643</v>
      </c>
      <c r="X187">
        <v>1928</v>
      </c>
      <c r="Y187">
        <v>219</v>
      </c>
    </row>
    <row r="188" spans="1:25" x14ac:dyDescent="0.3">
      <c r="A188" s="1" cm="1">
        <f t="array" ref="A188">IF(OR(B188:L188=""), "", A187 + 1)</f>
        <v>44085</v>
      </c>
      <c r="B188">
        <f t="shared" si="166"/>
        <v>266061</v>
      </c>
      <c r="C188" s="11">
        <f t="shared" si="176"/>
        <v>2.0949685039370079E-2</v>
      </c>
      <c r="D188" s="2">
        <f t="shared" si="177"/>
        <v>8.2460162570816564E-3</v>
      </c>
      <c r="E188" s="18">
        <f t="shared" si="174"/>
        <v>-0.17658051243618575</v>
      </c>
      <c r="F188">
        <f t="shared" si="178"/>
        <v>2176</v>
      </c>
      <c r="G188">
        <v>8273</v>
      </c>
      <c r="H188">
        <f t="shared" si="175"/>
        <v>31</v>
      </c>
      <c r="I188">
        <v>4632382</v>
      </c>
      <c r="J188">
        <f t="shared" si="168"/>
        <v>56661</v>
      </c>
      <c r="K188" s="2">
        <f t="shared" si="169"/>
        <v>1.2382966531394812E-2</v>
      </c>
      <c r="L188" s="2">
        <f t="shared" si="179"/>
        <v>3.8403840384038407E-2</v>
      </c>
      <c r="W188">
        <v>257788</v>
      </c>
      <c r="X188">
        <v>2095</v>
      </c>
      <c r="Y188">
        <v>232</v>
      </c>
    </row>
    <row r="189" spans="1:25" x14ac:dyDescent="0.3">
      <c r="A189" s="1" cm="1">
        <f t="array" ref="A189">IF(OR(B189:L189=""), "", A188 + 1)</f>
        <v>44086</v>
      </c>
      <c r="B189">
        <f t="shared" si="166"/>
        <v>268204</v>
      </c>
      <c r="C189" s="11">
        <f t="shared" si="176"/>
        <v>2.1118425196850393E-2</v>
      </c>
      <c r="D189" s="2">
        <f t="shared" si="177"/>
        <v>8.0545438827936966E-3</v>
      </c>
      <c r="E189" s="18">
        <f t="shared" si="174"/>
        <v>-0.18092507307135905</v>
      </c>
      <c r="F189">
        <f t="shared" si="178"/>
        <v>2143</v>
      </c>
      <c r="G189">
        <v>8295</v>
      </c>
      <c r="H189">
        <f t="shared" si="175"/>
        <v>22</v>
      </c>
      <c r="I189">
        <v>4688976</v>
      </c>
      <c r="J189">
        <f t="shared" si="168"/>
        <v>56594</v>
      </c>
      <c r="K189" s="2">
        <f t="shared" si="169"/>
        <v>1.2217040822626535E-2</v>
      </c>
      <c r="L189" s="2">
        <f t="shared" si="179"/>
        <v>3.7866204898045729E-2</v>
      </c>
      <c r="W189">
        <v>259909</v>
      </c>
      <c r="X189">
        <v>2095</v>
      </c>
      <c r="Y189">
        <v>232</v>
      </c>
    </row>
    <row r="190" spans="1:25" x14ac:dyDescent="0.3">
      <c r="A190" s="1" cm="1">
        <f t="array" ref="A190">IF(OR(B190:L190=""), "", A189 + 1)</f>
        <v>44087</v>
      </c>
      <c r="B190">
        <f t="shared" si="166"/>
        <v>269680</v>
      </c>
      <c r="C190" s="11">
        <f t="shared" si="176"/>
        <v>2.1234645669291338E-2</v>
      </c>
      <c r="D190" s="2">
        <f t="shared" si="177"/>
        <v>5.5032736275373306E-3</v>
      </c>
      <c r="E190" s="18">
        <f t="shared" si="174"/>
        <v>-0.25938111603584357</v>
      </c>
      <c r="F190">
        <f t="shared" si="178"/>
        <v>1476</v>
      </c>
      <c r="G190">
        <v>8309</v>
      </c>
      <c r="H190">
        <f t="shared" si="175"/>
        <v>14</v>
      </c>
      <c r="I190">
        <v>4735866</v>
      </c>
      <c r="J190">
        <f t="shared" si="168"/>
        <v>46890</v>
      </c>
      <c r="K190" s="2">
        <f t="shared" si="169"/>
        <v>1.0000051183883141E-2</v>
      </c>
      <c r="L190" s="2">
        <f t="shared" si="179"/>
        <v>3.1477927063339732E-2</v>
      </c>
      <c r="W190">
        <v>261371</v>
      </c>
      <c r="X190">
        <v>2095</v>
      </c>
      <c r="Y190">
        <v>232</v>
      </c>
    </row>
    <row r="191" spans="1:25" x14ac:dyDescent="0.3">
      <c r="A191" s="1" cm="1">
        <f t="array" ref="A191">IF(OR(B191:L191=""), "", A190 + 1)</f>
        <v>44088</v>
      </c>
      <c r="B191">
        <f t="shared" si="166"/>
        <v>271058</v>
      </c>
      <c r="C191" s="11">
        <f t="shared" si="176"/>
        <v>2.1343149606299211E-2</v>
      </c>
      <c r="D191" s="2">
        <f t="shared" si="177"/>
        <v>5.1097597152180985E-3</v>
      </c>
      <c r="E191" s="18">
        <f t="shared" si="174"/>
        <v>-0.17165733349778461</v>
      </c>
      <c r="F191">
        <f t="shared" si="178"/>
        <v>1378</v>
      </c>
      <c r="G191">
        <v>8314</v>
      </c>
      <c r="H191">
        <f t="shared" si="175"/>
        <v>5</v>
      </c>
      <c r="I191">
        <v>4771796</v>
      </c>
      <c r="J191">
        <f t="shared" si="168"/>
        <v>35930</v>
      </c>
      <c r="K191" s="2">
        <f t="shared" si="169"/>
        <v>7.5867856058426941E-3</v>
      </c>
      <c r="L191" s="2">
        <f t="shared" si="179"/>
        <v>3.8352351795157252E-2</v>
      </c>
      <c r="W191">
        <v>262744</v>
      </c>
      <c r="X191">
        <v>2095</v>
      </c>
      <c r="Y191">
        <v>232</v>
      </c>
    </row>
    <row r="192" spans="1:25" x14ac:dyDescent="0.3">
      <c r="A192" s="1" cm="1">
        <f t="array" ref="A192">IF(OR(B192:L192=""), "", A191 + 1)</f>
        <v>44089</v>
      </c>
      <c r="B192">
        <f t="shared" si="166"/>
        <v>272542</v>
      </c>
      <c r="C192" s="11">
        <f t="shared" si="176"/>
        <v>2.146E-2</v>
      </c>
      <c r="D192" s="2">
        <f t="shared" si="177"/>
        <v>5.4748430225266542E-3</v>
      </c>
      <c r="E192" s="18">
        <f t="shared" si="174"/>
        <v>-0.17435613817066345</v>
      </c>
      <c r="F192">
        <f t="shared" si="178"/>
        <v>1484</v>
      </c>
      <c r="G192">
        <v>8332</v>
      </c>
      <c r="H192">
        <f t="shared" si="175"/>
        <v>18</v>
      </c>
      <c r="I192">
        <v>4810827</v>
      </c>
      <c r="J192">
        <f t="shared" si="168"/>
        <v>39031</v>
      </c>
      <c r="K192" s="2">
        <f t="shared" si="169"/>
        <v>8.1795198285927739E-3</v>
      </c>
      <c r="L192" s="2">
        <f t="shared" si="179"/>
        <v>3.8021060182931513E-2</v>
      </c>
      <c r="W192">
        <v>264210</v>
      </c>
      <c r="X192">
        <v>2095</v>
      </c>
      <c r="Y192">
        <v>232</v>
      </c>
    </row>
    <row r="193" spans="1:25" x14ac:dyDescent="0.3">
      <c r="A193" s="1" cm="1">
        <f t="array" ref="A193">IF(OR(B193:L193=""), "", A192 + 1)</f>
        <v>44090</v>
      </c>
      <c r="B193">
        <f t="shared" si="166"/>
        <v>274518</v>
      </c>
      <c r="C193" s="11">
        <f t="shared" si="176"/>
        <v>2.1615590551181101E-2</v>
      </c>
      <c r="D193" s="2">
        <f t="shared" si="177"/>
        <v>7.2502586757270393E-3</v>
      </c>
      <c r="E193" s="18">
        <f t="shared" si="174"/>
        <v>-0.17601978089113662</v>
      </c>
      <c r="F193">
        <f t="shared" si="178"/>
        <v>1976</v>
      </c>
      <c r="G193">
        <v>8367</v>
      </c>
      <c r="H193">
        <f t="shared" si="175"/>
        <v>35</v>
      </c>
      <c r="I193">
        <v>4863138</v>
      </c>
      <c r="J193">
        <f t="shared" si="168"/>
        <v>52311</v>
      </c>
      <c r="K193" s="2">
        <f t="shared" si="169"/>
        <v>1.0873598239969917E-2</v>
      </c>
      <c r="L193" s="2">
        <f t="shared" si="179"/>
        <v>3.7774081933054232E-2</v>
      </c>
      <c r="W193">
        <v>266151</v>
      </c>
      <c r="X193">
        <v>2095</v>
      </c>
      <c r="Y193">
        <v>232</v>
      </c>
    </row>
    <row r="194" spans="1:25" x14ac:dyDescent="0.3">
      <c r="A194" s="1" cm="1">
        <f t="array" ref="A194">IF(OR(B194:L194=""), "", A193 + 1)</f>
        <v>44091</v>
      </c>
      <c r="B194">
        <f t="shared" si="166"/>
        <v>276599</v>
      </c>
      <c r="C194" s="11">
        <f t="shared" si="176"/>
        <v>2.1779448818897637E-2</v>
      </c>
      <c r="D194" s="2">
        <f t="shared" si="177"/>
        <v>7.5805593804414428E-3</v>
      </c>
      <c r="E194" s="18">
        <f t="shared" si="174"/>
        <v>-0.1953099907836181</v>
      </c>
      <c r="F194">
        <f t="shared" si="178"/>
        <v>2081</v>
      </c>
      <c r="G194">
        <v>8392</v>
      </c>
      <c r="H194">
        <f t="shared" si="175"/>
        <v>25</v>
      </c>
      <c r="I194">
        <v>4920938</v>
      </c>
      <c r="J194">
        <f t="shared" si="168"/>
        <v>57800</v>
      </c>
      <c r="K194" s="2">
        <f t="shared" si="169"/>
        <v>1.1885330007086026E-2</v>
      </c>
      <c r="L194" s="2">
        <f t="shared" si="179"/>
        <v>3.6003460207612456E-2</v>
      </c>
      <c r="W194">
        <v>268207</v>
      </c>
      <c r="X194">
        <v>2095</v>
      </c>
      <c r="Y194">
        <v>232</v>
      </c>
    </row>
    <row r="195" spans="1:25" x14ac:dyDescent="0.3">
      <c r="A195" s="1" cm="1">
        <f t="array" ref="A195">IF(OR(B195:L195=""), "", A194 + 1)</f>
        <v>44092</v>
      </c>
      <c r="B195">
        <f t="shared" si="166"/>
        <v>278738</v>
      </c>
      <c r="C195" s="11">
        <f t="shared" si="176"/>
        <v>2.1947874015748031E-2</v>
      </c>
      <c r="D195" s="2">
        <f t="shared" si="177"/>
        <v>7.7332166782959622E-3</v>
      </c>
      <c r="E195" s="18">
        <f t="shared" si="174"/>
        <v>-0.21140884763513462</v>
      </c>
      <c r="F195">
        <f t="shared" si="178"/>
        <v>2139</v>
      </c>
      <c r="G195">
        <v>8411</v>
      </c>
      <c r="H195">
        <f t="shared" si="175"/>
        <v>19</v>
      </c>
      <c r="I195">
        <v>4982856</v>
      </c>
      <c r="J195">
        <f t="shared" si="168"/>
        <v>61918</v>
      </c>
      <c r="K195" s="2">
        <f t="shared" si="169"/>
        <v>1.2582560479323268E-2</v>
      </c>
      <c r="L195" s="2">
        <f t="shared" si="179"/>
        <v>3.4545689460253881E-2</v>
      </c>
      <c r="W195">
        <v>270327</v>
      </c>
      <c r="X195">
        <v>2198</v>
      </c>
      <c r="Y195">
        <v>236</v>
      </c>
    </row>
    <row r="196" spans="1:25" x14ac:dyDescent="0.3">
      <c r="A196" s="1" cm="1">
        <f t="array" ref="A196">IF(OR(B196:L196=""), "", A195 + 1)</f>
        <v>44093</v>
      </c>
      <c r="B196">
        <f t="shared" si="166"/>
        <v>281292</v>
      </c>
      <c r="C196" s="11">
        <f t="shared" si="176"/>
        <v>2.2148976377952757E-2</v>
      </c>
      <c r="D196" s="2">
        <f t="shared" si="177"/>
        <v>9.1627262877684856E-3</v>
      </c>
      <c r="E196" s="18">
        <f t="shared" si="174"/>
        <v>-0.21140392398434693</v>
      </c>
      <c r="F196">
        <f t="shared" si="178"/>
        <v>2554</v>
      </c>
      <c r="G196">
        <v>8436</v>
      </c>
      <c r="H196">
        <f t="shared" si="175"/>
        <v>25</v>
      </c>
      <c r="I196">
        <v>5057142</v>
      </c>
      <c r="J196">
        <f t="shared" si="168"/>
        <v>74286</v>
      </c>
      <c r="K196" s="2">
        <f t="shared" si="169"/>
        <v>1.4908317639522384E-2</v>
      </c>
      <c r="L196" s="2">
        <f t="shared" si="179"/>
        <v>3.4380636997550007E-2</v>
      </c>
      <c r="W196">
        <v>272856</v>
      </c>
      <c r="X196">
        <v>2198</v>
      </c>
      <c r="Y196">
        <v>236</v>
      </c>
    </row>
    <row r="197" spans="1:25" x14ac:dyDescent="0.3">
      <c r="A197" s="1" cm="1">
        <f t="array" ref="A197">IF(OR(B197:L197=""), "", A196 + 1)</f>
        <v>44094</v>
      </c>
      <c r="B197">
        <f t="shared" si="166"/>
        <v>282708</v>
      </c>
      <c r="C197" s="11">
        <f t="shared" si="176"/>
        <v>2.2260472440944881E-2</v>
      </c>
      <c r="D197" s="2">
        <f t="shared" si="177"/>
        <v>5.0339149353697543E-3</v>
      </c>
      <c r="E197" s="18">
        <f t="shared" si="174"/>
        <v>-0.27552973095609778</v>
      </c>
      <c r="F197">
        <f t="shared" si="178"/>
        <v>1416</v>
      </c>
      <c r="G197">
        <v>8450</v>
      </c>
      <c r="H197">
        <f t="shared" si="175"/>
        <v>14</v>
      </c>
      <c r="I197">
        <v>5105153</v>
      </c>
      <c r="J197">
        <f t="shared" si="168"/>
        <v>48011</v>
      </c>
      <c r="K197" s="2">
        <f t="shared" si="169"/>
        <v>9.4937021740737482E-3</v>
      </c>
      <c r="L197" s="2">
        <f t="shared" si="179"/>
        <v>2.9493241132240527E-2</v>
      </c>
      <c r="W197">
        <v>274258</v>
      </c>
      <c r="X197">
        <v>2198</v>
      </c>
      <c r="Y197">
        <v>236</v>
      </c>
    </row>
    <row r="198" spans="1:25" x14ac:dyDescent="0.3">
      <c r="A198" s="1" cm="1">
        <f t="array" ref="A198">IF(OR(B198:L198=""), "", A197 + 1)</f>
        <v>44095</v>
      </c>
      <c r="B198">
        <f t="shared" si="166"/>
        <v>284192</v>
      </c>
      <c r="C198" s="11">
        <f t="shared" si="176"/>
        <v>2.237732283464567E-2</v>
      </c>
      <c r="D198" s="2">
        <f t="shared" si="177"/>
        <v>5.2492324235606791E-3</v>
      </c>
      <c r="E198" s="18">
        <f t="shared" si="174"/>
        <v>-0.15434517079308946</v>
      </c>
      <c r="F198">
        <f t="shared" si="178"/>
        <v>1484</v>
      </c>
      <c r="G198">
        <v>8457</v>
      </c>
      <c r="H198">
        <f t="shared" si="175"/>
        <v>7</v>
      </c>
      <c r="I198">
        <v>5143387</v>
      </c>
      <c r="J198">
        <f t="shared" si="168"/>
        <v>38234</v>
      </c>
      <c r="K198" s="2">
        <f t="shared" si="169"/>
        <v>7.48929561954359E-3</v>
      </c>
      <c r="L198" s="2">
        <f t="shared" si="179"/>
        <v>3.8813621384108384E-2</v>
      </c>
      <c r="W198">
        <v>275735</v>
      </c>
      <c r="X198">
        <v>2198</v>
      </c>
      <c r="Y198">
        <v>236</v>
      </c>
    </row>
    <row r="199" spans="1:25" x14ac:dyDescent="0.3">
      <c r="A199" s="1" cm="1">
        <f t="array" ref="A199">IF(OR(B199:L199=""), "", A198 + 1)</f>
        <v>44096</v>
      </c>
      <c r="B199">
        <f t="shared" si="166"/>
        <v>285752</v>
      </c>
      <c r="C199" s="11">
        <f t="shared" si="176"/>
        <v>2.2500157480314961E-2</v>
      </c>
      <c r="D199" s="2">
        <f t="shared" si="177"/>
        <v>5.4892467064520112E-3</v>
      </c>
      <c r="E199" s="18">
        <f t="shared" si="174"/>
        <v>-0.17071552927096295</v>
      </c>
      <c r="F199">
        <f t="shared" si="178"/>
        <v>1560</v>
      </c>
      <c r="G199">
        <v>8486</v>
      </c>
      <c r="H199">
        <f t="shared" si="175"/>
        <v>29</v>
      </c>
      <c r="I199">
        <v>5185216</v>
      </c>
      <c r="J199">
        <f t="shared" si="168"/>
        <v>41829</v>
      </c>
      <c r="K199" s="2">
        <f t="shared" si="169"/>
        <v>8.1325787851467268E-3</v>
      </c>
      <c r="L199" s="2">
        <f t="shared" si="179"/>
        <v>3.7294699849386791E-2</v>
      </c>
      <c r="W199">
        <v>277266</v>
      </c>
      <c r="X199">
        <v>2198</v>
      </c>
      <c r="Y199">
        <v>236</v>
      </c>
    </row>
    <row r="200" spans="1:25" x14ac:dyDescent="0.3">
      <c r="A200" s="1" cm="1">
        <f t="array" ref="A200">IF(OR(B200:L200=""), "", A199 + 1)</f>
        <v>44097</v>
      </c>
      <c r="B200">
        <f t="shared" si="166"/>
        <v>287622</v>
      </c>
      <c r="C200" s="11">
        <f t="shared" si="176"/>
        <v>2.2647401574803151E-2</v>
      </c>
      <c r="D200" s="2">
        <f t="shared" si="177"/>
        <v>6.5441361740250503E-3</v>
      </c>
      <c r="E200" s="18">
        <f t="shared" si="174"/>
        <v>-0.13581455397030207</v>
      </c>
      <c r="F200">
        <f t="shared" si="178"/>
        <v>1870</v>
      </c>
      <c r="G200">
        <v>8508</v>
      </c>
      <c r="H200">
        <f t="shared" si="175"/>
        <v>22</v>
      </c>
      <c r="I200">
        <v>5231607</v>
      </c>
      <c r="J200">
        <f t="shared" si="168"/>
        <v>46391</v>
      </c>
      <c r="K200" s="2">
        <f t="shared" si="169"/>
        <v>8.9467825448350524E-3</v>
      </c>
      <c r="L200" s="2">
        <f t="shared" si="179"/>
        <v>4.0309542799249858E-2</v>
      </c>
      <c r="W200">
        <v>279114</v>
      </c>
      <c r="X200">
        <v>2198</v>
      </c>
      <c r="Y200">
        <v>236</v>
      </c>
    </row>
    <row r="201" spans="1:25" x14ac:dyDescent="0.3">
      <c r="A201" s="1" cm="1">
        <f t="array" ref="A201">IF(OR(B201:L201=""), "", A200 + 1)</f>
        <v>44098</v>
      </c>
      <c r="B201">
        <f t="shared" si="166"/>
        <v>289909</v>
      </c>
      <c r="C201" s="11">
        <f t="shared" si="176"/>
        <v>2.2827480314960631E-2</v>
      </c>
      <c r="D201" s="2">
        <f t="shared" si="177"/>
        <v>7.9514084458074397E-3</v>
      </c>
      <c r="E201" s="18">
        <f t="shared" si="174"/>
        <v>-0.17380956722596602</v>
      </c>
      <c r="F201">
        <f t="shared" si="178"/>
        <v>2287</v>
      </c>
      <c r="G201">
        <v>8538</v>
      </c>
      <c r="H201">
        <f t="shared" si="175"/>
        <v>30</v>
      </c>
      <c r="I201">
        <v>5293678</v>
      </c>
      <c r="J201">
        <f t="shared" si="168"/>
        <v>62071</v>
      </c>
      <c r="K201" s="2">
        <f t="shared" si="169"/>
        <v>1.1864614448294786E-2</v>
      </c>
      <c r="L201" s="2">
        <f t="shared" si="179"/>
        <v>3.684490341705466E-2</v>
      </c>
      <c r="W201">
        <v>281371</v>
      </c>
      <c r="X201">
        <v>2198</v>
      </c>
      <c r="Y201">
        <v>236</v>
      </c>
    </row>
    <row r="202" spans="1:25" x14ac:dyDescent="0.3">
      <c r="A202" s="1" cm="1">
        <f t="array" ref="A202">IF(OR(B202:L202=""), "", A201 + 1)</f>
        <v>44099</v>
      </c>
      <c r="B202">
        <f t="shared" si="166"/>
        <v>292448</v>
      </c>
      <c r="C202" s="11">
        <f t="shared" si="176"/>
        <v>2.3027401574803149E-2</v>
      </c>
      <c r="D202" s="2">
        <f t="shared" si="177"/>
        <v>8.7579205888743683E-3</v>
      </c>
      <c r="E202" s="18">
        <f t="shared" si="174"/>
        <v>-0.17765334275758063</v>
      </c>
      <c r="F202">
        <f t="shared" si="178"/>
        <v>2539</v>
      </c>
      <c r="G202">
        <v>8563</v>
      </c>
      <c r="H202">
        <f t="shared" si="175"/>
        <v>25</v>
      </c>
      <c r="I202">
        <v>5363471</v>
      </c>
      <c r="J202">
        <f t="shared" si="168"/>
        <v>69793</v>
      </c>
      <c r="K202" s="2">
        <f t="shared" si="169"/>
        <v>1.3184217098206608E-2</v>
      </c>
      <c r="L202" s="2">
        <f t="shared" si="179"/>
        <v>3.637900649062227E-2</v>
      </c>
      <c r="W202">
        <v>283885</v>
      </c>
      <c r="X202">
        <v>2489</v>
      </c>
      <c r="Y202">
        <v>244</v>
      </c>
    </row>
    <row r="203" spans="1:25" x14ac:dyDescent="0.3">
      <c r="A203" s="1" cm="1">
        <f t="array" ref="A203">IF(OR(B203:L203=""), "", A202 + 1)</f>
        <v>44100</v>
      </c>
      <c r="B203">
        <f t="shared" si="166"/>
        <v>294914</v>
      </c>
      <c r="C203" s="11">
        <f t="shared" si="176"/>
        <v>2.3221574803149608E-2</v>
      </c>
      <c r="D203" s="2">
        <f t="shared" si="177"/>
        <v>8.4322683006894383E-3</v>
      </c>
      <c r="E203" s="18">
        <f t="shared" si="174"/>
        <v>-0.15897046389241859</v>
      </c>
      <c r="F203">
        <f t="shared" si="178"/>
        <v>2466</v>
      </c>
      <c r="G203">
        <v>8588</v>
      </c>
      <c r="H203">
        <f t="shared" si="175"/>
        <v>25</v>
      </c>
      <c r="I203">
        <v>5428688</v>
      </c>
      <c r="J203">
        <f t="shared" si="168"/>
        <v>65217</v>
      </c>
      <c r="K203" s="2">
        <f t="shared" si="169"/>
        <v>1.2159476577760842E-2</v>
      </c>
      <c r="L203" s="2">
        <f t="shared" si="179"/>
        <v>3.7812226873361242E-2</v>
      </c>
      <c r="W203">
        <v>286326</v>
      </c>
      <c r="X203">
        <v>2489</v>
      </c>
      <c r="Y203">
        <v>244</v>
      </c>
    </row>
    <row r="204" spans="1:25" x14ac:dyDescent="0.3">
      <c r="A204" s="1" cm="1">
        <f t="array" ref="A204">IF(OR(B204:L204=""), "", A203 + 1)</f>
        <v>44101</v>
      </c>
      <c r="B204">
        <f t="shared" si="166"/>
        <v>296531</v>
      </c>
      <c r="C204" s="11">
        <f t="shared" si="176"/>
        <v>2.3348897637795275E-2</v>
      </c>
      <c r="D204" s="2">
        <f t="shared" si="177"/>
        <v>5.4829543527943336E-3</v>
      </c>
      <c r="E204" s="18">
        <f t="shared" si="174"/>
        <v>-0.23234223918269598</v>
      </c>
      <c r="F204">
        <f t="shared" si="178"/>
        <v>1617</v>
      </c>
      <c r="G204">
        <v>8601</v>
      </c>
      <c r="H204">
        <f t="shared" si="175"/>
        <v>13</v>
      </c>
      <c r="I204">
        <v>5479510</v>
      </c>
      <c r="J204">
        <f t="shared" si="168"/>
        <v>50822</v>
      </c>
      <c r="K204" s="2">
        <f t="shared" si="169"/>
        <v>9.3617463372366316E-3</v>
      </c>
      <c r="L204" s="2">
        <f t="shared" si="179"/>
        <v>3.1816929676124511E-2</v>
      </c>
      <c r="W204">
        <v>287930</v>
      </c>
      <c r="X204">
        <v>2489</v>
      </c>
      <c r="Y204">
        <v>244</v>
      </c>
    </row>
    <row r="205" spans="1:25" x14ac:dyDescent="0.3">
      <c r="A205" s="1" cm="1">
        <f t="array" ref="A205">IF(OR(B205:L205=""), "", A204 + 1)</f>
        <v>44102</v>
      </c>
      <c r="B205">
        <f t="shared" si="166"/>
        <v>298253</v>
      </c>
      <c r="C205" s="11">
        <f t="shared" si="176"/>
        <v>2.3484488188976377E-2</v>
      </c>
      <c r="D205" s="2">
        <f t="shared" si="177"/>
        <v>5.8071500112972796E-3</v>
      </c>
      <c r="E205" s="18">
        <f t="shared" si="174"/>
        <v>-0.11158063105371344</v>
      </c>
      <c r="F205">
        <f t="shared" si="178"/>
        <v>1722</v>
      </c>
      <c r="G205">
        <v>8614</v>
      </c>
      <c r="H205">
        <f t="shared" si="175"/>
        <v>13</v>
      </c>
      <c r="I205">
        <v>5520652</v>
      </c>
      <c r="J205">
        <f t="shared" si="168"/>
        <v>41142</v>
      </c>
      <c r="K205" s="2">
        <f t="shared" si="169"/>
        <v>7.5083355993510459E-3</v>
      </c>
      <c r="L205" s="2">
        <f t="shared" si="179"/>
        <v>4.1855038646638469E-2</v>
      </c>
      <c r="W205">
        <v>289639</v>
      </c>
      <c r="X205">
        <v>2489</v>
      </c>
      <c r="Y205">
        <v>244</v>
      </c>
    </row>
    <row r="206" spans="1:25" x14ac:dyDescent="0.3">
      <c r="A206" s="1" cm="1">
        <f t="array" ref="A206">IF(OR(B206:L206=""), "", A205 + 1)</f>
        <v>44103</v>
      </c>
      <c r="B206">
        <f t="shared" si="166"/>
        <v>299638</v>
      </c>
      <c r="C206" s="11">
        <f t="shared" si="176"/>
        <v>2.3593543307086615E-2</v>
      </c>
      <c r="D206" s="2">
        <f t="shared" si="177"/>
        <v>4.6437085293358216E-3</v>
      </c>
      <c r="E206" s="18">
        <f t="shared" si="174"/>
        <v>-0.25033803412252315</v>
      </c>
      <c r="F206">
        <f t="shared" si="178"/>
        <v>1385</v>
      </c>
      <c r="G206">
        <v>8637</v>
      </c>
      <c r="H206">
        <f t="shared" si="175"/>
        <v>23</v>
      </c>
      <c r="I206">
        <v>5566276</v>
      </c>
      <c r="J206">
        <f t="shared" si="168"/>
        <v>45624</v>
      </c>
      <c r="K206" s="2">
        <f t="shared" si="169"/>
        <v>8.2642412526636733E-3</v>
      </c>
      <c r="L206" s="2">
        <f t="shared" si="179"/>
        <v>3.0356829738733999E-2</v>
      </c>
      <c r="W206">
        <v>291001</v>
      </c>
      <c r="X206">
        <v>2489</v>
      </c>
      <c r="Y206">
        <v>244</v>
      </c>
    </row>
    <row r="207" spans="1:25" x14ac:dyDescent="0.3">
      <c r="A207" s="1" cm="1">
        <f t="array" ref="A207">IF(OR(B207:L207=""), "", A206 + 1)</f>
        <v>44104</v>
      </c>
      <c r="B207">
        <f t="shared" si="166"/>
        <v>301946</v>
      </c>
      <c r="C207" s="11">
        <f t="shared" si="176"/>
        <v>2.3775275590551183E-2</v>
      </c>
      <c r="D207" s="2">
        <f t="shared" si="177"/>
        <v>7.7026278375906809E-3</v>
      </c>
      <c r="E207" s="18">
        <f t="shared" si="174"/>
        <v>-0.13529357680747262</v>
      </c>
      <c r="F207">
        <f t="shared" si="178"/>
        <v>2308</v>
      </c>
      <c r="G207">
        <v>8672</v>
      </c>
      <c r="H207">
        <f t="shared" si="175"/>
        <v>35</v>
      </c>
      <c r="I207">
        <v>5624822</v>
      </c>
      <c r="J207">
        <f t="shared" si="168"/>
        <v>58546</v>
      </c>
      <c r="K207" s="2">
        <f t="shared" si="169"/>
        <v>1.051798365729617E-2</v>
      </c>
      <c r="L207" s="2">
        <f t="shared" si="179"/>
        <v>3.9421992962798483E-2</v>
      </c>
      <c r="W207">
        <v>293274</v>
      </c>
      <c r="X207">
        <v>2489</v>
      </c>
      <c r="Y207">
        <v>244</v>
      </c>
    </row>
    <row r="208" spans="1:25" x14ac:dyDescent="0.3">
      <c r="A208" s="1" cm="1">
        <f t="array" ref="A208">IF(OR(B208:L208=""), "", A207 + 1)</f>
        <v>44105</v>
      </c>
      <c r="B208">
        <f t="shared" si="166"/>
        <v>304136</v>
      </c>
      <c r="C208" s="11">
        <f t="shared" si="176"/>
        <v>2.394771653543307E-2</v>
      </c>
      <c r="D208" s="2">
        <f t="shared" si="177"/>
        <v>7.2529525146880491E-3</v>
      </c>
      <c r="E208" s="18">
        <f t="shared" si="174"/>
        <v>-0.20637951547503894</v>
      </c>
      <c r="F208">
        <f t="shared" si="178"/>
        <v>2190</v>
      </c>
      <c r="G208">
        <v>8696</v>
      </c>
      <c r="H208">
        <f t="shared" si="175"/>
        <v>24</v>
      </c>
      <c r="I208">
        <v>5690437</v>
      </c>
      <c r="J208">
        <f t="shared" si="168"/>
        <v>65615</v>
      </c>
      <c r="K208" s="2">
        <f t="shared" si="169"/>
        <v>1.1665258029498471E-2</v>
      </c>
      <c r="L208" s="2">
        <f t="shared" si="179"/>
        <v>3.337651451649775E-2</v>
      </c>
      <c r="W208">
        <v>295440</v>
      </c>
      <c r="X208">
        <v>2489</v>
      </c>
      <c r="Y208">
        <v>244</v>
      </c>
    </row>
    <row r="209" spans="1:25" x14ac:dyDescent="0.3">
      <c r="A209" s="1" cm="1">
        <f t="array" ref="A209">IF(OR(B209:L209=""), "", A208 + 1)</f>
        <v>44106</v>
      </c>
      <c r="B209">
        <f t="shared" si="166"/>
        <v>306389</v>
      </c>
      <c r="C209" s="11">
        <f t="shared" si="176"/>
        <v>2.412511811023622E-2</v>
      </c>
      <c r="D209" s="2">
        <f t="shared" si="177"/>
        <v>7.4078701633479849E-3</v>
      </c>
      <c r="E209" s="18">
        <f t="shared" si="174"/>
        <v>-0.23664166196106312</v>
      </c>
      <c r="F209">
        <f t="shared" si="178"/>
        <v>2253</v>
      </c>
      <c r="G209">
        <v>8743</v>
      </c>
      <c r="H209">
        <f t="shared" si="175"/>
        <v>47</v>
      </c>
      <c r="I209">
        <v>5763128</v>
      </c>
      <c r="J209">
        <f t="shared" si="168"/>
        <v>72691</v>
      </c>
      <c r="K209" s="2">
        <f t="shared" si="169"/>
        <v>1.2774238604170485E-2</v>
      </c>
      <c r="L209" s="2">
        <f t="shared" si="179"/>
        <v>3.0994208361420257E-2</v>
      </c>
      <c r="W209">
        <v>297646</v>
      </c>
      <c r="X209">
        <v>2739</v>
      </c>
      <c r="Y209">
        <v>249</v>
      </c>
    </row>
    <row r="210" spans="1:25" x14ac:dyDescent="0.3">
      <c r="A210" s="1" cm="1">
        <f t="array" ref="A210">IF(OR(B210:L210=""), "", A209 + 1)</f>
        <v>44107</v>
      </c>
      <c r="B210">
        <f t="shared" si="166"/>
        <v>308862</v>
      </c>
      <c r="C210" s="11">
        <f t="shared" si="176"/>
        <v>2.4319842519685039E-2</v>
      </c>
      <c r="D210" s="2">
        <f t="shared" si="177"/>
        <v>8.0714385960332091E-3</v>
      </c>
      <c r="E210" s="18">
        <f t="shared" si="174"/>
        <v>-0.18750998995008755</v>
      </c>
      <c r="F210">
        <f t="shared" si="178"/>
        <v>2473</v>
      </c>
      <c r="G210">
        <v>8774</v>
      </c>
      <c r="H210">
        <f t="shared" si="175"/>
        <v>31</v>
      </c>
      <c r="I210">
        <v>5834762</v>
      </c>
      <c r="J210">
        <f t="shared" si="168"/>
        <v>71634</v>
      </c>
      <c r="K210" s="2">
        <f t="shared" si="169"/>
        <v>1.2429708311181065E-2</v>
      </c>
      <c r="L210" s="2">
        <f t="shared" si="179"/>
        <v>3.4522712678337106E-2</v>
      </c>
      <c r="W210">
        <v>300088</v>
      </c>
      <c r="X210">
        <v>2739</v>
      </c>
      <c r="Y210">
        <v>249</v>
      </c>
    </row>
    <row r="211" spans="1:25" x14ac:dyDescent="0.3">
      <c r="A211" s="1" cm="1">
        <f t="array" ref="A211">IF(OR(B211:L211=""), "", A210 + 1)</f>
        <v>44108</v>
      </c>
      <c r="B211">
        <f t="shared" si="166"/>
        <v>310332</v>
      </c>
      <c r="C211" s="11">
        <f t="shared" si="176"/>
        <v>2.4435590551181101E-2</v>
      </c>
      <c r="D211" s="2">
        <f t="shared" si="177"/>
        <v>4.7594071138565841E-3</v>
      </c>
      <c r="E211" s="18">
        <f t="shared" si="174"/>
        <v>-0.26954477212546912</v>
      </c>
      <c r="F211">
        <f t="shared" si="178"/>
        <v>1470</v>
      </c>
      <c r="G211">
        <v>8791</v>
      </c>
      <c r="H211">
        <f t="shared" si="175"/>
        <v>17</v>
      </c>
      <c r="I211">
        <v>5886418</v>
      </c>
      <c r="J211">
        <f t="shared" si="168"/>
        <v>51656</v>
      </c>
      <c r="K211" s="2">
        <f t="shared" si="169"/>
        <v>8.8531460237795123E-3</v>
      </c>
      <c r="L211" s="2">
        <f t="shared" si="179"/>
        <v>2.8457487997522068E-2</v>
      </c>
      <c r="W211">
        <v>301541</v>
      </c>
      <c r="X211">
        <v>2739</v>
      </c>
      <c r="Y211">
        <v>249</v>
      </c>
    </row>
    <row r="212" spans="1:25" x14ac:dyDescent="0.3">
      <c r="A212" s="1" cm="1">
        <f t="array" ref="A212">IF(OR(B212:L212=""), "", A211 + 1)</f>
        <v>44109</v>
      </c>
      <c r="B212">
        <f t="shared" si="166"/>
        <v>312199</v>
      </c>
      <c r="C212" s="11">
        <f t="shared" si="176"/>
        <v>2.4582598425196851E-2</v>
      </c>
      <c r="D212" s="2">
        <f t="shared" si="177"/>
        <v>6.0161375559077968E-3</v>
      </c>
      <c r="E212" s="18">
        <f t="shared" si="174"/>
        <v>-3.6720316267001681E-2</v>
      </c>
      <c r="F212">
        <f t="shared" si="178"/>
        <v>1867</v>
      </c>
      <c r="G212">
        <v>8805</v>
      </c>
      <c r="H212">
        <f t="shared" si="175"/>
        <v>14</v>
      </c>
      <c r="I212">
        <v>5924956</v>
      </c>
      <c r="J212">
        <f t="shared" si="168"/>
        <v>38538</v>
      </c>
      <c r="K212" s="2">
        <f t="shared" si="169"/>
        <v>6.5469356746326035E-3</v>
      </c>
      <c r="L212" s="2">
        <f t="shared" si="179"/>
        <v>4.8445689968342934E-2</v>
      </c>
      <c r="W212">
        <v>303394</v>
      </c>
      <c r="X212">
        <v>2739</v>
      </c>
      <c r="Y212">
        <v>249</v>
      </c>
    </row>
    <row r="213" spans="1:25" x14ac:dyDescent="0.3">
      <c r="A213" s="1" cm="1">
        <f t="array" ref="A213">IF(OR(B213:L213=""), "", A212 + 1)</f>
        <v>44110</v>
      </c>
      <c r="B213">
        <f t="shared" si="166"/>
        <v>313847</v>
      </c>
      <c r="C213" s="11">
        <f t="shared" si="176"/>
        <v>2.4712362204724409E-2</v>
      </c>
      <c r="D213" s="2">
        <f t="shared" si="177"/>
        <v>5.2786844288419399E-3</v>
      </c>
      <c r="E213" s="18">
        <f t="shared" si="174"/>
        <v>-0.19950841185123253</v>
      </c>
      <c r="F213">
        <f t="shared" si="178"/>
        <v>1648</v>
      </c>
      <c r="G213">
        <v>8836</v>
      </c>
      <c r="H213">
        <f t="shared" si="175"/>
        <v>31</v>
      </c>
      <c r="I213">
        <v>5974469</v>
      </c>
      <c r="J213">
        <f t="shared" si="168"/>
        <v>49513</v>
      </c>
      <c r="K213" s="2">
        <f t="shared" si="169"/>
        <v>8.3566865306679006E-3</v>
      </c>
      <c r="L213" s="2">
        <f t="shared" si="179"/>
        <v>3.3284187991032659E-2</v>
      </c>
      <c r="W213">
        <v>305011</v>
      </c>
      <c r="X213">
        <v>2739</v>
      </c>
      <c r="Y213">
        <v>249</v>
      </c>
    </row>
    <row r="214" spans="1:25" x14ac:dyDescent="0.3">
      <c r="A214" s="1" cm="1">
        <f t="array" ref="A214">IF(OR(B214:L214=""), "", A213 + 1)</f>
        <v>44111</v>
      </c>
      <c r="B214">
        <f t="shared" si="166"/>
        <v>316519</v>
      </c>
      <c r="C214" s="11">
        <f t="shared" si="176"/>
        <v>2.4922755905511813E-2</v>
      </c>
      <c r="D214" s="2">
        <f t="shared" si="177"/>
        <v>8.5137025365862318E-3</v>
      </c>
      <c r="E214" s="18">
        <f t="shared" si="174"/>
        <v>-6.3107236013738355E-2</v>
      </c>
      <c r="F214">
        <f t="shared" si="178"/>
        <v>2672</v>
      </c>
      <c r="G214">
        <v>8878</v>
      </c>
      <c r="H214">
        <f t="shared" si="175"/>
        <v>42</v>
      </c>
      <c r="I214">
        <v>6033289</v>
      </c>
      <c r="J214">
        <f t="shared" si="168"/>
        <v>58820</v>
      </c>
      <c r="K214" s="2">
        <f t="shared" si="169"/>
        <v>9.8452264125898914E-3</v>
      </c>
      <c r="L214" s="2">
        <f t="shared" si="179"/>
        <v>4.5426725603536215E-2</v>
      </c>
      <c r="W214">
        <v>307641</v>
      </c>
      <c r="X214">
        <v>2739</v>
      </c>
      <c r="Y214">
        <v>249</v>
      </c>
    </row>
    <row r="215" spans="1:25" x14ac:dyDescent="0.3">
      <c r="A215" s="1" cm="1">
        <f t="array" ref="A215">IF(OR(B215:L215=""), "", A214 + 1)</f>
        <v>44112</v>
      </c>
      <c r="B215">
        <f t="shared" si="166"/>
        <v>319610</v>
      </c>
      <c r="C215" s="11">
        <f t="shared" si="176"/>
        <v>2.5166141732283466E-2</v>
      </c>
      <c r="D215" s="2">
        <f t="shared" si="177"/>
        <v>9.7656064880782267E-3</v>
      </c>
      <c r="E215" s="18">
        <f t="shared" si="174"/>
        <v>-9.0030741791074315E-2</v>
      </c>
      <c r="F215">
        <f t="shared" si="178"/>
        <v>3091</v>
      </c>
      <c r="G215">
        <v>8910</v>
      </c>
      <c r="H215">
        <f t="shared" si="175"/>
        <v>32</v>
      </c>
      <c r="I215">
        <v>6105780</v>
      </c>
      <c r="J215">
        <f t="shared" si="168"/>
        <v>72491</v>
      </c>
      <c r="K215" s="2">
        <f t="shared" si="169"/>
        <v>1.2015171161202431E-2</v>
      </c>
      <c r="L215" s="2">
        <f t="shared" si="179"/>
        <v>4.2639775972189653E-2</v>
      </c>
      <c r="W215">
        <v>310700</v>
      </c>
      <c r="X215">
        <v>2739</v>
      </c>
      <c r="Y215">
        <v>249</v>
      </c>
    </row>
    <row r="216" spans="1:25" x14ac:dyDescent="0.3">
      <c r="A216" s="1" cm="1">
        <f t="array" ref="A216">IF(OR(B216:L216=""), "", A215 + 1)</f>
        <v>44113</v>
      </c>
      <c r="B216">
        <f t="shared" si="166"/>
        <v>322463</v>
      </c>
      <c r="C216" s="11">
        <f t="shared" si="176"/>
        <v>2.5390787401574803E-2</v>
      </c>
      <c r="D216" s="2">
        <f t="shared" si="177"/>
        <v>8.9265041769657216E-3</v>
      </c>
      <c r="E216" s="18">
        <f t="shared" si="174"/>
        <v>-0.11848439216858279</v>
      </c>
      <c r="F216">
        <f t="shared" si="178"/>
        <v>2853</v>
      </c>
      <c r="G216">
        <v>8945</v>
      </c>
      <c r="H216">
        <f t="shared" si="175"/>
        <v>35</v>
      </c>
      <c r="I216">
        <v>6177379</v>
      </c>
      <c r="J216">
        <f t="shared" si="168"/>
        <v>71599</v>
      </c>
      <c r="K216" s="2">
        <f t="shared" si="169"/>
        <v>1.1726429710864128E-2</v>
      </c>
      <c r="L216" s="2">
        <f t="shared" si="179"/>
        <v>3.9846925236385985E-2</v>
      </c>
      <c r="W216">
        <v>313518</v>
      </c>
      <c r="X216">
        <v>3038</v>
      </c>
      <c r="Y216">
        <v>246</v>
      </c>
    </row>
    <row r="217" spans="1:25" x14ac:dyDescent="0.3">
      <c r="A217" s="1" cm="1">
        <f t="array" ref="A217">IF(OR(B217:L217=""), "", A216 + 1)</f>
        <v>44114</v>
      </c>
      <c r="B217">
        <f t="shared" si="166"/>
        <v>325398</v>
      </c>
      <c r="C217" s="11">
        <f t="shared" si="176"/>
        <v>2.5621889763779528E-2</v>
      </c>
      <c r="D217" s="2">
        <f t="shared" si="177"/>
        <v>9.1018194335474867E-3</v>
      </c>
      <c r="E217" s="18">
        <f t="shared" si="174"/>
        <v>-7.1292750281047076E-2</v>
      </c>
      <c r="F217">
        <f t="shared" si="178"/>
        <v>2935</v>
      </c>
      <c r="G217">
        <v>8975</v>
      </c>
      <c r="H217">
        <f t="shared" si="175"/>
        <v>30</v>
      </c>
      <c r="I217">
        <v>6243635</v>
      </c>
      <c r="J217">
        <f t="shared" si="168"/>
        <v>66256</v>
      </c>
      <c r="K217" s="2">
        <f t="shared" si="169"/>
        <v>1.0725584426663826E-2</v>
      </c>
      <c r="L217" s="2">
        <f t="shared" si="179"/>
        <v>4.4297874909442161E-2</v>
      </c>
      <c r="W217">
        <v>316423</v>
      </c>
      <c r="X217">
        <v>3038</v>
      </c>
      <c r="Y217">
        <v>246</v>
      </c>
    </row>
    <row r="218" spans="1:25" x14ac:dyDescent="0.3">
      <c r="A218" s="1" cm="1">
        <f t="array" ref="A218">IF(OR(B218:L218=""), "", A217 + 1)</f>
        <v>44115</v>
      </c>
      <c r="B218">
        <f t="shared" si="166"/>
        <v>328134</v>
      </c>
      <c r="C218" s="11">
        <f t="shared" si="176"/>
        <v>2.5837322834645668E-2</v>
      </c>
      <c r="D218" s="2">
        <f t="shared" si="177"/>
        <v>8.4081647705271934E-3</v>
      </c>
      <c r="E218" s="18">
        <f t="shared" si="174"/>
        <v>-8.6360071711903061E-2</v>
      </c>
      <c r="F218">
        <f t="shared" si="178"/>
        <v>2736</v>
      </c>
      <c r="G218">
        <v>8984</v>
      </c>
      <c r="H218">
        <f t="shared" si="175"/>
        <v>9</v>
      </c>
      <c r="I218">
        <v>6307682</v>
      </c>
      <c r="J218">
        <f t="shared" si="168"/>
        <v>64047</v>
      </c>
      <c r="K218" s="2">
        <f t="shared" si="169"/>
        <v>1.0257966713300926E-2</v>
      </c>
      <c r="L218" s="2">
        <f t="shared" si="179"/>
        <v>4.2718628507190035E-2</v>
      </c>
      <c r="W218">
        <v>319150</v>
      </c>
      <c r="X218">
        <v>3038</v>
      </c>
      <c r="Y218">
        <v>246</v>
      </c>
    </row>
    <row r="219" spans="1:25" x14ac:dyDescent="0.3">
      <c r="A219" s="1" cm="1">
        <f t="array" ref="A219">IF(OR(B219:L219=""), "", A218 + 1)</f>
        <v>44116</v>
      </c>
      <c r="B219">
        <f t="shared" si="166"/>
        <v>330889</v>
      </c>
      <c r="C219" s="11">
        <f t="shared" si="176"/>
        <v>2.6054251968503937E-2</v>
      </c>
      <c r="D219" s="2">
        <f t="shared" si="177"/>
        <v>8.3959601869967315E-3</v>
      </c>
      <c r="E219" s="18">
        <f t="shared" si="174"/>
        <v>4.652485096296289E-2</v>
      </c>
      <c r="F219">
        <f t="shared" si="178"/>
        <v>2755</v>
      </c>
      <c r="G219">
        <v>8997</v>
      </c>
      <c r="H219">
        <f t="shared" si="175"/>
        <v>13</v>
      </c>
      <c r="I219">
        <v>6355261</v>
      </c>
      <c r="J219">
        <f t="shared" si="168"/>
        <v>47579</v>
      </c>
      <c r="K219" s="2">
        <f t="shared" si="169"/>
        <v>7.5430245215277747E-3</v>
      </c>
      <c r="L219" s="2">
        <f t="shared" si="179"/>
        <v>5.7903697009184726E-2</v>
      </c>
      <c r="W219">
        <v>321892</v>
      </c>
      <c r="X219">
        <v>3038</v>
      </c>
      <c r="Y219">
        <v>246</v>
      </c>
    </row>
    <row r="220" spans="1:25" x14ac:dyDescent="0.3">
      <c r="A220" s="1" cm="1">
        <f t="array" ref="A220">IF(OR(B220:L220=""), "", A219 + 1)</f>
        <v>44117</v>
      </c>
      <c r="B220">
        <f t="shared" si="166"/>
        <v>333769</v>
      </c>
      <c r="C220" s="11">
        <f t="shared" si="176"/>
        <v>2.6281023622047244E-2</v>
      </c>
      <c r="D220" s="2">
        <f t="shared" si="177"/>
        <v>8.7038251498237074E-3</v>
      </c>
      <c r="E220" s="18">
        <f t="shared" si="174"/>
        <v>-5.2901878462197245E-3</v>
      </c>
      <c r="F220">
        <f t="shared" si="178"/>
        <v>2880</v>
      </c>
      <c r="G220">
        <v>9026</v>
      </c>
      <c r="H220">
        <f t="shared" si="175"/>
        <v>29</v>
      </c>
      <c r="I220">
        <v>6411254</v>
      </c>
      <c r="J220">
        <f t="shared" si="168"/>
        <v>55993</v>
      </c>
      <c r="K220" s="2">
        <f t="shared" si="169"/>
        <v>8.8104957451786703E-3</v>
      </c>
      <c r="L220" s="2">
        <f t="shared" si="179"/>
        <v>5.1435000803671888E-2</v>
      </c>
      <c r="W220">
        <v>324743</v>
      </c>
      <c r="X220">
        <v>3038</v>
      </c>
      <c r="Y220">
        <v>246</v>
      </c>
    </row>
    <row r="221" spans="1:25" x14ac:dyDescent="0.3">
      <c r="A221" s="1" cm="1">
        <f t="array" ref="A221">IF(OR(B221:L221=""), "", A220 + 1)</f>
        <v>44118</v>
      </c>
      <c r="B221">
        <f t="shared" si="166"/>
        <v>336679</v>
      </c>
      <c r="C221" s="11">
        <f t="shared" si="176"/>
        <v>2.6510157480314961E-2</v>
      </c>
      <c r="D221" s="2">
        <f t="shared" si="177"/>
        <v>8.7186047835479119E-3</v>
      </c>
      <c r="E221" s="18">
        <f t="shared" si="174"/>
        <v>2.5834901764553161E-2</v>
      </c>
      <c r="F221">
        <f t="shared" si="178"/>
        <v>2910</v>
      </c>
      <c r="G221">
        <v>9074</v>
      </c>
      <c r="H221">
        <f t="shared" si="175"/>
        <v>48</v>
      </c>
      <c r="I221">
        <v>6463923</v>
      </c>
      <c r="J221">
        <f t="shared" si="168"/>
        <v>52669</v>
      </c>
      <c r="K221" s="2">
        <f t="shared" si="169"/>
        <v>8.2150855355285213E-3</v>
      </c>
      <c r="L221" s="2">
        <f t="shared" si="179"/>
        <v>5.5250716740397575E-2</v>
      </c>
      <c r="W221">
        <v>327605</v>
      </c>
      <c r="X221">
        <v>3038</v>
      </c>
      <c r="Y221">
        <v>246</v>
      </c>
    </row>
    <row r="222" spans="1:25" x14ac:dyDescent="0.3">
      <c r="A222" s="1" cm="1">
        <f t="array" ref="A222">IF(OR(B222:L222=""), "", A221 + 1)</f>
        <v>44119</v>
      </c>
      <c r="B222">
        <f t="shared" si="166"/>
        <v>340747</v>
      </c>
      <c r="C222" s="11">
        <f t="shared" si="176"/>
        <v>2.6830472440944882E-2</v>
      </c>
      <c r="D222" s="2">
        <f t="shared" si="177"/>
        <v>1.2082725682326378E-2</v>
      </c>
      <c r="E222" s="18">
        <f t="shared" si="174"/>
        <v>6.6029192188086588E-2</v>
      </c>
      <c r="F222">
        <f t="shared" si="178"/>
        <v>4068</v>
      </c>
      <c r="G222">
        <v>9127</v>
      </c>
      <c r="H222">
        <f t="shared" si="175"/>
        <v>53</v>
      </c>
      <c r="I222">
        <v>6531009</v>
      </c>
      <c r="J222">
        <f t="shared" si="168"/>
        <v>67086</v>
      </c>
      <c r="K222" s="2">
        <f t="shared" si="169"/>
        <v>1.0378527095697088E-2</v>
      </c>
      <c r="L222" s="2">
        <f t="shared" si="179"/>
        <v>6.0638583310973972E-2</v>
      </c>
      <c r="W222">
        <v>331620</v>
      </c>
      <c r="X222">
        <v>3038</v>
      </c>
      <c r="Y222">
        <v>246</v>
      </c>
    </row>
    <row r="223" spans="1:25" x14ac:dyDescent="0.3">
      <c r="A223" s="1" cm="1">
        <f t="array" ref="A223">IF(OR(B223:L223=""), "", A222 + 1)</f>
        <v>44120</v>
      </c>
      <c r="B223">
        <f t="shared" si="166"/>
        <v>345339</v>
      </c>
      <c r="C223" s="11">
        <f t="shared" si="176"/>
        <v>2.7192047244094488E-2</v>
      </c>
      <c r="D223" s="2">
        <f t="shared" si="177"/>
        <v>1.347627418583297E-2</v>
      </c>
      <c r="E223" s="18">
        <f t="shared" si="174"/>
        <v>1.2584548351637706E-3</v>
      </c>
      <c r="F223">
        <f t="shared" si="178"/>
        <v>4592</v>
      </c>
      <c r="G223">
        <v>9165</v>
      </c>
      <c r="H223">
        <f t="shared" si="175"/>
        <v>38</v>
      </c>
      <c r="I223">
        <v>6618768</v>
      </c>
      <c r="J223">
        <f t="shared" si="168"/>
        <v>87759</v>
      </c>
      <c r="K223" s="2">
        <f t="shared" si="169"/>
        <v>1.3437280518217021E-2</v>
      </c>
      <c r="L223" s="2">
        <f t="shared" si="179"/>
        <v>5.2325117651750817E-2</v>
      </c>
      <c r="W223">
        <v>336174</v>
      </c>
      <c r="X223">
        <v>3587</v>
      </c>
      <c r="Y223">
        <v>260</v>
      </c>
    </row>
    <row r="224" spans="1:25" x14ac:dyDescent="0.3">
      <c r="A224" s="1" cm="1">
        <f t="array" ref="A224">IF(OR(B224:L224=""), "", A223 + 1)</f>
        <v>44121</v>
      </c>
      <c r="B224">
        <f t="shared" si="166"/>
        <v>348995</v>
      </c>
      <c r="C224" s="11">
        <f t="shared" si="176"/>
        <v>2.747992125984252E-2</v>
      </c>
      <c r="D224" s="2">
        <f t="shared" si="177"/>
        <v>1.0586698866910549E-2</v>
      </c>
      <c r="E224" s="18">
        <f t="shared" si="174"/>
        <v>-4.3702337822925812E-2</v>
      </c>
      <c r="F224">
        <f t="shared" si="178"/>
        <v>3656</v>
      </c>
      <c r="G224">
        <v>9192</v>
      </c>
      <c r="H224">
        <f t="shared" si="175"/>
        <v>27</v>
      </c>
      <c r="I224">
        <v>6696257</v>
      </c>
      <c r="J224">
        <f t="shared" si="168"/>
        <v>77489</v>
      </c>
      <c r="K224" s="2">
        <f t="shared" si="169"/>
        <v>1.1707465800281813E-2</v>
      </c>
      <c r="L224" s="2">
        <f t="shared" si="179"/>
        <v>4.7180890190865798E-2</v>
      </c>
      <c r="W224">
        <v>339803</v>
      </c>
      <c r="X224">
        <v>3587</v>
      </c>
      <c r="Y224">
        <v>260</v>
      </c>
    </row>
    <row r="225" spans="1:25" x14ac:dyDescent="0.3">
      <c r="A225" s="1" cm="1">
        <f t="array" ref="A225">IF(OR(B225:L225=""), "", A224 + 1)</f>
        <v>44122</v>
      </c>
      <c r="B225">
        <f t="shared" si="166"/>
        <v>353262</v>
      </c>
      <c r="C225" s="11">
        <f t="shared" si="176"/>
        <v>2.7815905511811023E-2</v>
      </c>
      <c r="D225" s="2">
        <f t="shared" si="177"/>
        <v>1.2226536196793703E-2</v>
      </c>
      <c r="E225" s="18">
        <f t="shared" si="174"/>
        <v>1.3884270944014836E-2</v>
      </c>
      <c r="F225">
        <f t="shared" si="178"/>
        <v>4267</v>
      </c>
      <c r="G225">
        <v>9214</v>
      </c>
      <c r="H225">
        <f t="shared" si="175"/>
        <v>22</v>
      </c>
      <c r="I225">
        <v>6775553</v>
      </c>
      <c r="J225">
        <f t="shared" si="168"/>
        <v>79296</v>
      </c>
      <c r="K225" s="2">
        <f t="shared" si="169"/>
        <v>1.1841839403714749E-2</v>
      </c>
      <c r="L225" s="2">
        <f t="shared" si="179"/>
        <v>5.3811037126715096E-2</v>
      </c>
      <c r="W225">
        <v>344048</v>
      </c>
      <c r="X225">
        <v>3587</v>
      </c>
      <c r="Y225">
        <v>260</v>
      </c>
    </row>
    <row r="226" spans="1:25" x14ac:dyDescent="0.3">
      <c r="A226" s="1" cm="1">
        <f t="array" ref="A226">IF(OR(B226:L226=""), "", A225 + 1)</f>
        <v>44123</v>
      </c>
      <c r="B226">
        <f t="shared" si="166"/>
        <v>356397</v>
      </c>
      <c r="C226" s="11">
        <f t="shared" si="176"/>
        <v>2.806275590551181E-2</v>
      </c>
      <c r="D226" s="2">
        <f t="shared" si="177"/>
        <v>8.8744331402754728E-3</v>
      </c>
      <c r="E226" s="18">
        <f t="shared" si="174"/>
        <v>9.1699114827272513E-2</v>
      </c>
      <c r="F226">
        <f t="shared" si="178"/>
        <v>3135</v>
      </c>
      <c r="G226">
        <v>9236</v>
      </c>
      <c r="H226">
        <f t="shared" si="175"/>
        <v>22</v>
      </c>
      <c r="I226">
        <v>6824237</v>
      </c>
      <c r="J226">
        <f t="shared" si="168"/>
        <v>48684</v>
      </c>
      <c r="K226" s="2">
        <f t="shared" si="169"/>
        <v>7.1852437727222274E-3</v>
      </c>
      <c r="L226" s="2">
        <f t="shared" si="179"/>
        <v>6.4394873058910521E-2</v>
      </c>
      <c r="W226">
        <v>347161</v>
      </c>
      <c r="X226">
        <v>3587</v>
      </c>
      <c r="Y226">
        <v>260</v>
      </c>
    </row>
    <row r="227" spans="1:25" x14ac:dyDescent="0.3">
      <c r="A227" s="1" cm="1">
        <f t="array" ref="A227">IF(OR(B227:L227=""), "", A226 + 1)</f>
        <v>44124</v>
      </c>
      <c r="B227">
        <f t="shared" si="166"/>
        <v>360152</v>
      </c>
      <c r="C227" s="11">
        <f t="shared" si="176"/>
        <v>2.8358425196850393E-2</v>
      </c>
      <c r="D227" s="2">
        <f t="shared" si="177"/>
        <v>1.0536003389478577E-2</v>
      </c>
      <c r="E227" s="18">
        <f t="shared" si="174"/>
        <v>8.5311569559020445E-2</v>
      </c>
      <c r="F227">
        <f t="shared" si="178"/>
        <v>3755</v>
      </c>
      <c r="G227">
        <v>9277</v>
      </c>
      <c r="H227">
        <f t="shared" si="175"/>
        <v>41</v>
      </c>
      <c r="I227">
        <v>6883314</v>
      </c>
      <c r="J227">
        <f t="shared" si="168"/>
        <v>59077</v>
      </c>
      <c r="K227" s="2">
        <f t="shared" si="169"/>
        <v>8.6569384973000929E-3</v>
      </c>
      <c r="L227" s="2">
        <f t="shared" si="179"/>
        <v>6.3561115154797981E-2</v>
      </c>
      <c r="W227">
        <v>350875</v>
      </c>
      <c r="X227">
        <v>3587</v>
      </c>
      <c r="Y227">
        <v>260</v>
      </c>
    </row>
    <row r="228" spans="1:25" x14ac:dyDescent="0.3">
      <c r="A228" s="1" cm="1">
        <f t="array" ref="A228">IF(OR(B228:L228=""), "", A227 + 1)</f>
        <v>44125</v>
      </c>
      <c r="B228">
        <f t="shared" si="166"/>
        <v>364562</v>
      </c>
      <c r="C228" s="11">
        <f t="shared" si="176"/>
        <v>2.8705669291338581E-2</v>
      </c>
      <c r="D228" s="2">
        <f t="shared" si="177"/>
        <v>1.2244829960683212E-2</v>
      </c>
      <c r="E228" s="18">
        <f t="shared" si="174"/>
        <v>0.10103239427660039</v>
      </c>
      <c r="F228">
        <f t="shared" si="178"/>
        <v>4410</v>
      </c>
      <c r="G228">
        <v>9345</v>
      </c>
      <c r="H228">
        <f t="shared" si="175"/>
        <v>68</v>
      </c>
      <c r="I228">
        <v>6950105</v>
      </c>
      <c r="J228">
        <f t="shared" si="168"/>
        <v>66791</v>
      </c>
      <c r="K228" s="2">
        <f t="shared" si="169"/>
        <v>9.7033202320859768E-3</v>
      </c>
      <c r="L228" s="2">
        <f t="shared" si="179"/>
        <v>6.6026859906274799E-2</v>
      </c>
      <c r="W228">
        <v>355217</v>
      </c>
      <c r="X228">
        <v>3587</v>
      </c>
      <c r="Y228">
        <v>260</v>
      </c>
    </row>
    <row r="229" spans="1:25" x14ac:dyDescent="0.3">
      <c r="A229" s="1" cm="1">
        <f t="array" ref="A229">IF(OR(B229:L229=""), "", A228 + 1)</f>
        <v>44126</v>
      </c>
      <c r="B229">
        <f t="shared" si="166"/>
        <v>369546</v>
      </c>
      <c r="C229" s="11">
        <f t="shared" si="176"/>
        <v>2.9098110236220474E-2</v>
      </c>
      <c r="D229" s="2">
        <f t="shared" si="177"/>
        <v>1.3671199960500591E-2</v>
      </c>
      <c r="E229" s="18">
        <f t="shared" si="174"/>
        <v>6.9436318158441979E-2</v>
      </c>
      <c r="F229">
        <f t="shared" si="178"/>
        <v>4984</v>
      </c>
      <c r="G229">
        <v>9387</v>
      </c>
      <c r="H229">
        <f t="shared" si="175"/>
        <v>42</v>
      </c>
      <c r="I229">
        <v>7031082</v>
      </c>
      <c r="J229">
        <f t="shared" si="168"/>
        <v>80977</v>
      </c>
      <c r="K229" s="2">
        <f t="shared" si="169"/>
        <v>1.1651190881288853E-2</v>
      </c>
      <c r="L229" s="2">
        <f t="shared" si="179"/>
        <v>6.1548340886918511E-2</v>
      </c>
      <c r="W229">
        <v>360159</v>
      </c>
      <c r="X229">
        <v>3587</v>
      </c>
      <c r="Y229">
        <v>260</v>
      </c>
    </row>
    <row r="230" spans="1:25" x14ac:dyDescent="0.3">
      <c r="A230" s="1" cm="1">
        <f t="array" ref="A230">IF(OR(B230:L230=""), "", A229 + 1)</f>
        <v>44127</v>
      </c>
      <c r="B230">
        <f t="shared" si="166"/>
        <v>373451</v>
      </c>
      <c r="C230" s="11">
        <f t="shared" si="176"/>
        <v>2.9405590551181103E-2</v>
      </c>
      <c r="D230" s="2">
        <f t="shared" si="177"/>
        <v>1.0567020073279032E-2</v>
      </c>
      <c r="E230" s="18">
        <f t="shared" si="174"/>
        <v>-4.4192891181431382E-2</v>
      </c>
      <c r="F230">
        <f t="shared" si="178"/>
        <v>3905</v>
      </c>
      <c r="G230">
        <v>9418</v>
      </c>
      <c r="H230">
        <f t="shared" si="175"/>
        <v>31</v>
      </c>
      <c r="I230">
        <v>7113338</v>
      </c>
      <c r="J230">
        <f t="shared" si="168"/>
        <v>82256</v>
      </c>
      <c r="K230" s="2">
        <f t="shared" si="169"/>
        <v>1.1698910637082616E-2</v>
      </c>
      <c r="L230" s="2">
        <f t="shared" si="179"/>
        <v>4.7473740517409067E-2</v>
      </c>
      <c r="W230">
        <v>364033</v>
      </c>
      <c r="X230">
        <v>4713</v>
      </c>
      <c r="Y230">
        <v>270</v>
      </c>
    </row>
    <row r="231" spans="1:25" x14ac:dyDescent="0.3">
      <c r="A231" s="1" cm="1">
        <f t="array" ref="A231">IF(OR(B231:L231=""), "", A230 + 1)</f>
        <v>44128</v>
      </c>
      <c r="B231">
        <f t="shared" si="166"/>
        <v>379675</v>
      </c>
      <c r="C231" s="11">
        <f t="shared" si="176"/>
        <v>2.9895669291338581E-2</v>
      </c>
      <c r="D231" s="2">
        <f t="shared" si="177"/>
        <v>1.6666175749964429E-2</v>
      </c>
      <c r="E231" s="18">
        <f t="shared" si="174"/>
        <v>0.15213451684857801</v>
      </c>
      <c r="F231">
        <f t="shared" si="178"/>
        <v>6224</v>
      </c>
      <c r="G231">
        <v>9481</v>
      </c>
      <c r="H231">
        <f t="shared" si="175"/>
        <v>63</v>
      </c>
      <c r="I231">
        <v>7196855</v>
      </c>
      <c r="J231">
        <f t="shared" si="168"/>
        <v>83517</v>
      </c>
      <c r="K231" s="2">
        <f t="shared" si="169"/>
        <v>1.1740901388349601E-2</v>
      </c>
      <c r="L231" s="2">
        <f t="shared" si="179"/>
        <v>7.4523749655758711E-2</v>
      </c>
      <c r="W231">
        <v>370194</v>
      </c>
      <c r="X231">
        <v>4713</v>
      </c>
      <c r="Y231">
        <v>270</v>
      </c>
    </row>
    <row r="232" spans="1:25" x14ac:dyDescent="0.3">
      <c r="A232" s="1" cm="1">
        <f t="array" ref="A232">IF(OR(B232:L232=""), "", A231 + 1)</f>
        <v>44129</v>
      </c>
      <c r="B232">
        <f t="shared" si="166"/>
        <v>383761</v>
      </c>
      <c r="C232" s="11">
        <f t="shared" si="176"/>
        <v>3.0217401574803151E-2</v>
      </c>
      <c r="D232" s="2">
        <f t="shared" si="177"/>
        <v>1.0761835780601858E-2</v>
      </c>
      <c r="E232" s="18">
        <f t="shared" si="174"/>
        <v>3.1111919585358458E-2</v>
      </c>
      <c r="F232">
        <f t="shared" si="178"/>
        <v>4086</v>
      </c>
      <c r="G232">
        <v>9505</v>
      </c>
      <c r="H232">
        <f t="shared" si="175"/>
        <v>24</v>
      </c>
      <c r="I232">
        <v>7268952</v>
      </c>
      <c r="J232">
        <f t="shared" si="168"/>
        <v>72097</v>
      </c>
      <c r="K232" s="2">
        <f t="shared" si="169"/>
        <v>1.0017848073915703E-2</v>
      </c>
      <c r="L232" s="2">
        <f t="shared" si="179"/>
        <v>5.6673648001997312E-2</v>
      </c>
      <c r="W232">
        <v>374256</v>
      </c>
      <c r="X232">
        <v>4713</v>
      </c>
      <c r="Y232">
        <v>270</v>
      </c>
    </row>
    <row r="233" spans="1:25" x14ac:dyDescent="0.3">
      <c r="A233" s="1" cm="1">
        <f t="array" ref="A233">IF(OR(B233:L233=""), "", A232 + 1)</f>
        <v>44130</v>
      </c>
      <c r="B233">
        <f t="shared" si="166"/>
        <v>388507</v>
      </c>
      <c r="C233" s="11">
        <f t="shared" si="176"/>
        <v>3.0591102362204723E-2</v>
      </c>
      <c r="D233" s="2">
        <f t="shared" si="177"/>
        <v>1.2367072214216623E-2</v>
      </c>
      <c r="E233" s="18">
        <f t="shared" si="174"/>
        <v>0.19585701673087957</v>
      </c>
      <c r="F233">
        <f t="shared" si="178"/>
        <v>4746</v>
      </c>
      <c r="G233">
        <v>9522</v>
      </c>
      <c r="H233">
        <f t="shared" si="175"/>
        <v>17</v>
      </c>
      <c r="I233">
        <v>7326216</v>
      </c>
      <c r="J233">
        <f t="shared" si="168"/>
        <v>57264</v>
      </c>
      <c r="K233" s="2">
        <f t="shared" si="169"/>
        <v>7.8778894123938681E-3</v>
      </c>
      <c r="L233" s="2">
        <f t="shared" si="179"/>
        <v>8.2879295892707455E-2</v>
      </c>
      <c r="W233">
        <v>378985</v>
      </c>
      <c r="X233">
        <v>4713</v>
      </c>
      <c r="Y233">
        <v>270</v>
      </c>
    </row>
    <row r="234" spans="1:25" x14ac:dyDescent="0.3">
      <c r="A234" s="1" cm="1">
        <f t="array" ref="A234">IF(OR(B234:L234=""), "", A233 + 1)</f>
        <v>44131</v>
      </c>
      <c r="B234">
        <f t="shared" si="166"/>
        <v>392553</v>
      </c>
      <c r="C234" s="11">
        <f t="shared" si="176"/>
        <v>3.0909685039370079E-2</v>
      </c>
      <c r="D234" s="2">
        <f t="shared" si="177"/>
        <v>1.0414226770688817E-2</v>
      </c>
      <c r="E234" s="18">
        <f t="shared" si="174"/>
        <v>8.9597017249827618E-2</v>
      </c>
      <c r="F234">
        <f t="shared" si="178"/>
        <v>4046</v>
      </c>
      <c r="G234">
        <v>9568</v>
      </c>
      <c r="H234">
        <f t="shared" si="175"/>
        <v>46</v>
      </c>
      <c r="I234">
        <v>7388290</v>
      </c>
      <c r="J234">
        <f t="shared" si="168"/>
        <v>62074</v>
      </c>
      <c r="K234" s="2">
        <f t="shared" si="169"/>
        <v>8.4728596590655236E-3</v>
      </c>
      <c r="L234" s="2">
        <f t="shared" si="179"/>
        <v>6.5180268711537842E-2</v>
      </c>
      <c r="W234">
        <v>382985</v>
      </c>
      <c r="X234">
        <v>4713</v>
      </c>
      <c r="Y234">
        <v>270</v>
      </c>
    </row>
    <row r="235" spans="1:25" x14ac:dyDescent="0.3">
      <c r="A235" s="1" cm="1">
        <f t="array" ref="A235">IF(OR(B235:L235=""), "", A234 + 1)</f>
        <v>44132</v>
      </c>
      <c r="B235">
        <f t="shared" si="166"/>
        <v>398714</v>
      </c>
      <c r="C235" s="11">
        <f t="shared" si="176"/>
        <v>3.1394803149606298E-2</v>
      </c>
      <c r="D235" s="2">
        <f t="shared" si="177"/>
        <v>1.5694696002832798E-2</v>
      </c>
      <c r="E235" s="18">
        <f t="shared" si="174"/>
        <v>0.21455812091295423</v>
      </c>
      <c r="F235">
        <f t="shared" si="178"/>
        <v>6161</v>
      </c>
      <c r="G235">
        <v>9619</v>
      </c>
      <c r="H235">
        <f t="shared" si="175"/>
        <v>51</v>
      </c>
      <c r="I235">
        <v>7459042</v>
      </c>
      <c r="J235">
        <f t="shared" si="168"/>
        <v>70752</v>
      </c>
      <c r="K235" s="2">
        <f t="shared" si="169"/>
        <v>9.5762348256498431E-3</v>
      </c>
      <c r="L235" s="2">
        <f t="shared" si="179"/>
        <v>8.70788104929896E-2</v>
      </c>
      <c r="W235">
        <v>389095</v>
      </c>
      <c r="X235">
        <v>4713</v>
      </c>
      <c r="Y235">
        <v>270</v>
      </c>
    </row>
    <row r="236" spans="1:25" x14ac:dyDescent="0.3">
      <c r="A236" s="1" cm="1">
        <f t="array" ref="A236">IF(OR(B236:L236=""), "", A235 + 1)</f>
        <v>44133</v>
      </c>
      <c r="B236">
        <f t="shared" si="166"/>
        <v>405133</v>
      </c>
      <c r="C236" s="11">
        <f t="shared" si="176"/>
        <v>3.1900236220472444E-2</v>
      </c>
      <c r="D236" s="2">
        <f t="shared" si="177"/>
        <v>1.6099259118064646E-2</v>
      </c>
      <c r="E236" s="18">
        <f t="shared" si="174"/>
        <v>0.16011793144832884</v>
      </c>
      <c r="F236">
        <f t="shared" si="178"/>
        <v>6419</v>
      </c>
      <c r="G236">
        <v>9675</v>
      </c>
      <c r="H236">
        <f t="shared" si="175"/>
        <v>56</v>
      </c>
      <c r="I236">
        <v>7542098</v>
      </c>
      <c r="J236">
        <f t="shared" si="168"/>
        <v>83056</v>
      </c>
      <c r="K236" s="2">
        <f t="shared" si="169"/>
        <v>1.1134941993891534E-2</v>
      </c>
      <c r="L236" s="2">
        <f t="shared" si="179"/>
        <v>7.7285205162781742E-2</v>
      </c>
      <c r="W236">
        <v>395458</v>
      </c>
      <c r="X236">
        <v>4713</v>
      </c>
      <c r="Y236">
        <v>270</v>
      </c>
    </row>
    <row r="237" spans="1:25" x14ac:dyDescent="0.3">
      <c r="A237" s="1" cm="1">
        <f t="array" ref="A237">IF(OR(B237:L237=""), "", A236 + 1)</f>
        <v>44134</v>
      </c>
      <c r="B237">
        <f t="shared" si="166"/>
        <v>412112</v>
      </c>
      <c r="C237" s="11">
        <f t="shared" si="176"/>
        <v>3.244976377952756E-2</v>
      </c>
      <c r="D237" s="2">
        <f t="shared" si="177"/>
        <v>1.7226441687050897E-2</v>
      </c>
      <c r="E237" s="18">
        <f t="shared" si="174"/>
        <v>0.13545700168900204</v>
      </c>
      <c r="F237">
        <f t="shared" si="178"/>
        <v>6979</v>
      </c>
      <c r="G237">
        <v>9711</v>
      </c>
      <c r="H237">
        <f t="shared" si="175"/>
        <v>36</v>
      </c>
      <c r="I237">
        <v>7637209</v>
      </c>
      <c r="J237">
        <f t="shared" si="168"/>
        <v>95111</v>
      </c>
      <c r="K237" s="2">
        <f t="shared" si="169"/>
        <v>1.2610682067509593E-2</v>
      </c>
      <c r="L237" s="2">
        <f t="shared" si="179"/>
        <v>7.3377422169885714E-2</v>
      </c>
      <c r="W237">
        <v>402401</v>
      </c>
      <c r="X237">
        <v>6259</v>
      </c>
      <c r="Y237">
        <v>283</v>
      </c>
    </row>
    <row r="238" spans="1:25" x14ac:dyDescent="0.3">
      <c r="A238" s="1" cm="1">
        <f t="array" ref="A238">IF(OR(B238:L238=""), "", A237 + 1)</f>
        <v>44135</v>
      </c>
      <c r="B238">
        <f t="shared" si="166"/>
        <v>420057</v>
      </c>
      <c r="C238" s="11">
        <f t="shared" si="176"/>
        <v>3.3075354330708663E-2</v>
      </c>
      <c r="D238" s="2">
        <f t="shared" si="177"/>
        <v>1.9278739760065333E-2</v>
      </c>
      <c r="E238" s="18">
        <f t="shared" si="174"/>
        <v>0.20123352253659235</v>
      </c>
      <c r="F238">
        <f t="shared" si="178"/>
        <v>7945</v>
      </c>
      <c r="G238">
        <v>9757</v>
      </c>
      <c r="H238">
        <f t="shared" si="175"/>
        <v>46</v>
      </c>
      <c r="I238">
        <v>7729845</v>
      </c>
      <c r="J238">
        <f t="shared" si="168"/>
        <v>92636</v>
      </c>
      <c r="K238" s="2">
        <f t="shared" si="169"/>
        <v>1.2129561990512405E-2</v>
      </c>
      <c r="L238" s="2">
        <f t="shared" si="179"/>
        <v>8.5765792996243359E-2</v>
      </c>
      <c r="W238">
        <v>410300</v>
      </c>
      <c r="X238">
        <v>6259</v>
      </c>
      <c r="Y238">
        <v>283</v>
      </c>
    </row>
    <row r="239" spans="1:25" x14ac:dyDescent="0.3">
      <c r="A239" s="1" cm="1">
        <f t="array" ref="A239">IF(OR(B239:L239=""), "", A238 + 1)</f>
        <v>44136</v>
      </c>
      <c r="B239">
        <f t="shared" ref="B239:B284" si="180">W239 + G239</f>
        <v>427072</v>
      </c>
      <c r="C239" s="11">
        <f t="shared" ref="C239:C284" si="181">B239/$A$1</f>
        <v>3.3627716535433068E-2</v>
      </c>
      <c r="D239" s="2">
        <f t="shared" ref="D239:D284" si="182">B239/B238 - 1</f>
        <v>1.6700114508269026E-2</v>
      </c>
      <c r="E239" s="18">
        <f t="shared" ref="E239:E284" si="183">IFERROR(LOG(D239/K239), FALSE)</f>
        <v>0.21625300128454572</v>
      </c>
      <c r="F239">
        <f t="shared" ref="F239:F284" si="184">B239 - B238</f>
        <v>7015</v>
      </c>
      <c r="G239">
        <v>9792</v>
      </c>
      <c r="H239">
        <f t="shared" si="175"/>
        <v>35</v>
      </c>
      <c r="I239">
        <v>7808303</v>
      </c>
      <c r="J239">
        <f t="shared" ref="J239:J284" si="185">I239 - I238</f>
        <v>78458</v>
      </c>
      <c r="K239" s="2">
        <f t="shared" ref="K239:K284" si="186">I239/I238 - 1</f>
        <v>1.0150009476257216E-2</v>
      </c>
      <c r="L239" s="2">
        <f t="shared" ref="L239:L284" si="187">(B239 - B238)/(I239 - I238)</f>
        <v>8.9410895001147114E-2</v>
      </c>
      <c r="W239">
        <v>417280</v>
      </c>
    </row>
    <row r="240" spans="1:25" x14ac:dyDescent="0.3">
      <c r="A240" s="1" cm="1">
        <f t="array" ref="A240">IF(OR(B240:L240=""), "", A239 + 1)</f>
        <v>44137</v>
      </c>
      <c r="B240">
        <f t="shared" si="180"/>
        <v>433312</v>
      </c>
      <c r="C240" s="11">
        <f t="shared" si="181"/>
        <v>3.4119055118110239E-2</v>
      </c>
      <c r="D240" s="2">
        <f t="shared" si="182"/>
        <v>1.4611119436535258E-2</v>
      </c>
      <c r="E240" s="18">
        <f t="shared" si="183"/>
        <v>0.22397826032634638</v>
      </c>
      <c r="F240">
        <f t="shared" si="184"/>
        <v>6240</v>
      </c>
      <c r="G240">
        <v>9810</v>
      </c>
      <c r="H240">
        <f t="shared" si="175"/>
        <v>18</v>
      </c>
      <c r="I240">
        <v>7876421</v>
      </c>
      <c r="J240">
        <f t="shared" si="185"/>
        <v>68118</v>
      </c>
      <c r="K240" s="2">
        <f t="shared" si="186"/>
        <v>8.7237905598693821E-3</v>
      </c>
      <c r="L240" s="2">
        <f t="shared" si="187"/>
        <v>9.1605742975424995E-2</v>
      </c>
      <c r="W240">
        <v>423502</v>
      </c>
      <c r="X240">
        <v>6259</v>
      </c>
      <c r="Y240">
        <v>283</v>
      </c>
    </row>
    <row r="241" spans="1:25" x14ac:dyDescent="0.3">
      <c r="A241" s="1" cm="1">
        <f t="array" ref="A241">IF(OR(B241:L241=""), "", A240 + 1)</f>
        <v>44138</v>
      </c>
      <c r="B241">
        <f t="shared" si="180"/>
        <v>439896</v>
      </c>
      <c r="C241" s="11">
        <f t="shared" si="181"/>
        <v>3.4637480314960632E-2</v>
      </c>
      <c r="D241" s="2">
        <f t="shared" si="182"/>
        <v>1.5194594195406586E-2</v>
      </c>
      <c r="E241" s="18">
        <f t="shared" si="183"/>
        <v>0.16190638493911183</v>
      </c>
      <c r="F241">
        <f t="shared" si="184"/>
        <v>6584</v>
      </c>
      <c r="G241">
        <v>9878</v>
      </c>
      <c r="H241">
        <f t="shared" si="175"/>
        <v>68</v>
      </c>
      <c r="I241">
        <v>7958856</v>
      </c>
      <c r="J241">
        <f t="shared" si="185"/>
        <v>82435</v>
      </c>
      <c r="K241" s="2">
        <f t="shared" si="186"/>
        <v>1.0466047967725434E-2</v>
      </c>
      <c r="L241" s="2">
        <f t="shared" si="187"/>
        <v>7.9868987687268758E-2</v>
      </c>
      <c r="W241">
        <v>430018</v>
      </c>
      <c r="X241">
        <v>6259</v>
      </c>
      <c r="Y241">
        <v>283</v>
      </c>
    </row>
    <row r="242" spans="1:25" x14ac:dyDescent="0.3">
      <c r="A242" s="1" cm="1">
        <f t="array" ref="A242">IF(OR(B242:L242=""), "", A241 + 1)</f>
        <v>44139</v>
      </c>
      <c r="B242">
        <f t="shared" si="180"/>
        <v>447489</v>
      </c>
      <c r="C242" s="11">
        <f t="shared" si="181"/>
        <v>3.5235354330708658E-2</v>
      </c>
      <c r="D242" s="2">
        <f t="shared" si="182"/>
        <v>1.7260898030443617E-2</v>
      </c>
      <c r="E242" s="18">
        <f t="shared" si="183"/>
        <v>0.28144495237605105</v>
      </c>
      <c r="F242">
        <f t="shared" si="184"/>
        <v>7593</v>
      </c>
      <c r="G242">
        <v>9933</v>
      </c>
      <c r="H242">
        <f t="shared" si="175"/>
        <v>55</v>
      </c>
      <c r="I242">
        <v>8030713</v>
      </c>
      <c r="J242">
        <f t="shared" si="185"/>
        <v>71857</v>
      </c>
      <c r="K242" s="2">
        <f t="shared" si="186"/>
        <v>9.0285588783112214E-3</v>
      </c>
      <c r="L242" s="2">
        <f t="shared" si="187"/>
        <v>0.10566820212366228</v>
      </c>
      <c r="W242">
        <v>437556</v>
      </c>
      <c r="X242">
        <v>6259</v>
      </c>
      <c r="Y242">
        <v>283</v>
      </c>
    </row>
    <row r="243" spans="1:25" x14ac:dyDescent="0.3">
      <c r="A243" s="1" cm="1">
        <f t="array" ref="A243">IF(OR(B243:L243=""), "", A242 + 1)</f>
        <v>44140</v>
      </c>
      <c r="B243">
        <f t="shared" si="180"/>
        <v>457521</v>
      </c>
      <c r="C243" s="11">
        <f t="shared" si="181"/>
        <v>3.602527559055118E-2</v>
      </c>
      <c r="D243" s="2">
        <f t="shared" si="182"/>
        <v>2.2418428162479964E-2</v>
      </c>
      <c r="E243" s="18">
        <f t="shared" si="183"/>
        <v>0.32078507114055227</v>
      </c>
      <c r="F243">
        <f t="shared" si="184"/>
        <v>10032</v>
      </c>
      <c r="G243">
        <v>10030</v>
      </c>
      <c r="H243">
        <f t="shared" si="175"/>
        <v>97</v>
      </c>
      <c r="I243">
        <v>8116728</v>
      </c>
      <c r="J243">
        <f t="shared" si="185"/>
        <v>86015</v>
      </c>
      <c r="K243" s="2">
        <f t="shared" si="186"/>
        <v>1.0710755072432576E-2</v>
      </c>
      <c r="L243" s="2">
        <f t="shared" si="187"/>
        <v>0.11663082020577806</v>
      </c>
      <c r="W243">
        <v>447491</v>
      </c>
      <c r="X243">
        <v>6259</v>
      </c>
      <c r="Y243">
        <v>283</v>
      </c>
    </row>
    <row r="244" spans="1:25" x14ac:dyDescent="0.3">
      <c r="A244" s="1" cm="1">
        <f t="array" ref="A244">IF(OR(B244:L244=""), "", A243 + 1)</f>
        <v>44141</v>
      </c>
      <c r="B244">
        <f t="shared" si="180"/>
        <v>475619</v>
      </c>
      <c r="C244" s="11">
        <f t="shared" si="181"/>
        <v>3.7450314960629921E-2</v>
      </c>
      <c r="D244" s="2">
        <f t="shared" si="182"/>
        <v>3.9556654230079147E-2</v>
      </c>
      <c r="E244" s="18">
        <f t="shared" si="183"/>
        <v>0.51360103168381821</v>
      </c>
      <c r="F244">
        <f t="shared" si="184"/>
        <v>18098</v>
      </c>
      <c r="G244">
        <v>10079</v>
      </c>
      <c r="H244">
        <f t="shared" si="175"/>
        <v>49</v>
      </c>
      <c r="I244">
        <v>8215129</v>
      </c>
      <c r="J244">
        <f t="shared" si="185"/>
        <v>98401</v>
      </c>
      <c r="K244" s="2">
        <f t="shared" si="186"/>
        <v>1.2123234879867884E-2</v>
      </c>
      <c r="L244" s="2">
        <f t="shared" si="187"/>
        <v>0.18392089511285453</v>
      </c>
      <c r="W244">
        <v>465540</v>
      </c>
    </row>
    <row r="245" spans="1:25" x14ac:dyDescent="0.3">
      <c r="A245" s="1" cm="1">
        <f t="array" ref="A245">IF(OR(B245:L245=""), "", A244 + 1)</f>
        <v>44142</v>
      </c>
      <c r="B245">
        <f t="shared" si="180"/>
        <v>488132</v>
      </c>
      <c r="C245" s="11">
        <f t="shared" si="181"/>
        <v>3.8435590551181099E-2</v>
      </c>
      <c r="D245" s="2">
        <f t="shared" si="182"/>
        <v>2.630887327882192E-2</v>
      </c>
      <c r="E245" s="18">
        <f t="shared" si="183"/>
        <v>0.34164210125931427</v>
      </c>
      <c r="F245">
        <f t="shared" si="184"/>
        <v>12513</v>
      </c>
      <c r="G245">
        <v>10154</v>
      </c>
      <c r="H245">
        <f t="shared" si="175"/>
        <v>75</v>
      </c>
      <c r="I245">
        <v>8313547</v>
      </c>
      <c r="J245">
        <f t="shared" si="185"/>
        <v>98418</v>
      </c>
      <c r="K245" s="2">
        <f t="shared" si="186"/>
        <v>1.1980091852483277E-2</v>
      </c>
      <c r="L245" s="2">
        <f t="shared" si="187"/>
        <v>0.12714137657745533</v>
      </c>
      <c r="W245">
        <v>477978</v>
      </c>
    </row>
    <row r="246" spans="1:25" x14ac:dyDescent="0.3">
      <c r="A246" s="1" cm="1">
        <f t="array" ref="A246">IF(OR(B246:L246=""), "", A245 + 1)</f>
        <v>44143</v>
      </c>
      <c r="B246">
        <f t="shared" si="180"/>
        <v>498183</v>
      </c>
      <c r="C246" s="11">
        <f t="shared" si="181"/>
        <v>3.922700787401575E-2</v>
      </c>
      <c r="D246" s="2">
        <f t="shared" si="182"/>
        <v>2.0590741848516281E-2</v>
      </c>
      <c r="E246" s="18">
        <f t="shared" si="183"/>
        <v>0.27557821843649671</v>
      </c>
      <c r="F246">
        <f t="shared" si="184"/>
        <v>10051</v>
      </c>
      <c r="G246">
        <v>10196</v>
      </c>
      <c r="H246">
        <f t="shared" si="175"/>
        <v>42</v>
      </c>
      <c r="I246">
        <v>8404304</v>
      </c>
      <c r="J246">
        <f t="shared" si="185"/>
        <v>90757</v>
      </c>
      <c r="K246" s="2">
        <f t="shared" si="186"/>
        <v>1.0916760319030994E-2</v>
      </c>
      <c r="L246" s="2">
        <f t="shared" si="187"/>
        <v>0.11074627852397061</v>
      </c>
      <c r="W246">
        <v>487987</v>
      </c>
    </row>
    <row r="247" spans="1:25" x14ac:dyDescent="0.3">
      <c r="A247" s="1" cm="1">
        <f t="array" ref="A247">IF(OR(B247:L247=""), "", A246 + 1)</f>
        <v>44144</v>
      </c>
      <c r="B247">
        <f t="shared" si="180"/>
        <v>508770</v>
      </c>
      <c r="C247" s="11">
        <f t="shared" si="181"/>
        <v>4.006062992125984E-2</v>
      </c>
      <c r="D247" s="2">
        <f t="shared" si="182"/>
        <v>2.1251226958768132E-2</v>
      </c>
      <c r="E247" s="18">
        <f t="shared" si="183"/>
        <v>0.440578922705751</v>
      </c>
      <c r="F247">
        <f t="shared" si="184"/>
        <v>10587</v>
      </c>
      <c r="G247">
        <v>10210</v>
      </c>
      <c r="H247">
        <f t="shared" si="175"/>
        <v>14</v>
      </c>
      <c r="I247">
        <v>8469064</v>
      </c>
      <c r="J247">
        <f t="shared" si="185"/>
        <v>64760</v>
      </c>
      <c r="K247" s="2">
        <f t="shared" si="186"/>
        <v>7.7055756193493696E-3</v>
      </c>
      <c r="L247" s="2">
        <f t="shared" si="187"/>
        <v>0.1634805435453984</v>
      </c>
      <c r="W247">
        <v>498560</v>
      </c>
    </row>
    <row r="248" spans="1:25" x14ac:dyDescent="0.3">
      <c r="A248" s="1" cm="1">
        <f t="array" ref="A248">IF(OR(B248:L248=""), "", A247 + 1)</f>
        <v>44145</v>
      </c>
      <c r="B248">
        <f t="shared" si="180"/>
        <v>521472</v>
      </c>
      <c r="C248" s="11">
        <f t="shared" si="181"/>
        <v>4.1060787401574803E-2</v>
      </c>
      <c r="D248" s="2">
        <f t="shared" si="182"/>
        <v>2.4966094698979813E-2</v>
      </c>
      <c r="E248" s="18">
        <f t="shared" si="183"/>
        <v>0.31677749933130078</v>
      </c>
      <c r="F248">
        <f t="shared" si="184"/>
        <v>12702</v>
      </c>
      <c r="G248">
        <v>10289</v>
      </c>
      <c r="H248">
        <f t="shared" si="175"/>
        <v>79</v>
      </c>
      <c r="I248">
        <v>8571019</v>
      </c>
      <c r="J248">
        <f t="shared" si="185"/>
        <v>101955</v>
      </c>
      <c r="K248" s="2">
        <f t="shared" si="186"/>
        <v>1.2038520431537636E-2</v>
      </c>
      <c r="L248" s="2">
        <f t="shared" si="187"/>
        <v>0.12458437545976166</v>
      </c>
      <c r="W248">
        <v>511183</v>
      </c>
    </row>
    <row r="249" spans="1:25" x14ac:dyDescent="0.3">
      <c r="A249" s="1" cm="1">
        <f t="array" ref="A249">IF(OR(B249:L249=""), "", A248 + 1)</f>
        <v>44146</v>
      </c>
      <c r="B249">
        <f t="shared" si="180"/>
        <v>534274</v>
      </c>
      <c r="C249" s="11">
        <f t="shared" si="181"/>
        <v>4.2068818897637798E-2</v>
      </c>
      <c r="D249" s="2">
        <f t="shared" si="182"/>
        <v>2.454973613156608E-2</v>
      </c>
      <c r="E249" s="18">
        <f t="shared" si="183"/>
        <v>0.35243492269788634</v>
      </c>
      <c r="F249">
        <f t="shared" si="184"/>
        <v>12802</v>
      </c>
      <c r="G249">
        <v>10434</v>
      </c>
      <c r="H249">
        <f t="shared" si="175"/>
        <v>145</v>
      </c>
      <c r="I249">
        <v>8664483</v>
      </c>
      <c r="J249">
        <f t="shared" si="185"/>
        <v>93464</v>
      </c>
      <c r="K249" s="2">
        <f t="shared" si="186"/>
        <v>1.090465439406918E-2</v>
      </c>
      <c r="L249" s="2">
        <f t="shared" si="187"/>
        <v>0.1369725241804331</v>
      </c>
      <c r="W249">
        <v>523840</v>
      </c>
    </row>
    <row r="250" spans="1:25" x14ac:dyDescent="0.3">
      <c r="A250" s="1" cm="1">
        <f t="array" ref="A250">IF(OR(B250:L250=""), "", A249 + 1)</f>
        <v>44147</v>
      </c>
      <c r="B250">
        <f t="shared" si="180"/>
        <v>547019</v>
      </c>
      <c r="C250" s="11">
        <f t="shared" si="181"/>
        <v>4.3072362204724407E-2</v>
      </c>
      <c r="D250" s="2">
        <f t="shared" si="182"/>
        <v>2.3854801094569389E-2</v>
      </c>
      <c r="E250" s="18">
        <f t="shared" si="183"/>
        <v>0.31264708940228347</v>
      </c>
      <c r="F250">
        <f t="shared" si="184"/>
        <v>12745</v>
      </c>
      <c r="G250">
        <v>10477</v>
      </c>
      <c r="H250">
        <f t="shared" si="175"/>
        <v>43</v>
      </c>
      <c r="I250">
        <v>8765100</v>
      </c>
      <c r="J250">
        <f t="shared" si="185"/>
        <v>100617</v>
      </c>
      <c r="K250" s="2">
        <f t="shared" si="186"/>
        <v>1.1612579769618048E-2</v>
      </c>
      <c r="L250" s="2">
        <f t="shared" si="187"/>
        <v>0.12666845562877049</v>
      </c>
      <c r="W250">
        <v>536542</v>
      </c>
    </row>
    <row r="251" spans="1:25" x14ac:dyDescent="0.3">
      <c r="A251" s="1" cm="1">
        <f t="array" ref="A251">IF(OR(B251:L251=""), "", A250 + 1)</f>
        <v>44148</v>
      </c>
      <c r="B251">
        <f t="shared" si="180"/>
        <v>562461</v>
      </c>
      <c r="C251" s="11">
        <f t="shared" si="181"/>
        <v>4.4288267716535434E-2</v>
      </c>
      <c r="D251" s="2">
        <f t="shared" si="182"/>
        <v>2.8229366804443767E-2</v>
      </c>
      <c r="E251" s="18">
        <f t="shared" si="183"/>
        <v>0.36594531968806576</v>
      </c>
      <c r="F251">
        <f t="shared" si="184"/>
        <v>15442</v>
      </c>
      <c r="G251">
        <v>10504</v>
      </c>
      <c r="H251">
        <f t="shared" si="175"/>
        <v>27</v>
      </c>
      <c r="I251">
        <v>8871640</v>
      </c>
      <c r="J251">
        <f t="shared" si="185"/>
        <v>106540</v>
      </c>
      <c r="K251" s="2">
        <f t="shared" si="186"/>
        <v>1.2155023901609718E-2</v>
      </c>
      <c r="L251" s="2">
        <f t="shared" si="187"/>
        <v>0.14494086727989489</v>
      </c>
      <c r="W251">
        <v>551957</v>
      </c>
    </row>
    <row r="252" spans="1:25" x14ac:dyDescent="0.3">
      <c r="A252" s="1" cm="1">
        <f t="array" ref="A252">IF(OR(B252:L252=""), "", A251 + 1)</f>
        <v>44149</v>
      </c>
      <c r="B252">
        <f t="shared" si="180"/>
        <v>573655</v>
      </c>
      <c r="C252" s="11">
        <f t="shared" si="181"/>
        <v>4.5169685039370078E-2</v>
      </c>
      <c r="D252" s="2">
        <f t="shared" si="182"/>
        <v>1.9901824304262794E-2</v>
      </c>
      <c r="E252" s="18">
        <f t="shared" si="183"/>
        <v>0.18858467718137015</v>
      </c>
      <c r="F252">
        <f t="shared" si="184"/>
        <v>11194</v>
      </c>
      <c r="G252">
        <v>10670</v>
      </c>
      <c r="H252">
        <f t="shared" si="175"/>
        <v>166</v>
      </c>
      <c r="I252">
        <v>8986010</v>
      </c>
      <c r="J252">
        <f t="shared" si="185"/>
        <v>114370</v>
      </c>
      <c r="K252" s="2">
        <f t="shared" si="186"/>
        <v>1.289164122980635E-2</v>
      </c>
      <c r="L252" s="2">
        <f t="shared" si="187"/>
        <v>9.7875316953746613E-2</v>
      </c>
      <c r="W252">
        <v>562985</v>
      </c>
    </row>
    <row r="253" spans="1:25" x14ac:dyDescent="0.3">
      <c r="A253" s="1" cm="1">
        <f t="array" ref="A253">IF(OR(B253:L253=""), "", A252 + 1)</f>
        <v>44150</v>
      </c>
      <c r="B253">
        <f t="shared" si="180"/>
        <v>584358</v>
      </c>
      <c r="C253" s="11">
        <f t="shared" si="181"/>
        <v>4.601244094488189E-2</v>
      </c>
      <c r="D253" s="2">
        <f t="shared" si="182"/>
        <v>1.8657555499385525E-2</v>
      </c>
      <c r="E253" s="18">
        <f t="shared" si="183"/>
        <v>0.29586705316163492</v>
      </c>
      <c r="F253">
        <f t="shared" si="184"/>
        <v>10703</v>
      </c>
      <c r="G253">
        <v>10742</v>
      </c>
      <c r="H253">
        <f t="shared" si="175"/>
        <v>72</v>
      </c>
      <c r="I253">
        <v>9070841</v>
      </c>
      <c r="J253">
        <f t="shared" si="185"/>
        <v>84831</v>
      </c>
      <c r="K253" s="2">
        <f t="shared" si="186"/>
        <v>9.4403411525247893E-3</v>
      </c>
      <c r="L253" s="2">
        <f t="shared" si="187"/>
        <v>0.12616849972297864</v>
      </c>
      <c r="W253">
        <v>573616</v>
      </c>
    </row>
    <row r="254" spans="1:25" x14ac:dyDescent="0.3">
      <c r="A254" s="1" cm="1">
        <f t="array" ref="A254">IF(OR(B254:L254=""), "", A253 + 1)</f>
        <v>44151</v>
      </c>
      <c r="B254">
        <f t="shared" si="180"/>
        <v>596027</v>
      </c>
      <c r="C254" s="11">
        <f t="shared" si="181"/>
        <v>4.6931259842519682E-2</v>
      </c>
      <c r="D254" s="2">
        <f t="shared" si="182"/>
        <v>1.9968923160117669E-2</v>
      </c>
      <c r="E254" s="18">
        <f t="shared" si="183"/>
        <v>0.3008164839100308</v>
      </c>
      <c r="F254">
        <f t="shared" si="184"/>
        <v>11669</v>
      </c>
      <c r="G254">
        <v>10779</v>
      </c>
      <c r="H254">
        <f t="shared" si="175"/>
        <v>37</v>
      </c>
      <c r="I254">
        <v>9161453</v>
      </c>
      <c r="J254">
        <f t="shared" si="185"/>
        <v>90612</v>
      </c>
      <c r="K254" s="2">
        <f t="shared" si="186"/>
        <v>9.9893714375547393E-3</v>
      </c>
      <c r="L254" s="2">
        <f t="shared" si="187"/>
        <v>0.12877985255816007</v>
      </c>
      <c r="W254">
        <v>585248</v>
      </c>
    </row>
    <row r="255" spans="1:25" x14ac:dyDescent="0.3">
      <c r="A255" s="1" cm="1">
        <f t="array" ref="A255">IF(OR(B255:L255=""), "", A254 + 1)</f>
        <v>44152</v>
      </c>
      <c r="B255">
        <f t="shared" si="180"/>
        <v>608724</v>
      </c>
      <c r="C255" s="11">
        <f t="shared" si="181"/>
        <v>4.7931023622047243E-2</v>
      </c>
      <c r="D255" s="2">
        <f t="shared" si="182"/>
        <v>2.13027262187786E-2</v>
      </c>
      <c r="E255" s="18">
        <f t="shared" si="183"/>
        <v>0.31632558990500459</v>
      </c>
      <c r="F255">
        <f t="shared" si="184"/>
        <v>12697</v>
      </c>
      <c r="G255">
        <v>10875</v>
      </c>
      <c r="H255">
        <f t="shared" si="175"/>
        <v>96</v>
      </c>
      <c r="I255">
        <v>9255658</v>
      </c>
      <c r="J255">
        <f t="shared" si="185"/>
        <v>94205</v>
      </c>
      <c r="K255" s="2">
        <f t="shared" si="186"/>
        <v>1.0282757549484822E-2</v>
      </c>
      <c r="L255" s="2">
        <f t="shared" si="187"/>
        <v>0.13478053181890559</v>
      </c>
      <c r="W255">
        <v>597849</v>
      </c>
    </row>
    <row r="256" spans="1:25" x14ac:dyDescent="0.3">
      <c r="A256" s="1" cm="1">
        <f t="array" ref="A256">IF(OR(B256:L256=""), "", A255 + 1)</f>
        <v>44153</v>
      </c>
      <c r="B256">
        <f t="shared" si="180"/>
        <v>617785</v>
      </c>
      <c r="C256" s="11">
        <f t="shared" si="181"/>
        <v>4.8644488188976376E-2</v>
      </c>
      <c r="D256" s="2">
        <f t="shared" si="182"/>
        <v>1.4885235344753944E-2</v>
      </c>
      <c r="E256" s="18">
        <f t="shared" si="183"/>
        <v>0.12393322141797673</v>
      </c>
      <c r="F256">
        <f t="shared" si="184"/>
        <v>9061</v>
      </c>
      <c r="G256">
        <v>11014</v>
      </c>
      <c r="H256">
        <f t="shared" si="175"/>
        <v>139</v>
      </c>
      <c r="I256">
        <v>9359227</v>
      </c>
      <c r="J256">
        <f t="shared" si="185"/>
        <v>103569</v>
      </c>
      <c r="K256" s="2">
        <f t="shared" si="186"/>
        <v>1.1189804117654356E-2</v>
      </c>
      <c r="L256" s="2">
        <f t="shared" si="187"/>
        <v>8.7487568674024074E-2</v>
      </c>
      <c r="W256">
        <v>606771</v>
      </c>
    </row>
    <row r="257" spans="1:23" x14ac:dyDescent="0.3">
      <c r="A257" s="1" cm="1">
        <f t="array" ref="A257">IF(OR(B257:L257=""), "", A256 + 1)</f>
        <v>44154</v>
      </c>
      <c r="B257">
        <f t="shared" si="180"/>
        <v>632561</v>
      </c>
      <c r="C257" s="11">
        <f t="shared" si="181"/>
        <v>4.9807952755905514E-2</v>
      </c>
      <c r="D257" s="2">
        <f t="shared" si="182"/>
        <v>2.3917705998041328E-2</v>
      </c>
      <c r="E257" s="18">
        <f t="shared" si="183"/>
        <v>0.29516648811781121</v>
      </c>
      <c r="F257">
        <f t="shared" si="184"/>
        <v>14776</v>
      </c>
      <c r="G257">
        <v>11178</v>
      </c>
      <c r="H257">
        <f t="shared" si="175"/>
        <v>164</v>
      </c>
      <c r="I257">
        <v>9472674</v>
      </c>
      <c r="J257">
        <f t="shared" si="185"/>
        <v>113447</v>
      </c>
      <c r="K257" s="2">
        <f t="shared" si="186"/>
        <v>1.2121407035003973E-2</v>
      </c>
      <c r="L257" s="2">
        <f t="shared" si="187"/>
        <v>0.13024584167055983</v>
      </c>
      <c r="W257">
        <v>621383</v>
      </c>
    </row>
    <row r="258" spans="1:23" x14ac:dyDescent="0.3">
      <c r="A258" s="1" cm="1">
        <f t="array" ref="A258">IF(OR(B258:L258=""), "", A257 + 1)</f>
        <v>44155</v>
      </c>
      <c r="B258">
        <f t="shared" si="180"/>
        <v>645699</v>
      </c>
      <c r="C258" s="11">
        <f t="shared" si="181"/>
        <v>5.0842440944881891E-2</v>
      </c>
      <c r="D258" s="2">
        <f t="shared" si="182"/>
        <v>2.0769538431866685E-2</v>
      </c>
      <c r="E258" s="18">
        <f t="shared" si="183"/>
        <v>0.2293516026256204</v>
      </c>
      <c r="F258">
        <f t="shared" si="184"/>
        <v>13138</v>
      </c>
      <c r="G258">
        <v>11304</v>
      </c>
      <c r="H258">
        <f t="shared" si="175"/>
        <v>126</v>
      </c>
      <c r="I258">
        <v>9588698</v>
      </c>
      <c r="J258">
        <f t="shared" si="185"/>
        <v>116024</v>
      </c>
      <c r="K258" s="2">
        <f t="shared" si="186"/>
        <v>1.2248283853112607E-2</v>
      </c>
      <c r="L258" s="2">
        <f t="shared" si="187"/>
        <v>0.11323519271874785</v>
      </c>
      <c r="W258">
        <v>634395</v>
      </c>
    </row>
    <row r="259" spans="1:23" x14ac:dyDescent="0.3">
      <c r="A259" s="1" cm="1">
        <f t="array" ref="A259">IF(OR(B259:L259=""), "", A258 + 1)</f>
        <v>44156</v>
      </c>
      <c r="B259">
        <f t="shared" si="180"/>
        <v>657716</v>
      </c>
      <c r="C259" s="11">
        <f t="shared" si="181"/>
        <v>5.1788661417322836E-2</v>
      </c>
      <c r="D259" s="2">
        <f t="shared" si="182"/>
        <v>1.8610838796405238E-2</v>
      </c>
      <c r="E259" s="18">
        <f t="shared" si="183"/>
        <v>0.1713177259498771</v>
      </c>
      <c r="F259">
        <f t="shared" si="184"/>
        <v>12017</v>
      </c>
      <c r="G259">
        <v>11430</v>
      </c>
      <c r="H259">
        <f t="shared" si="175"/>
        <v>126</v>
      </c>
      <c r="I259">
        <v>9708982</v>
      </c>
      <c r="J259">
        <f t="shared" si="185"/>
        <v>120284</v>
      </c>
      <c r="K259" s="2">
        <f t="shared" si="186"/>
        <v>1.2544351694046441E-2</v>
      </c>
      <c r="L259" s="2">
        <f t="shared" si="187"/>
        <v>9.9905224302484122E-2</v>
      </c>
      <c r="W259">
        <v>646286</v>
      </c>
    </row>
    <row r="260" spans="1:23" x14ac:dyDescent="0.3">
      <c r="A260" s="1" cm="1">
        <f t="array" ref="A260">IF(OR(B260:L260=""), "", A259 + 1)</f>
        <v>44157</v>
      </c>
      <c r="B260">
        <f t="shared" si="180"/>
        <v>667804</v>
      </c>
      <c r="C260" s="11">
        <f t="shared" si="181"/>
        <v>5.2582992125984253E-2</v>
      </c>
      <c r="D260" s="2">
        <f t="shared" si="182"/>
        <v>1.5337927008009622E-2</v>
      </c>
      <c r="E260" s="18">
        <f t="shared" si="183"/>
        <v>0.20709452038212894</v>
      </c>
      <c r="F260">
        <f t="shared" si="184"/>
        <v>10088</v>
      </c>
      <c r="G260">
        <v>11506</v>
      </c>
      <c r="H260">
        <f t="shared" si="175"/>
        <v>76</v>
      </c>
      <c r="I260">
        <v>9801419</v>
      </c>
      <c r="J260">
        <f t="shared" si="185"/>
        <v>92437</v>
      </c>
      <c r="K260" s="2">
        <f t="shared" si="186"/>
        <v>9.5207715906775459E-3</v>
      </c>
      <c r="L260" s="2">
        <f t="shared" si="187"/>
        <v>0.10913378841805771</v>
      </c>
      <c r="W260">
        <v>656298</v>
      </c>
    </row>
    <row r="261" spans="1:23" x14ac:dyDescent="0.3">
      <c r="A261" s="1" cm="1">
        <f t="array" ref="A261">IF(OR(B261:L261=""), "", A260 + 1)</f>
        <v>44158</v>
      </c>
      <c r="B261">
        <f t="shared" si="180"/>
        <v>676172</v>
      </c>
      <c r="C261" s="11">
        <f t="shared" si="181"/>
        <v>5.3241889763779526E-2</v>
      </c>
      <c r="D261" s="2">
        <f t="shared" si="182"/>
        <v>1.253062275757566E-2</v>
      </c>
      <c r="E261" s="18">
        <f t="shared" si="183"/>
        <v>0.12754634022287473</v>
      </c>
      <c r="F261">
        <f t="shared" si="184"/>
        <v>8368</v>
      </c>
      <c r="G261">
        <v>11552</v>
      </c>
      <c r="H261">
        <f t="shared" si="175"/>
        <v>46</v>
      </c>
      <c r="I261">
        <v>9892981</v>
      </c>
      <c r="J261">
        <f t="shared" si="185"/>
        <v>91562</v>
      </c>
      <c r="K261" s="2">
        <f t="shared" si="186"/>
        <v>9.3417085832163682E-3</v>
      </c>
      <c r="L261" s="2">
        <f t="shared" si="187"/>
        <v>9.139162534675957E-2</v>
      </c>
      <c r="W261">
        <v>664620</v>
      </c>
    </row>
    <row r="262" spans="1:23" x14ac:dyDescent="0.3">
      <c r="A262" s="1" cm="1">
        <f t="array" ref="A262">IF(OR(B262:L262=""), "", A261 + 1)</f>
        <v>44159</v>
      </c>
      <c r="B262">
        <f t="shared" si="180"/>
        <v>685766</v>
      </c>
      <c r="C262" s="11">
        <f t="shared" si="181"/>
        <v>5.3997322834645672E-2</v>
      </c>
      <c r="D262" s="2">
        <f t="shared" si="182"/>
        <v>1.4188697550327367E-2</v>
      </c>
      <c r="E262" s="18">
        <f t="shared" si="183"/>
        <v>0.15905421859802432</v>
      </c>
      <c r="F262">
        <f t="shared" si="184"/>
        <v>9594</v>
      </c>
      <c r="G262">
        <v>11677</v>
      </c>
      <c r="H262">
        <f t="shared" si="175"/>
        <v>125</v>
      </c>
      <c r="I262">
        <v>9990304</v>
      </c>
      <c r="J262">
        <f t="shared" si="185"/>
        <v>97323</v>
      </c>
      <c r="K262" s="2">
        <f t="shared" si="186"/>
        <v>9.8375808060280345E-3</v>
      </c>
      <c r="L262" s="2">
        <f t="shared" si="187"/>
        <v>9.8578958725070123E-2</v>
      </c>
      <c r="W262">
        <v>674089</v>
      </c>
    </row>
    <row r="263" spans="1:23" x14ac:dyDescent="0.3">
      <c r="A263" s="1" cm="1">
        <f t="array" ref="A263">IF(OR(B263:L263=""), "", A262 + 1)</f>
        <v>44160</v>
      </c>
      <c r="B263">
        <f t="shared" si="180"/>
        <v>697299</v>
      </c>
      <c r="C263" s="11">
        <f t="shared" si="181"/>
        <v>5.4905433070866143E-2</v>
      </c>
      <c r="D263" s="2">
        <f t="shared" si="182"/>
        <v>1.6817689999212515E-2</v>
      </c>
      <c r="E263" s="18">
        <f t="shared" si="183"/>
        <v>0.16755346421721867</v>
      </c>
      <c r="F263">
        <f t="shared" si="184"/>
        <v>11533</v>
      </c>
      <c r="G263">
        <v>11832</v>
      </c>
      <c r="H263">
        <f t="shared" si="175"/>
        <v>155</v>
      </c>
      <c r="I263">
        <v>10104537</v>
      </c>
      <c r="J263">
        <f t="shared" si="185"/>
        <v>114233</v>
      </c>
      <c r="K263" s="2">
        <f t="shared" si="186"/>
        <v>1.1434386781423278E-2</v>
      </c>
      <c r="L263" s="2">
        <f t="shared" si="187"/>
        <v>0.10096031794665289</v>
      </c>
      <c r="W263">
        <v>685467</v>
      </c>
    </row>
    <row r="264" spans="1:23" x14ac:dyDescent="0.3">
      <c r="A264" s="1" cm="1">
        <f t="array" ref="A264">IF(OR(B264:L264=""), "", A263 + 1)</f>
        <v>44161</v>
      </c>
      <c r="B264">
        <f t="shared" si="180"/>
        <v>709452</v>
      </c>
      <c r="C264" s="11">
        <f t="shared" si="181"/>
        <v>5.586236220472441E-2</v>
      </c>
      <c r="D264" s="2">
        <f t="shared" si="182"/>
        <v>1.7428678371831818E-2</v>
      </c>
      <c r="E264" s="18">
        <f t="shared" si="183"/>
        <v>0.214146231550458</v>
      </c>
      <c r="F264">
        <f t="shared" si="184"/>
        <v>12153</v>
      </c>
      <c r="G264">
        <v>11963</v>
      </c>
      <c r="H264">
        <f t="shared" si="175"/>
        <v>131</v>
      </c>
      <c r="I264">
        <v>10212093</v>
      </c>
      <c r="J264">
        <f t="shared" si="185"/>
        <v>107556</v>
      </c>
      <c r="K264" s="2">
        <f t="shared" si="186"/>
        <v>1.0644327394713882E-2</v>
      </c>
      <c r="L264" s="2">
        <f t="shared" si="187"/>
        <v>0.11299230168470378</v>
      </c>
      <c r="W264">
        <v>697489</v>
      </c>
    </row>
    <row r="265" spans="1:23" x14ac:dyDescent="0.3">
      <c r="A265" s="1" cm="1">
        <f t="array" ref="A265">IF(OR(B265:L265=""), "", A264 + 1)</f>
        <v>44162</v>
      </c>
      <c r="B265">
        <f t="shared" si="180"/>
        <v>717092</v>
      </c>
      <c r="C265" s="11">
        <f t="shared" si="181"/>
        <v>5.6463937007874013E-2</v>
      </c>
      <c r="D265" s="2">
        <f t="shared" si="182"/>
        <v>1.0768875131791811E-2</v>
      </c>
      <c r="E265" s="18">
        <f t="shared" si="183"/>
        <v>0.15406177106341559</v>
      </c>
      <c r="F265">
        <f t="shared" si="184"/>
        <v>7640</v>
      </c>
      <c r="G265">
        <v>12029</v>
      </c>
      <c r="H265">
        <f t="shared" si="175"/>
        <v>66</v>
      </c>
      <c r="I265">
        <v>10289223</v>
      </c>
      <c r="J265">
        <f t="shared" si="185"/>
        <v>77130</v>
      </c>
      <c r="K265" s="2">
        <f t="shared" si="186"/>
        <v>7.5528101829860361E-3</v>
      </c>
      <c r="L265" s="2">
        <f t="shared" si="187"/>
        <v>9.9053545961363926E-2</v>
      </c>
      <c r="W265">
        <v>705063</v>
      </c>
    </row>
    <row r="266" spans="1:23" x14ac:dyDescent="0.3">
      <c r="A266" s="1" cm="1">
        <f t="array" ref="A266">IF(OR(B266:L266=""), "", A265 + 1)</f>
        <v>44163</v>
      </c>
      <c r="B266">
        <f t="shared" si="180"/>
        <v>725073</v>
      </c>
      <c r="C266" s="11">
        <f t="shared" si="181"/>
        <v>5.7092362204724412E-2</v>
      </c>
      <c r="D266" s="2">
        <f t="shared" si="182"/>
        <v>1.1129673737818813E-2</v>
      </c>
      <c r="E266" s="18">
        <f t="shared" si="183"/>
        <v>0.16093567019569754</v>
      </c>
      <c r="F266">
        <f t="shared" si="184"/>
        <v>7981</v>
      </c>
      <c r="G266">
        <v>12137</v>
      </c>
      <c r="H266">
        <f t="shared" si="175"/>
        <v>108</v>
      </c>
      <c r="I266">
        <v>10368278</v>
      </c>
      <c r="J266">
        <f t="shared" si="185"/>
        <v>79055</v>
      </c>
      <c r="K266" s="2">
        <f t="shared" si="186"/>
        <v>7.6832818182674956E-3</v>
      </c>
      <c r="L266" s="2">
        <f t="shared" si="187"/>
        <v>0.10095503130731769</v>
      </c>
      <c r="W266">
        <v>712936</v>
      </c>
    </row>
    <row r="267" spans="1:23" x14ac:dyDescent="0.3">
      <c r="A267" s="1" cm="1">
        <f t="array" ref="A267">IF(OR(B267:L267=""), "", A266 + 1)</f>
        <v>44164</v>
      </c>
      <c r="B267">
        <f t="shared" si="180"/>
        <v>732307</v>
      </c>
      <c r="C267" s="11">
        <f t="shared" si="181"/>
        <v>5.7661968503937011E-2</v>
      </c>
      <c r="D267" s="2">
        <f t="shared" si="182"/>
        <v>9.9769264611977437E-3</v>
      </c>
      <c r="E267" s="18">
        <f t="shared" si="183"/>
        <v>0.21715888995894006</v>
      </c>
      <c r="F267">
        <f t="shared" si="184"/>
        <v>7234</v>
      </c>
      <c r="G267">
        <v>12193</v>
      </c>
      <c r="H267">
        <f t="shared" si="175"/>
        <v>56</v>
      </c>
      <c r="I267">
        <v>10431018</v>
      </c>
      <c r="J267">
        <f t="shared" si="185"/>
        <v>62740</v>
      </c>
      <c r="K267" s="2">
        <f t="shared" si="186"/>
        <v>6.0511494772805818E-3</v>
      </c>
      <c r="L267" s="2">
        <f t="shared" si="187"/>
        <v>0.11530124322601211</v>
      </c>
      <c r="W267">
        <v>720114</v>
      </c>
    </row>
    <row r="268" spans="1:23" x14ac:dyDescent="0.3">
      <c r="A268" s="1" cm="1">
        <f t="array" ref="A268">IF(OR(B268:L268=""), "", A267 + 1)</f>
        <v>44165</v>
      </c>
      <c r="B268">
        <f t="shared" si="180"/>
        <v>738582</v>
      </c>
      <c r="C268" s="11">
        <f t="shared" si="181"/>
        <v>5.8156062992125987E-2</v>
      </c>
      <c r="D268" s="2">
        <f t="shared" si="182"/>
        <v>8.5688106217747251E-3</v>
      </c>
      <c r="E268" s="18">
        <f t="shared" si="183"/>
        <v>0.12530209627621836</v>
      </c>
      <c r="F268">
        <f t="shared" si="184"/>
        <v>6275</v>
      </c>
      <c r="G268">
        <v>12278</v>
      </c>
      <c r="H268">
        <f t="shared" si="175"/>
        <v>85</v>
      </c>
      <c r="I268">
        <v>10497998</v>
      </c>
      <c r="J268">
        <f t="shared" si="185"/>
        <v>66980</v>
      </c>
      <c r="K268" s="2">
        <f t="shared" si="186"/>
        <v>6.4212332871058653E-3</v>
      </c>
      <c r="L268" s="2">
        <f t="shared" si="187"/>
        <v>9.3684681994625263E-2</v>
      </c>
      <c r="W268">
        <v>726304</v>
      </c>
    </row>
    <row r="269" spans="1:23" x14ac:dyDescent="0.3">
      <c r="A269" s="1" cm="1">
        <f t="array" ref="A269">IF(OR(B269:L269=""), "", A268 + 1)</f>
        <v>44166</v>
      </c>
      <c r="B269">
        <f t="shared" si="180"/>
        <v>751249</v>
      </c>
      <c r="C269" s="11">
        <f t="shared" si="181"/>
        <v>5.9153464566929131E-2</v>
      </c>
      <c r="D269" s="2">
        <f t="shared" si="182"/>
        <v>1.7150431502527708E-2</v>
      </c>
      <c r="E269" s="18">
        <f t="shared" si="183"/>
        <v>0.19062039624875715</v>
      </c>
      <c r="F269">
        <f t="shared" si="184"/>
        <v>12667</v>
      </c>
      <c r="G269">
        <v>12403</v>
      </c>
      <c r="H269">
        <f t="shared" si="175"/>
        <v>125</v>
      </c>
      <c r="I269">
        <v>10614079</v>
      </c>
      <c r="J269">
        <f t="shared" si="185"/>
        <v>116081</v>
      </c>
      <c r="K269" s="2">
        <f t="shared" si="186"/>
        <v>1.105744161886868E-2</v>
      </c>
      <c r="L269" s="2">
        <f t="shared" si="187"/>
        <v>0.10912207854859969</v>
      </c>
      <c r="W269">
        <v>738846</v>
      </c>
    </row>
    <row r="270" spans="1:23" x14ac:dyDescent="0.3">
      <c r="A270" s="1" cm="1">
        <f t="array" ref="A270">IF(OR(B270:L270=""), "", A269 + 1)</f>
        <v>44167</v>
      </c>
      <c r="B270">
        <f t="shared" si="180"/>
        <v>761242</v>
      </c>
      <c r="C270" s="11">
        <f t="shared" si="181"/>
        <v>5.9940314960629924E-2</v>
      </c>
      <c r="D270" s="2">
        <f t="shared" si="182"/>
        <v>1.3301847989148685E-2</v>
      </c>
      <c r="E270" s="18">
        <f t="shared" si="183"/>
        <v>0.21779262668522453</v>
      </c>
      <c r="F270">
        <f t="shared" si="184"/>
        <v>9993</v>
      </c>
      <c r="G270">
        <v>12639</v>
      </c>
      <c r="H270">
        <f t="shared" si="175"/>
        <v>236</v>
      </c>
      <c r="I270">
        <v>10699586</v>
      </c>
      <c r="J270">
        <f t="shared" si="185"/>
        <v>85507</v>
      </c>
      <c r="K270" s="2">
        <f t="shared" si="186"/>
        <v>8.0559980757632932E-3</v>
      </c>
      <c r="L270" s="2">
        <f t="shared" si="187"/>
        <v>0.11686762487281743</v>
      </c>
      <c r="W270">
        <v>748603</v>
      </c>
    </row>
    <row r="271" spans="1:23" x14ac:dyDescent="0.3">
      <c r="A271" s="1" cm="1">
        <f t="array" ref="A271">IF(OR(B271:L271=""), "", A270 + 1)</f>
        <v>44168</v>
      </c>
      <c r="B271">
        <f t="shared" si="180"/>
        <v>772392</v>
      </c>
      <c r="C271" s="11">
        <f t="shared" si="181"/>
        <v>6.081826771653543E-2</v>
      </c>
      <c r="D271" s="2">
        <f t="shared" si="182"/>
        <v>1.4647116160169782E-2</v>
      </c>
      <c r="E271" s="18">
        <f t="shared" si="183"/>
        <v>0.16663731753115232</v>
      </c>
      <c r="F271">
        <f t="shared" si="184"/>
        <v>11150</v>
      </c>
      <c r="G271">
        <v>12830</v>
      </c>
      <c r="H271">
        <f t="shared" si="175"/>
        <v>191</v>
      </c>
      <c r="I271">
        <v>10806364</v>
      </c>
      <c r="J271">
        <f t="shared" si="185"/>
        <v>106778</v>
      </c>
      <c r="K271" s="2">
        <f t="shared" si="186"/>
        <v>9.9796384645163272E-3</v>
      </c>
      <c r="L271" s="2">
        <f t="shared" si="187"/>
        <v>0.10442225926689018</v>
      </c>
      <c r="W271">
        <v>759562</v>
      </c>
    </row>
    <row r="272" spans="1:23" x14ac:dyDescent="0.3">
      <c r="A272" s="1" cm="1">
        <f t="array" ref="A272">IF(OR(B272:L272=""), "", A271 + 1)</f>
        <v>44169</v>
      </c>
      <c r="B272">
        <f t="shared" si="180"/>
        <v>783062</v>
      </c>
      <c r="C272" s="11">
        <f t="shared" si="181"/>
        <v>6.1658425196850393E-2</v>
      </c>
      <c r="D272" s="2">
        <f t="shared" si="182"/>
        <v>1.3814229044319504E-2</v>
      </c>
      <c r="E272" s="18">
        <f t="shared" si="183"/>
        <v>0.1223367370347372</v>
      </c>
      <c r="F272">
        <f t="shared" si="184"/>
        <v>10670</v>
      </c>
      <c r="G272">
        <v>12974</v>
      </c>
      <c r="H272">
        <f t="shared" si="175"/>
        <v>144</v>
      </c>
      <c r="I272">
        <v>10918998</v>
      </c>
      <c r="J272">
        <f t="shared" si="185"/>
        <v>112634</v>
      </c>
      <c r="K272" s="2">
        <f t="shared" si="186"/>
        <v>1.0422932264728457E-2</v>
      </c>
      <c r="L272" s="2">
        <f t="shared" si="187"/>
        <v>9.4731608572899834E-2</v>
      </c>
      <c r="W272">
        <v>770088</v>
      </c>
    </row>
    <row r="273" spans="1:23" x14ac:dyDescent="0.3">
      <c r="A273" s="1" cm="1">
        <f t="array" ref="A273">IF(OR(B273:L273=""), "", A272 + 1)</f>
        <v>44170</v>
      </c>
      <c r="B273">
        <f t="shared" si="180"/>
        <v>793154</v>
      </c>
      <c r="C273" s="11">
        <f t="shared" si="181"/>
        <v>6.2453070866141734E-2</v>
      </c>
      <c r="D273" s="2">
        <f t="shared" si="182"/>
        <v>1.2887868393562707E-2</v>
      </c>
      <c r="E273" s="18">
        <f t="shared" si="183"/>
        <v>0.13688647827810319</v>
      </c>
      <c r="F273">
        <f t="shared" si="184"/>
        <v>10092</v>
      </c>
      <c r="G273">
        <v>13179</v>
      </c>
      <c r="H273">
        <f t="shared" si="175"/>
        <v>205</v>
      </c>
      <c r="I273">
        <v>11021676</v>
      </c>
      <c r="J273">
        <f t="shared" si="185"/>
        <v>102678</v>
      </c>
      <c r="K273" s="2">
        <f t="shared" si="186"/>
        <v>9.4036101114771675E-3</v>
      </c>
      <c r="L273" s="2">
        <f t="shared" si="187"/>
        <v>9.8287851341085725E-2</v>
      </c>
      <c r="W273">
        <v>779975</v>
      </c>
    </row>
    <row r="274" spans="1:23" x14ac:dyDescent="0.3">
      <c r="A274" s="1" cm="1">
        <f t="array" ref="A274">IF(OR(B274:L274=""), "", A273 + 1)</f>
        <v>44171</v>
      </c>
      <c r="B274">
        <f t="shared" si="180"/>
        <v>800828</v>
      </c>
      <c r="C274" s="11">
        <f t="shared" si="181"/>
        <v>6.3057322834645671E-2</v>
      </c>
      <c r="D274" s="2">
        <f t="shared" si="182"/>
        <v>9.6752963485022825E-3</v>
      </c>
      <c r="E274" s="18">
        <f t="shared" si="183"/>
        <v>0.12733724980153627</v>
      </c>
      <c r="F274">
        <f t="shared" si="184"/>
        <v>7674</v>
      </c>
      <c r="G274">
        <v>13255</v>
      </c>
      <c r="H274">
        <f t="shared" si="175"/>
        <v>76</v>
      </c>
      <c r="I274">
        <v>11101214</v>
      </c>
      <c r="J274">
        <f t="shared" si="185"/>
        <v>79538</v>
      </c>
      <c r="K274" s="2">
        <f t="shared" si="186"/>
        <v>7.2165068180192193E-3</v>
      </c>
      <c r="L274" s="2">
        <f t="shared" si="187"/>
        <v>9.6482184616158317E-2</v>
      </c>
      <c r="W274">
        <v>787573</v>
      </c>
    </row>
    <row r="275" spans="1:23" x14ac:dyDescent="0.3">
      <c r="A275" s="1" cm="1">
        <f t="array" ref="A275">IF(OR(B275:L275=""), "", A274 + 1)</f>
        <v>44172</v>
      </c>
      <c r="B275">
        <f t="shared" si="180"/>
        <v>809607</v>
      </c>
      <c r="C275" s="11">
        <f t="shared" si="181"/>
        <v>6.374858267716535E-2</v>
      </c>
      <c r="D275" s="2">
        <f t="shared" si="182"/>
        <v>1.0962403911951135E-2</v>
      </c>
      <c r="E275" s="18">
        <f t="shared" si="183"/>
        <v>0.19558808173524236</v>
      </c>
      <c r="F275">
        <f t="shared" si="184"/>
        <v>8779</v>
      </c>
      <c r="G275">
        <v>13343</v>
      </c>
      <c r="H275">
        <f t="shared" si="175"/>
        <v>88</v>
      </c>
      <c r="I275">
        <v>11178783</v>
      </c>
      <c r="J275">
        <f t="shared" si="185"/>
        <v>77569</v>
      </c>
      <c r="K275" s="2">
        <f t="shared" si="186"/>
        <v>6.987433986949565E-3</v>
      </c>
      <c r="L275" s="2">
        <f t="shared" si="187"/>
        <v>0.11317665562273589</v>
      </c>
      <c r="W275">
        <v>796264</v>
      </c>
    </row>
    <row r="276" spans="1:23" x14ac:dyDescent="0.3">
      <c r="A276" s="1" cm="1">
        <f t="array" ref="A276">IF(OR(B276:L276=""), "", A275 + 1)</f>
        <v>44173</v>
      </c>
      <c r="B276">
        <f t="shared" si="180"/>
        <v>817661</v>
      </c>
      <c r="C276" s="11">
        <f t="shared" si="181"/>
        <v>6.4382755905511804E-2</v>
      </c>
      <c r="D276" s="2">
        <f t="shared" si="182"/>
        <v>9.9480365164827944E-3</v>
      </c>
      <c r="E276" s="18">
        <f t="shared" si="183"/>
        <v>6.4653068657606907E-2</v>
      </c>
      <c r="F276">
        <f t="shared" si="184"/>
        <v>8054</v>
      </c>
      <c r="G276">
        <v>13487</v>
      </c>
      <c r="H276">
        <f t="shared" si="175"/>
        <v>144</v>
      </c>
      <c r="I276">
        <v>11274608</v>
      </c>
      <c r="J276">
        <f t="shared" si="185"/>
        <v>95825</v>
      </c>
      <c r="K276" s="2">
        <f t="shared" si="186"/>
        <v>8.572042233935484E-3</v>
      </c>
      <c r="L276" s="2">
        <f t="shared" si="187"/>
        <v>8.4049047743282021E-2</v>
      </c>
      <c r="W276">
        <v>804174</v>
      </c>
    </row>
    <row r="277" spans="1:23" x14ac:dyDescent="0.3">
      <c r="A277" s="1" cm="1">
        <f t="array" ref="A277">IF(OR(B277:L277=""), "", A276 + 1)</f>
        <v>44174</v>
      </c>
      <c r="B277">
        <f t="shared" si="180"/>
        <v>826096</v>
      </c>
      <c r="C277" s="11">
        <f t="shared" si="181"/>
        <v>6.5046929133858261E-2</v>
      </c>
      <c r="D277" s="2">
        <f t="shared" si="182"/>
        <v>1.0316011158658656E-2</v>
      </c>
      <c r="E277" s="18">
        <f t="shared" si="183"/>
        <v>9.8360211769659464E-2</v>
      </c>
      <c r="F277">
        <f t="shared" si="184"/>
        <v>8435</v>
      </c>
      <c r="G277">
        <v>13666</v>
      </c>
      <c r="H277">
        <f t="shared" si="175"/>
        <v>179</v>
      </c>
      <c r="I277">
        <v>11367345</v>
      </c>
      <c r="J277">
        <f t="shared" si="185"/>
        <v>92737</v>
      </c>
      <c r="K277" s="2">
        <f t="shared" si="186"/>
        <v>8.2252970568910122E-3</v>
      </c>
      <c r="L277" s="2">
        <f t="shared" si="187"/>
        <v>9.0956144796575267E-2</v>
      </c>
      <c r="W277">
        <v>812430</v>
      </c>
    </row>
    <row r="278" spans="1:23" x14ac:dyDescent="0.3">
      <c r="A278" s="1" cm="1">
        <f t="array" ref="A278">IF(OR(B278:L278=""), "", A277 + 1)</f>
        <v>44175</v>
      </c>
      <c r="B278">
        <f t="shared" si="180"/>
        <v>837392</v>
      </c>
      <c r="C278" s="11">
        <f t="shared" si="181"/>
        <v>6.5936377952755906E-2</v>
      </c>
      <c r="D278" s="2">
        <f t="shared" si="182"/>
        <v>1.36739555693286E-2</v>
      </c>
      <c r="E278" s="18">
        <f t="shared" si="183"/>
        <v>0.13273634006869831</v>
      </c>
      <c r="F278">
        <f t="shared" si="184"/>
        <v>11296</v>
      </c>
      <c r="G278">
        <v>13861</v>
      </c>
      <c r="H278">
        <f t="shared" si="175"/>
        <v>195</v>
      </c>
      <c r="I278">
        <v>11481848</v>
      </c>
      <c r="J278">
        <f t="shared" si="185"/>
        <v>114503</v>
      </c>
      <c r="K278" s="2">
        <f t="shared" si="186"/>
        <v>1.0072976583362259E-2</v>
      </c>
      <c r="L278" s="2">
        <f t="shared" si="187"/>
        <v>9.8652437054050982E-2</v>
      </c>
      <c r="W278">
        <v>823531</v>
      </c>
    </row>
    <row r="279" spans="1:23" x14ac:dyDescent="0.3">
      <c r="A279" s="1" cm="1">
        <f t="array" ref="A279">IF(OR(B279:L279=""), "", A278 + 1)</f>
        <v>44176</v>
      </c>
      <c r="B279">
        <f t="shared" si="180"/>
        <v>847001</v>
      </c>
      <c r="C279" s="11">
        <f t="shared" si="181"/>
        <v>6.6692992125984257E-2</v>
      </c>
      <c r="D279" s="2">
        <f t="shared" si="182"/>
        <v>1.1474912585742292E-2</v>
      </c>
      <c r="E279" s="18">
        <f t="shared" si="183"/>
        <v>0.10086105068099052</v>
      </c>
      <c r="F279">
        <f t="shared" si="184"/>
        <v>9609</v>
      </c>
      <c r="G279">
        <v>14050</v>
      </c>
      <c r="H279">
        <f t="shared" si="175"/>
        <v>189</v>
      </c>
      <c r="I279">
        <v>11586296</v>
      </c>
      <c r="J279">
        <f t="shared" si="185"/>
        <v>104448</v>
      </c>
      <c r="K279" s="2">
        <f t="shared" si="186"/>
        <v>9.0967934778443116E-3</v>
      </c>
      <c r="L279" s="2">
        <f t="shared" si="187"/>
        <v>9.1997931985294115E-2</v>
      </c>
      <c r="W279">
        <v>832951</v>
      </c>
    </row>
    <row r="280" spans="1:23" x14ac:dyDescent="0.3">
      <c r="A280" s="1" cm="1">
        <f t="array" ref="A280">IF(OR(B280:L280=""), "", A279 + 1)</f>
        <v>44177</v>
      </c>
      <c r="B280">
        <f t="shared" si="180"/>
        <v>855864</v>
      </c>
      <c r="C280" s="11">
        <f t="shared" si="181"/>
        <v>6.7390866141732286E-2</v>
      </c>
      <c r="D280" s="2">
        <f t="shared" si="182"/>
        <v>1.0463978200734081E-2</v>
      </c>
      <c r="E280" s="18">
        <f t="shared" si="183"/>
        <v>-1.9779106477755118E-2</v>
      </c>
      <c r="F280">
        <f t="shared" si="184"/>
        <v>8863</v>
      </c>
      <c r="G280">
        <v>14176</v>
      </c>
      <c r="H280">
        <f t="shared" si="175"/>
        <v>126</v>
      </c>
      <c r="I280">
        <v>11713184</v>
      </c>
      <c r="J280">
        <f t="shared" si="185"/>
        <v>126888</v>
      </c>
      <c r="K280" s="2">
        <f t="shared" si="186"/>
        <v>1.0951558634441971E-2</v>
      </c>
      <c r="L280" s="2">
        <f t="shared" si="187"/>
        <v>6.9849000693524996E-2</v>
      </c>
      <c r="W280">
        <v>841688</v>
      </c>
    </row>
    <row r="281" spans="1:23" x14ac:dyDescent="0.3">
      <c r="A281" s="1" cm="1">
        <f t="array" ref="A281">IF(OR(B281:L281=""), "", A280 + 1)</f>
        <v>44178</v>
      </c>
      <c r="B281">
        <f t="shared" si="180"/>
        <v>863195</v>
      </c>
      <c r="C281" s="11">
        <f t="shared" si="181"/>
        <v>6.7968110236220472E-2</v>
      </c>
      <c r="D281" s="2">
        <f t="shared" si="182"/>
        <v>8.5656132282698749E-3</v>
      </c>
      <c r="E281" s="18">
        <f t="shared" si="183"/>
        <v>0.19764866450659813</v>
      </c>
      <c r="F281">
        <f t="shared" si="184"/>
        <v>7331</v>
      </c>
      <c r="G281">
        <v>14291</v>
      </c>
      <c r="H281">
        <f t="shared" si="175"/>
        <v>115</v>
      </c>
      <c r="I281">
        <v>11776832</v>
      </c>
      <c r="J281">
        <f t="shared" si="185"/>
        <v>63648</v>
      </c>
      <c r="K281" s="2">
        <f t="shared" si="186"/>
        <v>5.4338769031545553E-3</v>
      </c>
      <c r="L281" s="2">
        <f t="shared" si="187"/>
        <v>0.11518036701860231</v>
      </c>
      <c r="W281">
        <v>848904</v>
      </c>
    </row>
    <row r="282" spans="1:23" x14ac:dyDescent="0.3">
      <c r="A282" s="1" cm="1">
        <f t="array" ref="A282">IF(OR(B282:L282=""), "", A281 + 1)</f>
        <v>44179</v>
      </c>
      <c r="B282">
        <f t="shared" si="180"/>
        <v>870512</v>
      </c>
      <c r="C282" s="11">
        <f t="shared" si="181"/>
        <v>6.854425196850393E-2</v>
      </c>
      <c r="D282" s="2">
        <f t="shared" si="182"/>
        <v>8.4766478026401249E-3</v>
      </c>
      <c r="E282" s="18">
        <f t="shared" si="183"/>
        <v>3.4257998024028374E-2</v>
      </c>
      <c r="F282">
        <f t="shared" si="184"/>
        <v>7317</v>
      </c>
      <c r="G282">
        <v>14394</v>
      </c>
      <c r="H282">
        <f t="shared" si="175"/>
        <v>103</v>
      </c>
      <c r="I282">
        <v>11869088</v>
      </c>
      <c r="J282">
        <f t="shared" si="185"/>
        <v>92256</v>
      </c>
      <c r="K282" s="2">
        <f t="shared" si="186"/>
        <v>7.8336856635128349E-3</v>
      </c>
      <c r="L282" s="2">
        <f t="shared" si="187"/>
        <v>7.9311914672216446E-2</v>
      </c>
      <c r="W282">
        <v>856118</v>
      </c>
    </row>
    <row r="283" spans="1:23" x14ac:dyDescent="0.3">
      <c r="A283" s="1" cm="1">
        <f t="array" ref="A283">IF(OR(B283:L283=""), "", A282 + 1)</f>
        <v>44180</v>
      </c>
      <c r="B283">
        <f t="shared" si="180"/>
        <v>877986</v>
      </c>
      <c r="C283" s="11">
        <f t="shared" si="181"/>
        <v>6.9132755905511808E-2</v>
      </c>
      <c r="D283" s="2">
        <f t="shared" si="182"/>
        <v>8.5857518334038208E-3</v>
      </c>
      <c r="E283" s="18">
        <f t="shared" si="183"/>
        <v>4.007713234542909E-2</v>
      </c>
      <c r="F283">
        <f t="shared" si="184"/>
        <v>7474</v>
      </c>
      <c r="G283">
        <v>14509</v>
      </c>
      <c r="H283">
        <f t="shared" si="175"/>
        <v>115</v>
      </c>
      <c r="I283">
        <v>11962010</v>
      </c>
      <c r="J283">
        <f t="shared" si="185"/>
        <v>92922</v>
      </c>
      <c r="K283" s="2">
        <f t="shared" si="186"/>
        <v>7.8289081688500683E-3</v>
      </c>
      <c r="L283" s="2">
        <f t="shared" si="187"/>
        <v>8.0433051376423231E-2</v>
      </c>
      <c r="W283">
        <v>863477</v>
      </c>
    </row>
    <row r="284" spans="1:23" x14ac:dyDescent="0.3">
      <c r="A284" s="1" cm="1">
        <f t="array" ref="A284">IF(OR(B284:L284=""), "", A283 + 1)</f>
        <v>44181</v>
      </c>
      <c r="B284">
        <f t="shared" si="180"/>
        <v>885255</v>
      </c>
      <c r="C284" s="11">
        <f t="shared" si="181"/>
        <v>6.9705118110236219E-2</v>
      </c>
      <c r="D284" s="2">
        <f t="shared" si="182"/>
        <v>8.2791752943669472E-3</v>
      </c>
      <c r="E284" s="18">
        <f t="shared" si="183"/>
        <v>2.6012013429090593E-2</v>
      </c>
      <c r="F284">
        <f t="shared" si="184"/>
        <v>7269</v>
      </c>
      <c r="G284">
        <v>14655</v>
      </c>
      <c r="H284">
        <f t="shared" si="175"/>
        <v>146</v>
      </c>
      <c r="I284">
        <v>12055288</v>
      </c>
      <c r="J284">
        <f t="shared" si="185"/>
        <v>93278</v>
      </c>
      <c r="K284" s="2">
        <f t="shared" si="186"/>
        <v>7.7978533707963038E-3</v>
      </c>
      <c r="L284" s="2">
        <f t="shared" si="187"/>
        <v>7.7928343232059008E-2</v>
      </c>
      <c r="W284">
        <v>870600</v>
      </c>
    </row>
  </sheetData>
  <conditionalFormatting sqref="AG1:AG1048576 L1:L1048576">
    <cfRule type="colorScale" priority="8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D15:D284">
    <cfRule type="colorScale" priority="6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E1:E119 E285:E1048576">
    <cfRule type="colorScale" priority="4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E120:E284">
    <cfRule type="colorScale" priority="1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9FFC1-E272-409F-91D7-BEED4F4D4EFB}">
  <sheetPr codeName="Sheet2">
    <pageSetUpPr autoPageBreaks="0"/>
  </sheetPr>
  <dimension ref="A1:W276"/>
  <sheetViews>
    <sheetView workbookViewId="0">
      <pane ySplit="1" topLeftCell="A242" activePane="bottomLeft" state="frozen"/>
      <selection activeCell="C1" sqref="C1"/>
      <selection pane="bottomLeft" activeCell="L255" sqref="L255"/>
    </sheetView>
  </sheetViews>
  <sheetFormatPr defaultRowHeight="14.4" x14ac:dyDescent="0.3"/>
  <sheetData>
    <row r="1" spans="1:23" x14ac:dyDescent="0.3">
      <c r="A1">
        <v>5200000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275</v>
      </c>
      <c r="W1" t="s">
        <v>0</v>
      </c>
    </row>
    <row r="2" spans="1:23" x14ac:dyDescent="0.3">
      <c r="A2" s="1">
        <v>43907</v>
      </c>
      <c r="B2">
        <f t="shared" ref="B2:B35" si="0">W2 + G2</f>
        <v>108</v>
      </c>
      <c r="C2" s="11">
        <f t="shared" ref="C2:C111" si="1">B2/$A$1</f>
        <v>2.0769230769230768E-5</v>
      </c>
      <c r="D2" s="2"/>
      <c r="E2" s="2"/>
      <c r="G2">
        <v>1</v>
      </c>
      <c r="W2">
        <v>107</v>
      </c>
    </row>
    <row r="3" spans="1:23" x14ac:dyDescent="0.3">
      <c r="A3" s="1">
        <f t="shared" ref="A3:A66" si="2">A2+1</f>
        <v>43908</v>
      </c>
      <c r="B3">
        <f t="shared" si="0"/>
        <v>179</v>
      </c>
      <c r="C3" s="11">
        <f t="shared" si="1"/>
        <v>3.4423076923076923E-5</v>
      </c>
      <c r="D3" s="2">
        <f t="shared" ref="D3:D10" si="3">B3/B2 - 1</f>
        <v>0.65740740740740744</v>
      </c>
      <c r="E3" s="2"/>
      <c r="F3">
        <f t="shared" ref="F3:F10" si="4">B3 - B2</f>
        <v>71</v>
      </c>
      <c r="G3">
        <v>1</v>
      </c>
      <c r="H3">
        <f t="shared" ref="H3:H9" si="5">G3-G2</f>
        <v>0</v>
      </c>
      <c r="W3">
        <v>178</v>
      </c>
    </row>
    <row r="4" spans="1:23" x14ac:dyDescent="0.3">
      <c r="A4" s="1">
        <f t="shared" si="2"/>
        <v>43909</v>
      </c>
      <c r="B4">
        <f t="shared" si="0"/>
        <v>280</v>
      </c>
      <c r="C4" s="11">
        <f t="shared" si="1"/>
        <v>5.3846153846153847E-5</v>
      </c>
      <c r="D4" s="2">
        <f t="shared" si="3"/>
        <v>0.56424581005586583</v>
      </c>
      <c r="E4" s="2"/>
      <c r="F4">
        <f t="shared" si="4"/>
        <v>101</v>
      </c>
      <c r="G4">
        <v>2</v>
      </c>
      <c r="H4">
        <f t="shared" si="5"/>
        <v>1</v>
      </c>
      <c r="W4">
        <v>278</v>
      </c>
    </row>
    <row r="5" spans="1:23" x14ac:dyDescent="0.3">
      <c r="A5" s="1">
        <f t="shared" si="2"/>
        <v>43910</v>
      </c>
      <c r="B5">
        <f t="shared" si="0"/>
        <v>414</v>
      </c>
      <c r="C5" s="11">
        <f t="shared" si="1"/>
        <v>7.9615384615384615E-5</v>
      </c>
      <c r="D5" s="2">
        <f t="shared" si="3"/>
        <v>0.47857142857142865</v>
      </c>
      <c r="E5" s="15"/>
      <c r="F5">
        <f t="shared" si="4"/>
        <v>134</v>
      </c>
      <c r="G5">
        <v>3</v>
      </c>
      <c r="H5">
        <f t="shared" si="5"/>
        <v>1</v>
      </c>
      <c r="K5" s="2"/>
      <c r="L5" s="2"/>
      <c r="W5">
        <v>411</v>
      </c>
    </row>
    <row r="6" spans="1:23" x14ac:dyDescent="0.3">
      <c r="A6" s="3">
        <f t="shared" si="2"/>
        <v>43911</v>
      </c>
      <c r="B6" s="4">
        <f t="shared" si="0"/>
        <v>552</v>
      </c>
      <c r="C6" s="12">
        <f t="shared" si="1"/>
        <v>1.0615384615384615E-4</v>
      </c>
      <c r="D6" s="5">
        <f t="shared" si="3"/>
        <v>0.33333333333333326</v>
      </c>
      <c r="E6" s="16"/>
      <c r="F6" s="4">
        <f t="shared" si="4"/>
        <v>138</v>
      </c>
      <c r="G6" s="4">
        <v>4</v>
      </c>
      <c r="H6" s="4">
        <f t="shared" si="5"/>
        <v>1</v>
      </c>
      <c r="I6" s="4"/>
      <c r="J6" s="4"/>
      <c r="K6" s="5"/>
      <c r="L6" s="5"/>
      <c r="M6" t="s">
        <v>10</v>
      </c>
      <c r="W6">
        <v>548</v>
      </c>
    </row>
    <row r="7" spans="1:23" x14ac:dyDescent="0.3">
      <c r="A7" s="1">
        <f t="shared" si="2"/>
        <v>43912</v>
      </c>
      <c r="B7">
        <f t="shared" si="0"/>
        <v>811</v>
      </c>
      <c r="C7" s="11">
        <f t="shared" si="1"/>
        <v>1.5596153846153847E-4</v>
      </c>
      <c r="D7" s="2">
        <f t="shared" si="3"/>
        <v>0.46920289855072461</v>
      </c>
      <c r="E7" s="15"/>
      <c r="F7">
        <f t="shared" si="4"/>
        <v>259</v>
      </c>
      <c r="G7" s="20">
        <v>6</v>
      </c>
      <c r="H7">
        <f t="shared" si="5"/>
        <v>2</v>
      </c>
      <c r="K7" s="2"/>
      <c r="L7" s="2"/>
      <c r="W7">
        <v>805</v>
      </c>
    </row>
    <row r="8" spans="1:23" x14ac:dyDescent="0.3">
      <c r="A8" s="1">
        <f t="shared" si="2"/>
        <v>43913</v>
      </c>
      <c r="B8" s="6">
        <f t="shared" si="0"/>
        <v>988.87805980541407</v>
      </c>
      <c r="C8" s="13">
        <f t="shared" si="1"/>
        <v>1.9016885765488732E-4</v>
      </c>
      <c r="D8" s="7">
        <f t="shared" si="3"/>
        <v>0.2193317630153071</v>
      </c>
      <c r="E8" s="15"/>
      <c r="F8" s="6">
        <f t="shared" si="4"/>
        <v>177.87805980541407</v>
      </c>
      <c r="G8" s="6">
        <f>SQRT(G7 * G9)</f>
        <v>8.4852813742385695</v>
      </c>
      <c r="H8" s="6">
        <f t="shared" si="5"/>
        <v>2.4852813742385695</v>
      </c>
      <c r="K8" s="2"/>
      <c r="L8" s="2"/>
      <c r="W8" s="6">
        <f>SQRT(W7 * W9)</f>
        <v>980.39277843117554</v>
      </c>
    </row>
    <row r="9" spans="1:23" x14ac:dyDescent="0.3">
      <c r="A9" s="1">
        <f t="shared" si="2"/>
        <v>43914</v>
      </c>
      <c r="B9">
        <f t="shared" si="0"/>
        <v>1206</v>
      </c>
      <c r="C9" s="14">
        <f t="shared" si="1"/>
        <v>2.3192307692307691E-4</v>
      </c>
      <c r="D9" s="7">
        <f t="shared" si="3"/>
        <v>0.21956391694776811</v>
      </c>
      <c r="E9" s="15"/>
      <c r="F9" s="6">
        <f t="shared" si="4"/>
        <v>217.12194019458593</v>
      </c>
      <c r="G9">
        <v>12</v>
      </c>
      <c r="H9" s="6">
        <f t="shared" si="5"/>
        <v>3.5147186257614305</v>
      </c>
      <c r="K9" s="2"/>
      <c r="L9" s="2"/>
      <c r="W9">
        <v>1194</v>
      </c>
    </row>
    <row r="10" spans="1:23" x14ac:dyDescent="0.3">
      <c r="A10" s="1">
        <f t="shared" si="2"/>
        <v>43915</v>
      </c>
      <c r="B10">
        <f t="shared" si="0"/>
        <v>1431</v>
      </c>
      <c r="C10" s="11">
        <f t="shared" si="1"/>
        <v>2.7519230769230767E-4</v>
      </c>
      <c r="D10" s="2">
        <f t="shared" si="3"/>
        <v>0.18656716417910446</v>
      </c>
      <c r="E10" s="15"/>
      <c r="F10">
        <f t="shared" si="4"/>
        <v>225</v>
      </c>
      <c r="G10">
        <v>13</v>
      </c>
      <c r="H10">
        <f>G10-G9</f>
        <v>1</v>
      </c>
      <c r="K10" s="2"/>
      <c r="L10" s="2"/>
      <c r="W10">
        <v>1418</v>
      </c>
    </row>
    <row r="11" spans="1:23" x14ac:dyDescent="0.3">
      <c r="A11" s="1">
        <f t="shared" si="2"/>
        <v>43916</v>
      </c>
      <c r="B11">
        <f t="shared" si="0"/>
        <v>1922</v>
      </c>
      <c r="C11" s="11">
        <f t="shared" si="1"/>
        <v>3.6961538461538463E-4</v>
      </c>
      <c r="D11" s="2">
        <f t="shared" ref="D11" si="6">B11/B10 - 1</f>
        <v>0.34311670160726759</v>
      </c>
      <c r="E11" s="15"/>
      <c r="F11">
        <f t="shared" ref="F11" si="7">B11 - B10</f>
        <v>491</v>
      </c>
      <c r="G11">
        <v>18</v>
      </c>
      <c r="H11">
        <f t="shared" ref="H11:H84" si="8">G11-G10</f>
        <v>5</v>
      </c>
      <c r="K11" s="2"/>
      <c r="L11" s="2"/>
      <c r="W11">
        <v>1904</v>
      </c>
    </row>
    <row r="12" spans="1:23" x14ac:dyDescent="0.3">
      <c r="A12" s="1">
        <f t="shared" si="2"/>
        <v>43917</v>
      </c>
      <c r="B12">
        <f t="shared" si="0"/>
        <v>2259</v>
      </c>
      <c r="C12" s="11">
        <f t="shared" si="1"/>
        <v>4.3442307692307693E-4</v>
      </c>
      <c r="D12" s="2">
        <f t="shared" ref="D12" si="9">B12/B11 - 1</f>
        <v>0.17533818938605616</v>
      </c>
      <c r="E12" s="15"/>
      <c r="F12">
        <f t="shared" ref="F12" si="10">B12 - B11</f>
        <v>337</v>
      </c>
      <c r="G12">
        <v>20</v>
      </c>
      <c r="H12">
        <f t="shared" si="8"/>
        <v>2</v>
      </c>
      <c r="K12" s="2"/>
      <c r="L12" s="2"/>
      <c r="W12">
        <v>2239</v>
      </c>
    </row>
    <row r="13" spans="1:23" x14ac:dyDescent="0.3">
      <c r="A13" s="1">
        <f t="shared" si="2"/>
        <v>43918</v>
      </c>
      <c r="B13">
        <f t="shared" si="0"/>
        <v>2641</v>
      </c>
      <c r="C13" s="11">
        <f t="shared" si="1"/>
        <v>5.0788461538461534E-4</v>
      </c>
      <c r="D13" s="2">
        <f t="shared" ref="D13" si="11">B13/B12 - 1</f>
        <v>0.16910137228862321</v>
      </c>
      <c r="E13" s="15"/>
      <c r="F13">
        <f t="shared" ref="F13" si="12">B13 - B12</f>
        <v>382</v>
      </c>
      <c r="G13">
        <v>28</v>
      </c>
      <c r="H13">
        <f t="shared" si="8"/>
        <v>8</v>
      </c>
      <c r="K13" s="2"/>
      <c r="L13" s="2"/>
      <c r="W13">
        <v>2613</v>
      </c>
    </row>
    <row r="14" spans="1:23" x14ac:dyDescent="0.3">
      <c r="A14" s="1">
        <f t="shared" si="2"/>
        <v>43919</v>
      </c>
      <c r="B14">
        <f t="shared" si="0"/>
        <v>3485</v>
      </c>
      <c r="C14" s="11">
        <f t="shared" si="1"/>
        <v>6.7019230769230773E-4</v>
      </c>
      <c r="D14" s="2">
        <f t="shared" ref="D14" si="13">B14/B13 - 1</f>
        <v>0.31957591821279818</v>
      </c>
      <c r="E14" s="15"/>
      <c r="F14">
        <f t="shared" ref="F14" si="14">B14 - B13</f>
        <v>844</v>
      </c>
      <c r="G14">
        <v>40</v>
      </c>
      <c r="H14">
        <f t="shared" si="8"/>
        <v>12</v>
      </c>
      <c r="K14" s="2"/>
      <c r="L14" s="2"/>
      <c r="W14">
        <v>3445</v>
      </c>
    </row>
    <row r="15" spans="1:23" x14ac:dyDescent="0.3">
      <c r="A15" s="1">
        <f t="shared" si="2"/>
        <v>43920</v>
      </c>
      <c r="B15">
        <f t="shared" si="0"/>
        <v>3771</v>
      </c>
      <c r="C15" s="11">
        <f t="shared" si="1"/>
        <v>7.2519230769230766E-4</v>
      </c>
      <c r="D15" s="2">
        <f t="shared" ref="D15" si="15">B15/B14 - 1</f>
        <v>8.2065997130559509E-2</v>
      </c>
      <c r="E15" s="15"/>
      <c r="F15">
        <f t="shared" ref="F15" si="16">B15 - B14</f>
        <v>286</v>
      </c>
      <c r="G15">
        <v>44</v>
      </c>
      <c r="H15">
        <f t="shared" si="8"/>
        <v>4</v>
      </c>
      <c r="K15" s="2"/>
      <c r="L15" s="2"/>
      <c r="W15">
        <v>3727</v>
      </c>
    </row>
    <row r="16" spans="1:23" x14ac:dyDescent="0.3">
      <c r="A16" s="1">
        <f t="shared" si="2"/>
        <v>43921</v>
      </c>
      <c r="B16">
        <f t="shared" si="0"/>
        <v>4557</v>
      </c>
      <c r="C16" s="11">
        <f t="shared" si="1"/>
        <v>8.7634615384615388E-4</v>
      </c>
      <c r="D16" s="2">
        <f t="shared" ref="D16:D22" si="17">B16/B15 - 1</f>
        <v>0.20843277645186964</v>
      </c>
      <c r="E16" s="15"/>
      <c r="F16">
        <f t="shared" ref="F16:F22" si="18">B16 - B15</f>
        <v>786</v>
      </c>
      <c r="G16">
        <v>61</v>
      </c>
      <c r="H16">
        <f t="shared" si="8"/>
        <v>17</v>
      </c>
      <c r="K16" s="2"/>
      <c r="L16" s="2"/>
      <c r="W16">
        <v>4496</v>
      </c>
    </row>
    <row r="17" spans="1:23" x14ac:dyDescent="0.3">
      <c r="A17" s="1">
        <f t="shared" si="2"/>
        <v>43922</v>
      </c>
      <c r="B17">
        <f t="shared" si="0"/>
        <v>5247</v>
      </c>
      <c r="C17" s="11">
        <f t="shared" si="1"/>
        <v>1.0090384615384616E-3</v>
      </c>
      <c r="D17" s="2">
        <f t="shared" si="17"/>
        <v>0.15141540487162608</v>
      </c>
      <c r="E17" s="15"/>
      <c r="F17">
        <f t="shared" si="18"/>
        <v>690</v>
      </c>
      <c r="G17">
        <v>95</v>
      </c>
      <c r="H17">
        <f t="shared" si="8"/>
        <v>34</v>
      </c>
      <c r="K17" s="2"/>
      <c r="L17" s="2"/>
      <c r="W17">
        <v>5152</v>
      </c>
    </row>
    <row r="18" spans="1:23" x14ac:dyDescent="0.3">
      <c r="A18" s="1">
        <f t="shared" si="2"/>
        <v>43923</v>
      </c>
      <c r="B18">
        <f t="shared" si="0"/>
        <v>5682</v>
      </c>
      <c r="C18" s="11">
        <f t="shared" si="1"/>
        <v>1.0926923076923078E-3</v>
      </c>
      <c r="D18" s="2">
        <f t="shared" si="17"/>
        <v>8.290451686678102E-2</v>
      </c>
      <c r="E18" s="15"/>
      <c r="F18">
        <f t="shared" si="18"/>
        <v>435</v>
      </c>
      <c r="G18">
        <v>107</v>
      </c>
      <c r="H18">
        <f t="shared" si="8"/>
        <v>12</v>
      </c>
      <c r="K18" s="2"/>
      <c r="L18" s="2"/>
      <c r="W18">
        <v>5575</v>
      </c>
    </row>
    <row r="19" spans="1:23" x14ac:dyDescent="0.3">
      <c r="A19" s="1">
        <f t="shared" si="2"/>
        <v>43924</v>
      </c>
      <c r="B19">
        <f t="shared" si="0"/>
        <v>6614</v>
      </c>
      <c r="C19" s="11">
        <f t="shared" si="1"/>
        <v>1.271923076923077E-3</v>
      </c>
      <c r="D19" s="2">
        <f t="shared" si="17"/>
        <v>0.16402675114396348</v>
      </c>
      <c r="E19" s="15"/>
      <c r="F19">
        <f t="shared" si="18"/>
        <v>932</v>
      </c>
      <c r="G19">
        <v>141</v>
      </c>
      <c r="H19">
        <f t="shared" si="8"/>
        <v>34</v>
      </c>
      <c r="K19" s="2"/>
      <c r="L19" s="2"/>
      <c r="W19">
        <v>6473</v>
      </c>
    </row>
    <row r="20" spans="1:23" x14ac:dyDescent="0.3">
      <c r="A20" s="1">
        <f t="shared" si="2"/>
        <v>43925</v>
      </c>
      <c r="B20">
        <f t="shared" si="0"/>
        <v>7606</v>
      </c>
      <c r="C20" s="11">
        <f t="shared" si="1"/>
        <v>1.4626923076923076E-3</v>
      </c>
      <c r="D20" s="2">
        <f t="shared" si="17"/>
        <v>0.14998488055639547</v>
      </c>
      <c r="E20" s="15"/>
      <c r="F20">
        <f t="shared" si="18"/>
        <v>992</v>
      </c>
      <c r="G20">
        <v>167</v>
      </c>
      <c r="H20">
        <f t="shared" si="8"/>
        <v>26</v>
      </c>
      <c r="K20" s="2"/>
      <c r="L20" s="2"/>
      <c r="W20">
        <v>7439</v>
      </c>
    </row>
    <row r="21" spans="1:23" x14ac:dyDescent="0.3">
      <c r="A21" s="1">
        <f t="shared" si="2"/>
        <v>43926</v>
      </c>
      <c r="B21">
        <f t="shared" si="0"/>
        <v>8220</v>
      </c>
      <c r="C21" s="11">
        <f t="shared" si="1"/>
        <v>1.5807692307692309E-3</v>
      </c>
      <c r="D21" s="2">
        <f t="shared" si="17"/>
        <v>8.0725742834604208E-2</v>
      </c>
      <c r="E21" s="15"/>
      <c r="F21">
        <f t="shared" si="18"/>
        <v>614</v>
      </c>
      <c r="G21">
        <v>186</v>
      </c>
      <c r="H21">
        <f t="shared" si="8"/>
        <v>19</v>
      </c>
      <c r="K21" s="2"/>
      <c r="L21" s="2"/>
      <c r="W21">
        <v>8034</v>
      </c>
    </row>
    <row r="22" spans="1:23" x14ac:dyDescent="0.3">
      <c r="A22" s="1">
        <f t="shared" si="2"/>
        <v>43927</v>
      </c>
      <c r="B22">
        <f t="shared" si="0"/>
        <v>8937</v>
      </c>
      <c r="C22" s="11">
        <f t="shared" si="1"/>
        <v>1.7186538461538461E-3</v>
      </c>
      <c r="D22" s="2">
        <f t="shared" si="17"/>
        <v>8.7226277372262739E-2</v>
      </c>
      <c r="E22" s="15"/>
      <c r="F22">
        <f t="shared" si="18"/>
        <v>717</v>
      </c>
      <c r="G22">
        <v>209</v>
      </c>
      <c r="H22">
        <f t="shared" si="8"/>
        <v>23</v>
      </c>
      <c r="K22" s="2"/>
      <c r="L22" s="2"/>
      <c r="W22">
        <v>8728</v>
      </c>
    </row>
    <row r="23" spans="1:23" x14ac:dyDescent="0.3">
      <c r="A23" s="1">
        <f t="shared" si="2"/>
        <v>43928</v>
      </c>
      <c r="B23">
        <f t="shared" si="0"/>
        <v>9758</v>
      </c>
      <c r="C23" s="11">
        <f t="shared" si="1"/>
        <v>1.8765384615384616E-3</v>
      </c>
      <c r="D23" s="2">
        <f t="shared" ref="D23" si="19">B23/B22 - 1</f>
        <v>9.1865279176457371E-2</v>
      </c>
      <c r="E23" s="15"/>
      <c r="F23">
        <f t="shared" ref="F23" si="20">B23 - B22</f>
        <v>821</v>
      </c>
      <c r="G23">
        <v>249</v>
      </c>
      <c r="H23">
        <f t="shared" si="8"/>
        <v>40</v>
      </c>
      <c r="K23" s="2"/>
      <c r="L23" s="2"/>
      <c r="W23">
        <v>9509</v>
      </c>
    </row>
    <row r="24" spans="1:23" x14ac:dyDescent="0.3">
      <c r="A24" s="1">
        <f t="shared" si="2"/>
        <v>43929</v>
      </c>
      <c r="B24">
        <f t="shared" si="0"/>
        <v>10832</v>
      </c>
      <c r="C24" s="11">
        <f t="shared" si="1"/>
        <v>2.0830769230769232E-3</v>
      </c>
      <c r="D24" s="2">
        <f t="shared" ref="D24" si="21">B24/B23 - 1</f>
        <v>0.11006353761016596</v>
      </c>
      <c r="E24" s="15"/>
      <c r="F24">
        <f t="shared" ref="F24" si="22">B24 - B23</f>
        <v>1074</v>
      </c>
      <c r="G24">
        <v>312</v>
      </c>
      <c r="H24">
        <f t="shared" si="8"/>
        <v>63</v>
      </c>
      <c r="K24" s="2"/>
      <c r="L24" s="2"/>
      <c r="W24">
        <v>10520</v>
      </c>
    </row>
    <row r="25" spans="1:23" x14ac:dyDescent="0.3">
      <c r="A25" s="1">
        <f t="shared" si="2"/>
        <v>43930</v>
      </c>
      <c r="B25">
        <f t="shared" si="0"/>
        <v>11766</v>
      </c>
      <c r="C25" s="11">
        <f t="shared" si="1"/>
        <v>2.2626923076923076E-3</v>
      </c>
      <c r="D25" s="2">
        <f t="shared" ref="D25" si="23">B25/B24 - 1</f>
        <v>8.6225997045790148E-2</v>
      </c>
      <c r="E25" s="15"/>
      <c r="F25">
        <f t="shared" ref="F25" si="24">B25 - B24</f>
        <v>934</v>
      </c>
      <c r="G25">
        <v>351</v>
      </c>
      <c r="H25">
        <f t="shared" si="8"/>
        <v>39</v>
      </c>
      <c r="K25" s="2"/>
      <c r="L25" s="2"/>
      <c r="W25">
        <v>11415</v>
      </c>
    </row>
    <row r="26" spans="1:23" x14ac:dyDescent="0.3">
      <c r="A26" s="1">
        <f t="shared" si="2"/>
        <v>43931</v>
      </c>
      <c r="B26">
        <f t="shared" si="0"/>
        <v>12870</v>
      </c>
      <c r="C26" s="11">
        <f t="shared" si="1"/>
        <v>2.4750000000000002E-3</v>
      </c>
      <c r="D26" s="2">
        <f t="shared" ref="D26" si="25">B26/B25 - 1</f>
        <v>9.3829678735339206E-2</v>
      </c>
      <c r="E26" s="15"/>
      <c r="F26">
        <f t="shared" ref="F26" si="26">B26 - B25</f>
        <v>1104</v>
      </c>
      <c r="G26">
        <v>398</v>
      </c>
      <c r="H26">
        <f t="shared" si="8"/>
        <v>47</v>
      </c>
      <c r="K26" s="2"/>
      <c r="L26" s="2"/>
      <c r="W26">
        <v>12472</v>
      </c>
    </row>
    <row r="27" spans="1:23" x14ac:dyDescent="0.3">
      <c r="A27" s="1">
        <f t="shared" si="2"/>
        <v>43932</v>
      </c>
      <c r="B27">
        <f t="shared" si="0"/>
        <v>13870</v>
      </c>
      <c r="C27" s="11">
        <f t="shared" si="1"/>
        <v>2.6673076923076923E-3</v>
      </c>
      <c r="D27" s="2">
        <f t="shared" ref="D27" si="27">B27/B26 - 1</f>
        <v>7.7700077700077808E-2</v>
      </c>
      <c r="E27" s="15"/>
      <c r="F27">
        <f t="shared" ref="F27" si="28">B27 - B26</f>
        <v>1000</v>
      </c>
      <c r="G27">
        <v>453</v>
      </c>
      <c r="H27">
        <f t="shared" si="8"/>
        <v>55</v>
      </c>
      <c r="K27" s="2"/>
      <c r="L27" s="2"/>
      <c r="W27">
        <v>13417</v>
      </c>
    </row>
    <row r="28" spans="1:23" x14ac:dyDescent="0.3">
      <c r="A28" s="1">
        <f t="shared" si="2"/>
        <v>43933</v>
      </c>
      <c r="B28">
        <f t="shared" si="0"/>
        <v>15070</v>
      </c>
      <c r="C28" s="11">
        <f t="shared" si="1"/>
        <v>2.8980769230769229E-3</v>
      </c>
      <c r="D28" s="2">
        <f t="shared" ref="D28" si="29">B28/B27 - 1</f>
        <v>8.6517664023071372E-2</v>
      </c>
      <c r="E28" s="15"/>
      <c r="F28">
        <f t="shared" ref="F28" si="30">B28 - B27</f>
        <v>1200</v>
      </c>
      <c r="G28">
        <v>485</v>
      </c>
      <c r="H28">
        <f t="shared" si="8"/>
        <v>32</v>
      </c>
      <c r="K28" s="2"/>
      <c r="L28" s="2"/>
      <c r="W28">
        <v>14585</v>
      </c>
    </row>
    <row r="29" spans="1:23" x14ac:dyDescent="0.3">
      <c r="A29" s="1">
        <f t="shared" si="2"/>
        <v>43934</v>
      </c>
      <c r="B29">
        <f t="shared" si="0"/>
        <v>16017</v>
      </c>
      <c r="C29" s="11">
        <f t="shared" si="1"/>
        <v>3.0801923076923077E-3</v>
      </c>
      <c r="D29" s="2">
        <f t="shared" ref="D29" si="31">B29/B28 - 1</f>
        <v>6.2840079628400769E-2</v>
      </c>
      <c r="E29" s="15"/>
      <c r="F29">
        <f t="shared" ref="F29" si="32">B29 - B28</f>
        <v>947</v>
      </c>
      <c r="G29">
        <v>543</v>
      </c>
      <c r="H29">
        <f t="shared" si="8"/>
        <v>58</v>
      </c>
      <c r="K29" s="2"/>
      <c r="L29" s="2"/>
      <c r="W29">
        <v>15474</v>
      </c>
    </row>
    <row r="30" spans="1:23" x14ac:dyDescent="0.3">
      <c r="A30" s="1">
        <f t="shared" si="2"/>
        <v>43935</v>
      </c>
      <c r="B30">
        <f t="shared" si="0"/>
        <v>16900</v>
      </c>
      <c r="C30" s="11">
        <f t="shared" si="1"/>
        <v>3.2499999999999999E-3</v>
      </c>
      <c r="D30" s="2">
        <f t="shared" ref="D30" si="33">B30/B29 - 1</f>
        <v>5.5128925516638505E-2</v>
      </c>
      <c r="E30" s="15"/>
      <c r="F30">
        <f t="shared" ref="F30" si="34">B30 - B29</f>
        <v>883</v>
      </c>
      <c r="G30">
        <v>577</v>
      </c>
      <c r="H30">
        <f t="shared" si="8"/>
        <v>34</v>
      </c>
      <c r="K30" s="2"/>
      <c r="L30" s="2"/>
      <c r="W30">
        <v>16323</v>
      </c>
    </row>
    <row r="31" spans="1:23" x14ac:dyDescent="0.3">
      <c r="A31" s="1">
        <f t="shared" si="2"/>
        <v>43936</v>
      </c>
      <c r="B31">
        <f t="shared" si="0"/>
        <v>17936</v>
      </c>
      <c r="C31" s="11">
        <f t="shared" si="1"/>
        <v>3.4492307692307691E-3</v>
      </c>
      <c r="D31" s="2">
        <f t="shared" ref="D31" si="35">B31/B30 - 1</f>
        <v>6.1301775147929005E-2</v>
      </c>
      <c r="E31" s="15"/>
      <c r="F31">
        <f t="shared" ref="F31" si="36">B31 - B30</f>
        <v>1036</v>
      </c>
      <c r="G31">
        <v>630</v>
      </c>
      <c r="H31">
        <f t="shared" si="8"/>
        <v>53</v>
      </c>
      <c r="K31" s="2"/>
      <c r="L31" s="2"/>
      <c r="W31">
        <v>17306</v>
      </c>
    </row>
    <row r="32" spans="1:23" x14ac:dyDescent="0.3">
      <c r="A32" s="1">
        <f t="shared" si="2"/>
        <v>43937</v>
      </c>
      <c r="B32">
        <f t="shared" si="0"/>
        <v>18809</v>
      </c>
      <c r="C32" s="11">
        <f t="shared" si="1"/>
        <v>3.6171153846153844E-3</v>
      </c>
      <c r="D32" s="2">
        <f t="shared" ref="D32" si="37">B32/B31 - 1</f>
        <v>4.8673059768064242E-2</v>
      </c>
      <c r="E32" s="15"/>
      <c r="F32">
        <f t="shared" ref="F32" si="38">B32 - B31</f>
        <v>873</v>
      </c>
      <c r="G32">
        <v>722</v>
      </c>
      <c r="H32">
        <f t="shared" si="8"/>
        <v>92</v>
      </c>
      <c r="K32" s="2"/>
      <c r="L32" s="2"/>
      <c r="W32">
        <v>18087</v>
      </c>
    </row>
    <row r="33" spans="1:23" x14ac:dyDescent="0.3">
      <c r="A33" s="1">
        <f t="shared" si="2"/>
        <v>43938</v>
      </c>
      <c r="B33">
        <f t="shared" si="0"/>
        <v>20151</v>
      </c>
      <c r="C33" s="11">
        <f t="shared" si="1"/>
        <v>3.8751923076923078E-3</v>
      </c>
      <c r="D33" s="2">
        <f t="shared" ref="D33" si="39">B33/B32 - 1</f>
        <v>7.1348822372268694E-2</v>
      </c>
      <c r="E33" s="15"/>
      <c r="F33">
        <f t="shared" ref="F33" si="40">B33 - B32</f>
        <v>1342</v>
      </c>
      <c r="G33">
        <v>760</v>
      </c>
      <c r="H33">
        <f t="shared" si="8"/>
        <v>38</v>
      </c>
      <c r="K33" s="2"/>
      <c r="L33" s="2"/>
      <c r="W33">
        <v>19391</v>
      </c>
    </row>
    <row r="34" spans="1:23" x14ac:dyDescent="0.3">
      <c r="A34" s="1">
        <f t="shared" si="2"/>
        <v>43939</v>
      </c>
      <c r="B34">
        <f t="shared" si="0"/>
        <v>21255</v>
      </c>
      <c r="C34" s="11">
        <f t="shared" si="1"/>
        <v>4.0875E-3</v>
      </c>
      <c r="D34" s="2">
        <f t="shared" ref="D34" si="41">B34/B33 - 1</f>
        <v>5.4786362959654555E-2</v>
      </c>
      <c r="E34" s="15"/>
      <c r="F34">
        <f t="shared" ref="F34" si="42">B34 - B33</f>
        <v>1104</v>
      </c>
      <c r="G34">
        <v>860</v>
      </c>
      <c r="H34">
        <f t="shared" si="8"/>
        <v>100</v>
      </c>
      <c r="K34" s="2"/>
      <c r="L34" s="2"/>
      <c r="W34">
        <v>20395</v>
      </c>
    </row>
    <row r="35" spans="1:23" x14ac:dyDescent="0.3">
      <c r="A35" s="1">
        <f t="shared" si="2"/>
        <v>43940</v>
      </c>
      <c r="B35">
        <f t="shared" si="0"/>
        <v>22149</v>
      </c>
      <c r="C35" s="11">
        <f t="shared" si="1"/>
        <v>4.2594230769230773E-3</v>
      </c>
      <c r="D35" s="2">
        <f t="shared" ref="D35" si="43">B35/B34 - 1</f>
        <v>4.2060691601975897E-2</v>
      </c>
      <c r="E35" s="15"/>
      <c r="F35">
        <f t="shared" ref="F35" si="44">B35 - B34</f>
        <v>894</v>
      </c>
      <c r="G35">
        <v>877</v>
      </c>
      <c r="H35">
        <f t="shared" si="8"/>
        <v>17</v>
      </c>
      <c r="K35" s="2"/>
      <c r="L35" s="2"/>
      <c r="W35">
        <v>21272</v>
      </c>
    </row>
    <row r="36" spans="1:23" x14ac:dyDescent="0.3">
      <c r="A36" s="1">
        <f t="shared" si="2"/>
        <v>43941</v>
      </c>
      <c r="B36">
        <f t="shared" ref="B36:B67" si="45">W36 + G36</f>
        <v>23016</v>
      </c>
      <c r="C36" s="11">
        <f t="shared" si="1"/>
        <v>4.4261538461538462E-3</v>
      </c>
      <c r="D36" s="2">
        <f t="shared" ref="D36" si="46">B36/B35 - 1</f>
        <v>3.9143979412163077E-2</v>
      </c>
      <c r="E36" s="15"/>
      <c r="F36">
        <f t="shared" ref="F36" si="47">B36 - B35</f>
        <v>867</v>
      </c>
      <c r="G36">
        <v>915</v>
      </c>
      <c r="H36">
        <f t="shared" si="8"/>
        <v>38</v>
      </c>
      <c r="K36" s="2"/>
      <c r="L36" s="2"/>
      <c r="W36">
        <v>22101</v>
      </c>
    </row>
    <row r="37" spans="1:23" x14ac:dyDescent="0.3">
      <c r="A37" s="1">
        <f t="shared" si="2"/>
        <v>43942</v>
      </c>
      <c r="B37">
        <f t="shared" si="45"/>
        <v>24183</v>
      </c>
      <c r="C37" s="11">
        <f t="shared" si="1"/>
        <v>4.6505769230769231E-3</v>
      </c>
      <c r="D37" s="2">
        <f t="shared" ref="D37" si="48">B37/B36 - 1</f>
        <v>5.0703858185610073E-2</v>
      </c>
      <c r="E37" s="15"/>
      <c r="F37">
        <f t="shared" ref="F37" si="49">B37 - B36</f>
        <v>1167</v>
      </c>
      <c r="G37">
        <v>1002</v>
      </c>
      <c r="H37">
        <f t="shared" si="8"/>
        <v>87</v>
      </c>
      <c r="K37" s="2"/>
      <c r="L37" s="2"/>
      <c r="W37">
        <v>23181</v>
      </c>
    </row>
    <row r="38" spans="1:23" x14ac:dyDescent="0.3">
      <c r="A38" s="1">
        <f t="shared" si="2"/>
        <v>43943</v>
      </c>
      <c r="B38">
        <f t="shared" si="45"/>
        <v>25618</v>
      </c>
      <c r="C38" s="11">
        <f t="shared" si="1"/>
        <v>4.9265384615384614E-3</v>
      </c>
      <c r="D38" s="2">
        <f t="shared" ref="D38" si="50">B38/B37 - 1</f>
        <v>5.9339205226812242E-2</v>
      </c>
      <c r="E38" s="15"/>
      <c r="F38">
        <f t="shared" ref="F38" si="51">B38 - B37</f>
        <v>1435</v>
      </c>
      <c r="G38">
        <v>1072</v>
      </c>
      <c r="H38">
        <f t="shared" si="8"/>
        <v>70</v>
      </c>
      <c r="K38" s="2"/>
      <c r="L38" s="2"/>
      <c r="W38">
        <v>24546</v>
      </c>
    </row>
    <row r="39" spans="1:23" x14ac:dyDescent="0.3">
      <c r="A39" s="1">
        <f t="shared" si="2"/>
        <v>43944</v>
      </c>
      <c r="B39">
        <f t="shared" si="45"/>
        <v>26953</v>
      </c>
      <c r="C39" s="11">
        <f t="shared" si="1"/>
        <v>5.1832692307692309E-3</v>
      </c>
      <c r="D39" s="2">
        <f t="shared" ref="D39" si="52">B39/B38 - 1</f>
        <v>5.2111796393160992E-2</v>
      </c>
      <c r="E39" s="15"/>
      <c r="F39">
        <f t="shared" ref="F39" si="53">B39 - B38</f>
        <v>1335</v>
      </c>
      <c r="G39">
        <v>1142</v>
      </c>
      <c r="H39">
        <f t="shared" si="8"/>
        <v>70</v>
      </c>
      <c r="K39" s="2"/>
      <c r="L39" s="2"/>
      <c r="W39">
        <v>25811</v>
      </c>
    </row>
    <row r="40" spans="1:23" x14ac:dyDescent="0.3">
      <c r="A40" s="1">
        <f t="shared" si="2"/>
        <v>43945</v>
      </c>
      <c r="B40">
        <f t="shared" si="45"/>
        <v>28836</v>
      </c>
      <c r="C40" s="11">
        <f t="shared" si="1"/>
        <v>5.5453846153846152E-3</v>
      </c>
      <c r="D40" s="2">
        <f t="shared" ref="D40" si="54">B40/B39 - 1</f>
        <v>6.986235298482546E-2</v>
      </c>
      <c r="E40" s="15"/>
      <c r="F40">
        <f t="shared" ref="F40" si="55">B40 - B39</f>
        <v>1883</v>
      </c>
      <c r="G40">
        <v>1220</v>
      </c>
      <c r="H40">
        <f t="shared" si="8"/>
        <v>78</v>
      </c>
      <c r="K40" s="2"/>
      <c r="L40" s="2"/>
      <c r="W40">
        <v>27616</v>
      </c>
    </row>
    <row r="41" spans="1:23" x14ac:dyDescent="0.3">
      <c r="A41" s="1">
        <f t="shared" si="2"/>
        <v>43946</v>
      </c>
      <c r="B41">
        <f t="shared" si="45"/>
        <v>30325</v>
      </c>
      <c r="C41" s="11">
        <f t="shared" si="1"/>
        <v>5.8317307692307696E-3</v>
      </c>
      <c r="D41" s="2">
        <f t="shared" ref="D41" si="56">B41/B40 - 1</f>
        <v>5.1636842835344643E-2</v>
      </c>
      <c r="E41" s="15"/>
      <c r="F41">
        <f t="shared" ref="F41" si="57">B41 - B40</f>
        <v>1489</v>
      </c>
      <c r="G41">
        <v>1267</v>
      </c>
      <c r="H41">
        <f t="shared" si="8"/>
        <v>47</v>
      </c>
      <c r="K41" s="2"/>
      <c r="L41" s="2"/>
      <c r="W41">
        <v>29058</v>
      </c>
    </row>
    <row r="42" spans="1:23" x14ac:dyDescent="0.3">
      <c r="A42" s="1">
        <f t="shared" si="2"/>
        <v>43947</v>
      </c>
      <c r="B42">
        <f t="shared" si="45"/>
        <v>31887</v>
      </c>
      <c r="C42" s="11">
        <f t="shared" si="1"/>
        <v>6.1321153846153843E-3</v>
      </c>
      <c r="D42" s="2">
        <f t="shared" ref="D42" si="58">B42/B41 - 1</f>
        <v>5.1508656224237503E-2</v>
      </c>
      <c r="E42" s="15"/>
      <c r="F42">
        <f t="shared" ref="F42" si="59">B42 - B41</f>
        <v>1562</v>
      </c>
      <c r="G42">
        <v>1313</v>
      </c>
      <c r="H42">
        <f t="shared" si="8"/>
        <v>46</v>
      </c>
      <c r="K42" s="2"/>
      <c r="L42" s="2"/>
      <c r="W42">
        <v>30574</v>
      </c>
    </row>
    <row r="43" spans="1:23" x14ac:dyDescent="0.3">
      <c r="A43" s="1">
        <f t="shared" si="2"/>
        <v>43948</v>
      </c>
      <c r="B43">
        <f t="shared" si="45"/>
        <v>33300</v>
      </c>
      <c r="C43" s="11">
        <f t="shared" si="1"/>
        <v>6.4038461538461541E-3</v>
      </c>
      <c r="D43" s="2">
        <f t="shared" ref="D43" si="60">B43/B42 - 1</f>
        <v>4.43127293254304E-2</v>
      </c>
      <c r="E43" s="15"/>
      <c r="F43">
        <f t="shared" ref="F43" si="61">B43 - B42</f>
        <v>1413</v>
      </c>
      <c r="G43">
        <v>1347</v>
      </c>
      <c r="H43">
        <f t="shared" si="8"/>
        <v>34</v>
      </c>
      <c r="K43" s="2"/>
      <c r="L43" s="2"/>
      <c r="W43">
        <v>31953</v>
      </c>
    </row>
    <row r="44" spans="1:23" x14ac:dyDescent="0.3">
      <c r="A44" s="1">
        <f t="shared" si="2"/>
        <v>43949</v>
      </c>
      <c r="B44">
        <f t="shared" si="45"/>
        <v>34906</v>
      </c>
      <c r="C44" s="11">
        <f t="shared" si="1"/>
        <v>6.7126923076923075E-3</v>
      </c>
      <c r="D44" s="2">
        <f t="shared" ref="D44" si="62">B44/B43 - 1</f>
        <v>4.8228228228228254E-2</v>
      </c>
      <c r="E44" s="15"/>
      <c r="F44">
        <f t="shared" ref="F44" si="63">B44 - B43</f>
        <v>1606</v>
      </c>
      <c r="G44">
        <v>1457</v>
      </c>
      <c r="H44">
        <f t="shared" si="8"/>
        <v>110</v>
      </c>
      <c r="K44" s="2"/>
      <c r="L44" s="2"/>
      <c r="W44">
        <v>33449</v>
      </c>
    </row>
    <row r="45" spans="1:23" x14ac:dyDescent="0.3">
      <c r="A45" s="1">
        <f t="shared" si="2"/>
        <v>43950</v>
      </c>
      <c r="B45">
        <f t="shared" si="45"/>
        <v>36396</v>
      </c>
      <c r="C45" s="11">
        <f t="shared" si="1"/>
        <v>6.9992307692307689E-3</v>
      </c>
      <c r="D45" s="2">
        <f t="shared" ref="D45" si="64">B45/B44 - 1</f>
        <v>4.2686071162550743E-2</v>
      </c>
      <c r="E45" s="15"/>
      <c r="F45">
        <f t="shared" ref="F45" si="65">B45 - B44</f>
        <v>1490</v>
      </c>
      <c r="G45">
        <v>1516</v>
      </c>
      <c r="H45">
        <f t="shared" si="8"/>
        <v>59</v>
      </c>
      <c r="K45" s="2"/>
      <c r="L45" s="2"/>
      <c r="W45">
        <v>34880</v>
      </c>
    </row>
    <row r="46" spans="1:23" x14ac:dyDescent="0.3">
      <c r="A46" s="1">
        <f t="shared" si="2"/>
        <v>43951</v>
      </c>
      <c r="B46">
        <f t="shared" si="45"/>
        <v>38120</v>
      </c>
      <c r="C46" s="11">
        <f t="shared" si="1"/>
        <v>7.330769230769231E-3</v>
      </c>
      <c r="D46" s="2">
        <f t="shared" ref="D46" si="66">B46/B45 - 1</f>
        <v>4.7367842620068101E-2</v>
      </c>
      <c r="E46" s="15"/>
      <c r="F46">
        <f t="shared" ref="F46" si="67">B46 - B45</f>
        <v>1724</v>
      </c>
      <c r="G46">
        <v>1607</v>
      </c>
      <c r="H46">
        <f t="shared" si="8"/>
        <v>91</v>
      </c>
      <c r="K46" s="2"/>
      <c r="L46" s="2"/>
      <c r="W46">
        <v>36513</v>
      </c>
    </row>
    <row r="47" spans="1:23" x14ac:dyDescent="0.3">
      <c r="A47" s="1">
        <f t="shared" si="2"/>
        <v>43952</v>
      </c>
      <c r="B47">
        <f t="shared" si="45"/>
        <v>40341</v>
      </c>
      <c r="C47" s="11">
        <f t="shared" si="1"/>
        <v>7.7578846153846153E-3</v>
      </c>
      <c r="D47" s="2">
        <f t="shared" ref="D47" si="68">B47/B46 - 1</f>
        <v>5.8263378803777632E-2</v>
      </c>
      <c r="E47" s="15"/>
      <c r="F47">
        <f t="shared" ref="F47" si="69">B47 - B46</f>
        <v>2221</v>
      </c>
      <c r="G47">
        <v>1673</v>
      </c>
      <c r="H47">
        <f t="shared" si="8"/>
        <v>66</v>
      </c>
      <c r="K47" s="2"/>
      <c r="L47" s="2"/>
      <c r="W47">
        <v>38668</v>
      </c>
    </row>
    <row r="48" spans="1:23" x14ac:dyDescent="0.3">
      <c r="A48" s="1">
        <f t="shared" si="2"/>
        <v>43953</v>
      </c>
      <c r="B48">
        <f t="shared" si="45"/>
        <v>41970</v>
      </c>
      <c r="C48" s="11">
        <f t="shared" si="1"/>
        <v>8.071153846153846E-3</v>
      </c>
      <c r="D48" s="2">
        <f t="shared" ref="D48" si="70">B48/B47 - 1</f>
        <v>4.0380754071540181E-2</v>
      </c>
      <c r="E48" s="15"/>
      <c r="F48">
        <f t="shared" ref="F48" si="71">B48 - B47</f>
        <v>1629</v>
      </c>
      <c r="G48">
        <v>1743</v>
      </c>
      <c r="H48">
        <f t="shared" si="8"/>
        <v>70</v>
      </c>
      <c r="K48" s="2"/>
      <c r="L48" s="2"/>
      <c r="W48">
        <v>40227</v>
      </c>
    </row>
    <row r="49" spans="1:23" x14ac:dyDescent="0.3">
      <c r="A49" s="1">
        <f t="shared" si="2"/>
        <v>43954</v>
      </c>
      <c r="B49">
        <f t="shared" si="45"/>
        <v>44110</v>
      </c>
      <c r="C49" s="11">
        <f t="shared" si="1"/>
        <v>8.4826923076923074E-3</v>
      </c>
      <c r="D49" s="2">
        <f t="shared" ref="D49" si="72">B49/B48 - 1</f>
        <v>5.0988801524898708E-2</v>
      </c>
      <c r="E49" s="15"/>
      <c r="F49">
        <f t="shared" ref="F49" si="73">B49 - B48</f>
        <v>2140</v>
      </c>
      <c r="G49">
        <v>1786</v>
      </c>
      <c r="H49">
        <f t="shared" si="8"/>
        <v>43</v>
      </c>
      <c r="K49" s="2"/>
      <c r="L49" s="2"/>
      <c r="W49">
        <v>42324</v>
      </c>
    </row>
    <row r="50" spans="1:23" x14ac:dyDescent="0.3">
      <c r="A50" s="1">
        <f t="shared" si="2"/>
        <v>43955</v>
      </c>
      <c r="B50">
        <f t="shared" si="45"/>
        <v>45517</v>
      </c>
      <c r="C50" s="11">
        <f t="shared" si="1"/>
        <v>8.7532692307692311E-3</v>
      </c>
      <c r="D50" s="2">
        <f t="shared" ref="D50" si="74">B50/B49 - 1</f>
        <v>3.1897528905010297E-2</v>
      </c>
      <c r="E50" s="15"/>
      <c r="F50">
        <f t="shared" ref="F50" si="75">B50 - B49</f>
        <v>1407</v>
      </c>
      <c r="G50">
        <v>1802</v>
      </c>
      <c r="H50">
        <f t="shared" si="8"/>
        <v>16</v>
      </c>
      <c r="I50">
        <v>184510</v>
      </c>
      <c r="K50" s="2"/>
      <c r="L50" s="2"/>
      <c r="W50">
        <v>43715</v>
      </c>
    </row>
    <row r="51" spans="1:23" x14ac:dyDescent="0.3">
      <c r="A51" s="1">
        <f t="shared" si="2"/>
        <v>43956</v>
      </c>
      <c r="B51">
        <f t="shared" si="45"/>
        <v>47145</v>
      </c>
      <c r="C51" s="11">
        <f t="shared" si="1"/>
        <v>9.066346153846154E-3</v>
      </c>
      <c r="D51" s="2">
        <f t="shared" ref="D51" si="76">B51/B50 - 1</f>
        <v>3.5766856339389586E-2</v>
      </c>
      <c r="E51" s="15">
        <f t="shared" ref="E51:E68" si="77">LOG(D51/K51)</f>
        <v>-4.820445668080031E-3</v>
      </c>
      <c r="F51">
        <f t="shared" ref="F51" si="78">B51 - B50</f>
        <v>1628</v>
      </c>
      <c r="G51">
        <v>1922</v>
      </c>
      <c r="H51">
        <f t="shared" si="8"/>
        <v>120</v>
      </c>
      <c r="I51">
        <v>191183</v>
      </c>
      <c r="J51">
        <f t="shared" ref="J51:J68" si="79">I51 - I50</f>
        <v>6673</v>
      </c>
      <c r="K51" s="2">
        <f t="shared" ref="K51:K68" si="80">I51/I50 - 1</f>
        <v>3.6166061460083387E-2</v>
      </c>
      <c r="L51" s="2">
        <f t="shared" ref="L51:L68" si="81">(B51 - B50)/(I51 - I50)</f>
        <v>0.24396823018132774</v>
      </c>
      <c r="W51">
        <v>45223</v>
      </c>
    </row>
    <row r="52" spans="1:23" x14ac:dyDescent="0.3">
      <c r="A52" s="1">
        <f t="shared" si="2"/>
        <v>43957</v>
      </c>
      <c r="B52">
        <f t="shared" si="45"/>
        <v>48693</v>
      </c>
      <c r="C52" s="11">
        <f t="shared" si="1"/>
        <v>9.3640384615384618E-3</v>
      </c>
      <c r="D52" s="2">
        <f t="shared" ref="D52" si="82">B52/B51 - 1</f>
        <v>3.2834871142220834E-2</v>
      </c>
      <c r="E52" s="15">
        <f t="shared" si="77"/>
        <v>-3.2483212485801841E-2</v>
      </c>
      <c r="F52">
        <f t="shared" ref="F52" si="83">B52 - B51</f>
        <v>1548</v>
      </c>
      <c r="G52">
        <v>2004</v>
      </c>
      <c r="H52">
        <f t="shared" si="8"/>
        <v>82</v>
      </c>
      <c r="I52">
        <v>197948</v>
      </c>
      <c r="J52">
        <f t="shared" si="79"/>
        <v>6765</v>
      </c>
      <c r="K52" s="2">
        <f t="shared" si="80"/>
        <v>3.5384945314175464E-2</v>
      </c>
      <c r="L52" s="2">
        <f t="shared" si="81"/>
        <v>0.22882483370288248</v>
      </c>
      <c r="W52">
        <v>46689</v>
      </c>
    </row>
    <row r="53" spans="1:23" x14ac:dyDescent="0.3">
      <c r="A53" s="1">
        <f t="shared" si="2"/>
        <v>43958</v>
      </c>
      <c r="B53">
        <f t="shared" si="45"/>
        <v>50451</v>
      </c>
      <c r="C53" s="11">
        <f t="shared" si="1"/>
        <v>9.7021153846153854E-3</v>
      </c>
      <c r="D53" s="2">
        <f t="shared" ref="D53" si="84">B53/B52 - 1</f>
        <v>3.6103752079354345E-2</v>
      </c>
      <c r="E53" s="15">
        <f t="shared" si="77"/>
        <v>-5.4327942552887802E-2</v>
      </c>
      <c r="F53">
        <f t="shared" ref="F53" si="85">B53 - B52</f>
        <v>1758</v>
      </c>
      <c r="G53">
        <v>2110</v>
      </c>
      <c r="H53">
        <f t="shared" si="8"/>
        <v>106</v>
      </c>
      <c r="I53">
        <v>206047</v>
      </c>
      <c r="J53">
        <f t="shared" si="79"/>
        <v>8099</v>
      </c>
      <c r="K53" s="2">
        <f t="shared" si="80"/>
        <v>4.0914785701295253E-2</v>
      </c>
      <c r="L53" s="2">
        <f t="shared" si="81"/>
        <v>0.21706383504136312</v>
      </c>
      <c r="W53">
        <v>48341</v>
      </c>
    </row>
    <row r="54" spans="1:23" x14ac:dyDescent="0.3">
      <c r="A54" s="1">
        <f t="shared" si="2"/>
        <v>43959</v>
      </c>
      <c r="B54">
        <f t="shared" si="45"/>
        <v>52433</v>
      </c>
      <c r="C54" s="11">
        <f t="shared" si="1"/>
        <v>1.0083269230769231E-2</v>
      </c>
      <c r="D54" s="2">
        <f t="shared" ref="D54" si="86">B54/B53 - 1</f>
        <v>3.9285643495668987E-2</v>
      </c>
      <c r="E54" s="15">
        <f t="shared" si="77"/>
        <v>-9.5690999316783348E-2</v>
      </c>
      <c r="F54">
        <f t="shared" ref="F54" si="87">B54 - B53</f>
        <v>1982</v>
      </c>
      <c r="G54">
        <v>2197</v>
      </c>
      <c r="H54">
        <f t="shared" si="8"/>
        <v>87</v>
      </c>
      <c r="I54">
        <v>216137</v>
      </c>
      <c r="J54">
        <f t="shared" si="79"/>
        <v>10090</v>
      </c>
      <c r="K54" s="2">
        <f t="shared" si="80"/>
        <v>4.8969409891917781E-2</v>
      </c>
      <c r="L54" s="2">
        <f t="shared" si="81"/>
        <v>0.19643211100099109</v>
      </c>
      <c r="W54">
        <v>50236</v>
      </c>
    </row>
    <row r="55" spans="1:23" x14ac:dyDescent="0.3">
      <c r="A55" s="1">
        <f t="shared" si="2"/>
        <v>43960</v>
      </c>
      <c r="B55">
        <f t="shared" si="45"/>
        <v>53938</v>
      </c>
      <c r="C55" s="11">
        <f t="shared" si="1"/>
        <v>1.0372692307692308E-2</v>
      </c>
      <c r="D55" s="2">
        <f t="shared" ref="D55" si="88">B55/B54 - 1</f>
        <v>2.8703297541624595E-2</v>
      </c>
      <c r="E55" s="15">
        <f t="shared" si="77"/>
        <v>-0.10132265511639912</v>
      </c>
      <c r="F55">
        <f t="shared" ref="F55" si="89">B55 - B54</f>
        <v>1505</v>
      </c>
      <c r="G55">
        <v>2264</v>
      </c>
      <c r="H55">
        <f t="shared" si="8"/>
        <v>67</v>
      </c>
      <c r="I55">
        <v>223971</v>
      </c>
      <c r="J55">
        <f t="shared" si="79"/>
        <v>7834</v>
      </c>
      <c r="K55" s="2">
        <f t="shared" si="80"/>
        <v>3.6245529455854353E-2</v>
      </c>
      <c r="L55" s="2">
        <f t="shared" si="81"/>
        <v>0.19211130967577228</v>
      </c>
      <c r="W55">
        <v>51674</v>
      </c>
    </row>
    <row r="56" spans="1:23" x14ac:dyDescent="0.3">
      <c r="A56" s="1">
        <f t="shared" si="2"/>
        <v>43961</v>
      </c>
      <c r="B56">
        <f t="shared" si="45"/>
        <v>54972</v>
      </c>
      <c r="C56" s="11">
        <f t="shared" si="1"/>
        <v>1.0571538461538462E-2</v>
      </c>
      <c r="D56" s="2">
        <f t="shared" ref="D56" si="90">B56/B55 - 1</f>
        <v>1.9170158329934406E-2</v>
      </c>
      <c r="E56" s="15">
        <f t="shared" si="77"/>
        <v>-0.16659199073328829</v>
      </c>
      <c r="F56">
        <f t="shared" ref="F56" si="91">B56 - B55</f>
        <v>1034</v>
      </c>
      <c r="G56">
        <v>2317</v>
      </c>
      <c r="H56">
        <f t="shared" si="8"/>
        <v>53</v>
      </c>
      <c r="I56">
        <v>230272</v>
      </c>
      <c r="J56">
        <f t="shared" si="79"/>
        <v>6301</v>
      </c>
      <c r="K56" s="2">
        <f t="shared" si="80"/>
        <v>2.8133106518254625E-2</v>
      </c>
      <c r="L56" s="2">
        <f t="shared" si="81"/>
        <v>0.16410093635930806</v>
      </c>
      <c r="W56">
        <v>52655</v>
      </c>
    </row>
    <row r="57" spans="1:23" x14ac:dyDescent="0.3">
      <c r="A57" s="1">
        <f t="shared" si="2"/>
        <v>43962</v>
      </c>
      <c r="B57">
        <f t="shared" si="45"/>
        <v>55742</v>
      </c>
      <c r="C57" s="11">
        <f t="shared" si="1"/>
        <v>1.0719615384615385E-2</v>
      </c>
      <c r="D57" s="2">
        <f t="shared" ref="D57" si="92">B57/B56 - 1</f>
        <v>1.4007130903005205E-2</v>
      </c>
      <c r="E57" s="15">
        <f t="shared" si="77"/>
        <v>-0.25190755488433414</v>
      </c>
      <c r="F57">
        <f t="shared" ref="F57" si="93">B57 - B56</f>
        <v>770</v>
      </c>
      <c r="G57">
        <v>2361</v>
      </c>
      <c r="H57">
        <f t="shared" si="8"/>
        <v>44</v>
      </c>
      <c r="I57">
        <v>236033</v>
      </c>
      <c r="J57">
        <f t="shared" si="79"/>
        <v>5761</v>
      </c>
      <c r="K57" s="2">
        <f t="shared" si="80"/>
        <v>2.5018239299611E-2</v>
      </c>
      <c r="L57" s="2">
        <f t="shared" si="81"/>
        <v>0.13365735115431349</v>
      </c>
      <c r="W57">
        <v>53381</v>
      </c>
    </row>
    <row r="58" spans="1:23" x14ac:dyDescent="0.3">
      <c r="A58" s="1">
        <f t="shared" si="2"/>
        <v>43963</v>
      </c>
      <c r="B58">
        <f t="shared" si="45"/>
        <v>57919</v>
      </c>
      <c r="C58" s="11">
        <f t="shared" si="1"/>
        <v>1.1138269230769231E-2</v>
      </c>
      <c r="D58" s="2">
        <f t="shared" ref="D58" si="94">B58/B57 - 1</f>
        <v>3.9054931649384672E-2</v>
      </c>
      <c r="E58" s="15">
        <f t="shared" si="77"/>
        <v>-0.12712383299960198</v>
      </c>
      <c r="F58">
        <f t="shared" ref="F58" si="95">B58 - B57</f>
        <v>2177</v>
      </c>
      <c r="G58">
        <v>2449</v>
      </c>
      <c r="H58">
        <f t="shared" si="8"/>
        <v>88</v>
      </c>
      <c r="I58">
        <v>248386</v>
      </c>
      <c r="J58">
        <f t="shared" si="79"/>
        <v>12353</v>
      </c>
      <c r="K58" s="2">
        <f t="shared" si="80"/>
        <v>5.2335902183169303E-2</v>
      </c>
      <c r="L58" s="2">
        <f t="shared" si="81"/>
        <v>0.17623249413098033</v>
      </c>
      <c r="W58">
        <v>55470</v>
      </c>
    </row>
    <row r="59" spans="1:23" x14ac:dyDescent="0.3">
      <c r="A59" s="1">
        <f t="shared" si="2"/>
        <v>43964</v>
      </c>
      <c r="B59">
        <f t="shared" si="45"/>
        <v>58995</v>
      </c>
      <c r="C59" s="11">
        <f t="shared" si="1"/>
        <v>1.1345192307692308E-2</v>
      </c>
      <c r="D59" s="2">
        <f t="shared" ref="D59" si="96">B59/B58 - 1</f>
        <v>1.8577668813342774E-2</v>
      </c>
      <c r="E59" s="15">
        <f t="shared" si="77"/>
        <v>-0.15509646982813596</v>
      </c>
      <c r="F59">
        <f t="shared" ref="F59" si="97">B59 - B58</f>
        <v>1076</v>
      </c>
      <c r="G59">
        <v>2589</v>
      </c>
      <c r="H59">
        <f t="shared" si="8"/>
        <v>140</v>
      </c>
      <c r="I59">
        <v>254981</v>
      </c>
      <c r="J59">
        <f t="shared" si="79"/>
        <v>6595</v>
      </c>
      <c r="K59" s="2">
        <f t="shared" si="80"/>
        <v>2.6551415941317158E-2</v>
      </c>
      <c r="L59" s="2">
        <f t="shared" si="81"/>
        <v>0.16315390447308567</v>
      </c>
      <c r="W59">
        <v>56406</v>
      </c>
    </row>
    <row r="60" spans="1:23" x14ac:dyDescent="0.3">
      <c r="A60" s="1">
        <f t="shared" si="2"/>
        <v>43965</v>
      </c>
      <c r="B60">
        <f t="shared" si="45"/>
        <v>61132</v>
      </c>
      <c r="C60" s="11">
        <f t="shared" si="1"/>
        <v>1.1756153846153847E-2</v>
      </c>
      <c r="D60" s="2">
        <f t="shared" ref="D60" si="98">B60/B59 - 1</f>
        <v>3.6223408763454534E-2</v>
      </c>
      <c r="E60" s="15">
        <f t="shared" si="77"/>
        <v>1.8553866032480829E-2</v>
      </c>
      <c r="F60">
        <f t="shared" ref="F60" si="99">B60 - B59</f>
        <v>2137</v>
      </c>
      <c r="G60">
        <v>2675</v>
      </c>
      <c r="H60">
        <f t="shared" si="8"/>
        <v>86</v>
      </c>
      <c r="I60">
        <v>263831</v>
      </c>
      <c r="J60">
        <f t="shared" si="79"/>
        <v>8850</v>
      </c>
      <c r="K60" s="2">
        <f t="shared" si="80"/>
        <v>3.4708468474121679E-2</v>
      </c>
      <c r="L60" s="2">
        <f t="shared" si="81"/>
        <v>0.2414689265536723</v>
      </c>
      <c r="W60">
        <v>58457</v>
      </c>
    </row>
    <row r="61" spans="1:23" x14ac:dyDescent="0.3">
      <c r="A61" s="1">
        <f t="shared" si="2"/>
        <v>43966</v>
      </c>
      <c r="B61">
        <f t="shared" si="45"/>
        <v>62667</v>
      </c>
      <c r="C61" s="11">
        <f t="shared" si="1"/>
        <v>1.2051346153846154E-2</v>
      </c>
      <c r="D61" s="2">
        <f t="shared" ref="D61" si="100">B61/B60 - 1</f>
        <v>2.5109598900739494E-2</v>
      </c>
      <c r="E61" s="15">
        <f t="shared" si="77"/>
        <v>-0.26194268024539635</v>
      </c>
      <c r="F61">
        <f t="shared" ref="F61" si="101">B61 - B60</f>
        <v>1535</v>
      </c>
      <c r="G61">
        <v>2762</v>
      </c>
      <c r="H61">
        <f t="shared" si="8"/>
        <v>87</v>
      </c>
      <c r="I61">
        <v>275940</v>
      </c>
      <c r="J61">
        <f t="shared" si="79"/>
        <v>12109</v>
      </c>
      <c r="K61" s="2">
        <f t="shared" si="80"/>
        <v>4.5896805151782738E-2</v>
      </c>
      <c r="L61" s="2">
        <f t="shared" si="81"/>
        <v>0.12676521595507473</v>
      </c>
      <c r="W61">
        <v>59905</v>
      </c>
    </row>
    <row r="62" spans="1:23" x14ac:dyDescent="0.3">
      <c r="A62" s="1">
        <f t="shared" si="2"/>
        <v>43967</v>
      </c>
      <c r="B62">
        <f t="shared" si="45"/>
        <v>64026</v>
      </c>
      <c r="C62" s="11">
        <f t="shared" si="1"/>
        <v>1.2312692307692307E-2</v>
      </c>
      <c r="D62" s="2">
        <f t="shared" ref="D62" si="102">B62/B61 - 1</f>
        <v>2.1686054861410398E-2</v>
      </c>
      <c r="E62" s="15">
        <f t="shared" si="77"/>
        <v>-0.2510063672715851</v>
      </c>
      <c r="F62">
        <f t="shared" ref="F62" si="103">B62 - B61</f>
        <v>1359</v>
      </c>
      <c r="G62">
        <v>2814</v>
      </c>
      <c r="H62">
        <f t="shared" si="8"/>
        <v>52</v>
      </c>
      <c r="I62">
        <v>286606</v>
      </c>
      <c r="J62">
        <f t="shared" si="79"/>
        <v>10666</v>
      </c>
      <c r="K62" s="2">
        <f t="shared" si="80"/>
        <v>3.8653330434152311E-2</v>
      </c>
      <c r="L62" s="2">
        <f t="shared" si="81"/>
        <v>0.12741421338833678</v>
      </c>
      <c r="W62">
        <v>61212</v>
      </c>
    </row>
    <row r="63" spans="1:23" x14ac:dyDescent="0.3">
      <c r="A63" s="1">
        <f t="shared" si="2"/>
        <v>43968</v>
      </c>
      <c r="B63">
        <f t="shared" si="45"/>
        <v>65057</v>
      </c>
      <c r="C63" s="11">
        <f t="shared" si="1"/>
        <v>1.2510961538461539E-2</v>
      </c>
      <c r="D63" s="2">
        <f t="shared" ref="D63" si="104">B63/B62 - 1</f>
        <v>1.6102833224002744E-2</v>
      </c>
      <c r="E63" s="15">
        <f t="shared" si="77"/>
        <v>-0.27121891679283916</v>
      </c>
      <c r="F63">
        <f t="shared" ref="F63" si="105">B63 - B62</f>
        <v>1031</v>
      </c>
      <c r="G63">
        <v>2839</v>
      </c>
      <c r="H63">
        <f t="shared" si="8"/>
        <v>25</v>
      </c>
      <c r="I63">
        <v>295224</v>
      </c>
      <c r="J63">
        <f t="shared" si="79"/>
        <v>8618</v>
      </c>
      <c r="K63" s="2">
        <f t="shared" si="80"/>
        <v>3.006915416983591E-2</v>
      </c>
      <c r="L63" s="2">
        <f t="shared" si="81"/>
        <v>0.11963332559758645</v>
      </c>
      <c r="W63">
        <v>62218</v>
      </c>
    </row>
    <row r="64" spans="1:23" x14ac:dyDescent="0.3">
      <c r="A64" s="1">
        <f t="shared" si="2"/>
        <v>43969</v>
      </c>
      <c r="B64">
        <f t="shared" si="45"/>
        <v>66579</v>
      </c>
      <c r="C64" s="11">
        <f t="shared" si="1"/>
        <v>1.2803653846153847E-2</v>
      </c>
      <c r="D64" s="2">
        <f t="shared" ref="D64" si="106">B64/B63 - 1</f>
        <v>2.3394869114776284E-2</v>
      </c>
      <c r="E64" s="15">
        <f t="shared" si="77"/>
        <v>-0.14977687640225767</v>
      </c>
      <c r="F64">
        <f t="shared" ref="F64" si="107">B64 - B63</f>
        <v>1522</v>
      </c>
      <c r="G64">
        <v>2889</v>
      </c>
      <c r="H64">
        <f t="shared" si="8"/>
        <v>50</v>
      </c>
      <c r="I64">
        <v>304975</v>
      </c>
      <c r="J64">
        <f t="shared" si="79"/>
        <v>9751</v>
      </c>
      <c r="K64" s="2">
        <f t="shared" si="80"/>
        <v>3.302915752106883E-2</v>
      </c>
      <c r="L64" s="2">
        <f t="shared" si="81"/>
        <v>0.15608655522510512</v>
      </c>
      <c r="W64">
        <v>63690</v>
      </c>
    </row>
    <row r="65" spans="1:23" x14ac:dyDescent="0.3">
      <c r="A65" s="1">
        <f t="shared" si="2"/>
        <v>43970</v>
      </c>
      <c r="B65">
        <f t="shared" si="45"/>
        <v>67671</v>
      </c>
      <c r="C65" s="11">
        <f t="shared" si="1"/>
        <v>1.3013653846153847E-2</v>
      </c>
      <c r="D65" s="2">
        <f t="shared" ref="D65" si="108">B65/B64 - 1</f>
        <v>1.6401568062001548E-2</v>
      </c>
      <c r="E65" s="15">
        <f t="shared" si="77"/>
        <v>-0.22461235035522648</v>
      </c>
      <c r="F65">
        <f t="shared" ref="F65" si="109">B65 - B64</f>
        <v>1092</v>
      </c>
      <c r="G65">
        <v>2980</v>
      </c>
      <c r="H65">
        <f t="shared" si="8"/>
        <v>91</v>
      </c>
      <c r="I65">
        <v>313365</v>
      </c>
      <c r="J65">
        <f t="shared" si="79"/>
        <v>8390</v>
      </c>
      <c r="K65" s="2">
        <f t="shared" si="80"/>
        <v>2.7510451676366898E-2</v>
      </c>
      <c r="L65" s="2">
        <f t="shared" si="81"/>
        <v>0.13015494636471991</v>
      </c>
      <c r="W65">
        <v>64691</v>
      </c>
    </row>
    <row r="66" spans="1:23" x14ac:dyDescent="0.3">
      <c r="A66" s="1">
        <f t="shared" si="2"/>
        <v>43971</v>
      </c>
      <c r="B66">
        <f t="shared" si="45"/>
        <v>69287</v>
      </c>
      <c r="C66" s="11">
        <f t="shared" si="1"/>
        <v>1.3324423076923077E-2</v>
      </c>
      <c r="D66" s="2">
        <f t="shared" ref="D66" si="110">B66/B65 - 1</f>
        <v>2.3880244122297611E-2</v>
      </c>
      <c r="E66" s="15">
        <f t="shared" si="77"/>
        <v>-0.2867093032388765</v>
      </c>
      <c r="F66">
        <f t="shared" ref="F66" si="111">B66 - B65</f>
        <v>1616</v>
      </c>
      <c r="G66">
        <v>3074</v>
      </c>
      <c r="H66">
        <f t="shared" si="8"/>
        <v>94</v>
      </c>
      <c r="I66">
        <v>327846</v>
      </c>
      <c r="J66">
        <f t="shared" si="79"/>
        <v>14481</v>
      </c>
      <c r="K66" s="2">
        <f t="shared" si="80"/>
        <v>4.621128715714895E-2</v>
      </c>
      <c r="L66" s="2">
        <f t="shared" si="81"/>
        <v>0.1115945031420482</v>
      </c>
      <c r="W66">
        <v>66213</v>
      </c>
    </row>
    <row r="67" spans="1:23" x14ac:dyDescent="0.3">
      <c r="A67" s="1">
        <f t="shared" ref="A67:A73" si="112">A66+1</f>
        <v>43972</v>
      </c>
      <c r="B67">
        <f t="shared" si="45"/>
        <v>70665</v>
      </c>
      <c r="C67" s="11">
        <f t="shared" si="1"/>
        <v>1.3589423076923077E-2</v>
      </c>
      <c r="D67" s="2">
        <f t="shared" ref="D67" si="113">B67/B66 - 1</f>
        <v>1.9888290732749336E-2</v>
      </c>
      <c r="E67" s="15">
        <f t="shared" si="77"/>
        <v>-0.315325879109562</v>
      </c>
      <c r="F67">
        <f t="shared" ref="F67" si="114">B67 - B66</f>
        <v>1378</v>
      </c>
      <c r="G67">
        <v>3114</v>
      </c>
      <c r="H67">
        <f t="shared" si="8"/>
        <v>40</v>
      </c>
      <c r="I67">
        <v>341323</v>
      </c>
      <c r="J67">
        <f t="shared" si="79"/>
        <v>13477</v>
      </c>
      <c r="K67" s="2">
        <f t="shared" si="80"/>
        <v>4.1107715207749917E-2</v>
      </c>
      <c r="L67" s="2">
        <f t="shared" si="81"/>
        <v>0.10224827483861393</v>
      </c>
      <c r="W67">
        <v>67551</v>
      </c>
    </row>
    <row r="68" spans="1:23" x14ac:dyDescent="0.3">
      <c r="A68" s="1">
        <f t="shared" si="112"/>
        <v>43973</v>
      </c>
      <c r="B68">
        <f t="shared" ref="B68:B99" si="115">W68 + G68</f>
        <v>72136</v>
      </c>
      <c r="C68" s="11">
        <f t="shared" si="1"/>
        <v>1.3872307692307692E-2</v>
      </c>
      <c r="D68" s="2">
        <f t="shared" ref="D68" si="116">B68/B67 - 1</f>
        <v>2.0816528691714353E-2</v>
      </c>
      <c r="E68" s="15">
        <f t="shared" si="77"/>
        <v>-0.30693939904853829</v>
      </c>
      <c r="F68">
        <f t="shared" ref="F68" si="117">B68 - B67</f>
        <v>1471</v>
      </c>
      <c r="G68">
        <v>3187</v>
      </c>
      <c r="H68">
        <f t="shared" si="8"/>
        <v>73</v>
      </c>
      <c r="I68">
        <v>355728</v>
      </c>
      <c r="J68">
        <f t="shared" si="79"/>
        <v>14405</v>
      </c>
      <c r="K68" s="2">
        <f t="shared" si="80"/>
        <v>4.2203426080281714E-2</v>
      </c>
      <c r="L68" s="2">
        <f t="shared" si="81"/>
        <v>0.10211732037486984</v>
      </c>
      <c r="W68">
        <v>68949</v>
      </c>
    </row>
    <row r="69" spans="1:23" x14ac:dyDescent="0.3">
      <c r="A69" s="1">
        <f t="shared" si="112"/>
        <v>43974</v>
      </c>
      <c r="B69">
        <f t="shared" si="115"/>
        <v>73663</v>
      </c>
      <c r="C69" s="11">
        <f t="shared" si="1"/>
        <v>1.4165961538461539E-2</v>
      </c>
      <c r="D69" s="2">
        <f t="shared" ref="D69" si="118">B69/B68 - 1</f>
        <v>2.1168348674725612E-2</v>
      </c>
      <c r="E69" s="15">
        <f t="shared" ref="E69:E100" si="119">LOG(D69/K69)</f>
        <v>-0.30746041203030644</v>
      </c>
      <c r="F69">
        <f t="shared" ref="F69" si="120">B69 - B68</f>
        <v>1527</v>
      </c>
      <c r="G69">
        <v>3246</v>
      </c>
      <c r="H69">
        <f t="shared" si="8"/>
        <v>59</v>
      </c>
      <c r="I69">
        <v>371013</v>
      </c>
      <c r="J69">
        <f t="shared" ref="J69:J132" si="121">I69 - I68</f>
        <v>15285</v>
      </c>
      <c r="K69" s="2">
        <f t="shared" ref="K69:K132" si="122">I69/I68 - 1</f>
        <v>4.2968222911887732E-2</v>
      </c>
      <c r="L69" s="2">
        <f t="shared" ref="L69:L100" si="123">(B69 - B68)/(I69 - I68)</f>
        <v>9.9901864573110899E-2</v>
      </c>
      <c r="W69">
        <v>70417</v>
      </c>
    </row>
    <row r="70" spans="1:23" x14ac:dyDescent="0.3">
      <c r="A70" s="1">
        <f t="shared" si="112"/>
        <v>43975</v>
      </c>
      <c r="B70">
        <f t="shared" si="115"/>
        <v>75314</v>
      </c>
      <c r="C70" s="11">
        <f t="shared" si="1"/>
        <v>1.4483461538461539E-2</v>
      </c>
      <c r="D70" s="2">
        <f t="shared" ref="D70" si="124">B70/B69 - 1</f>
        <v>2.2412880279108816E-2</v>
      </c>
      <c r="E70" s="15">
        <f t="shared" si="119"/>
        <v>-0.20098314166206188</v>
      </c>
      <c r="F70">
        <f t="shared" ref="F70" si="125">B70 - B69</f>
        <v>1651</v>
      </c>
      <c r="G70">
        <v>3304</v>
      </c>
      <c r="H70">
        <f t="shared" si="8"/>
        <v>58</v>
      </c>
      <c r="I70">
        <v>384222</v>
      </c>
      <c r="J70">
        <f t="shared" si="121"/>
        <v>13209</v>
      </c>
      <c r="K70" s="2">
        <f t="shared" si="122"/>
        <v>3.5602526057038508E-2</v>
      </c>
      <c r="L70" s="2">
        <f t="shared" si="123"/>
        <v>0.12499053675524263</v>
      </c>
      <c r="W70">
        <v>72010</v>
      </c>
    </row>
    <row r="71" spans="1:23" x14ac:dyDescent="0.3">
      <c r="A71" s="1">
        <f t="shared" si="112"/>
        <v>43976</v>
      </c>
      <c r="B71">
        <f t="shared" si="115"/>
        <v>76421</v>
      </c>
      <c r="C71" s="11">
        <f t="shared" si="1"/>
        <v>1.4696346153846154E-2</v>
      </c>
      <c r="D71" s="2">
        <f t="shared" ref="D71" si="126">B71/B70 - 1</f>
        <v>1.4698462437262583E-2</v>
      </c>
      <c r="E71" s="15">
        <f t="shared" si="119"/>
        <v>-0.33197086087599997</v>
      </c>
      <c r="F71">
        <f t="shared" ref="F71" si="127">B71 - B70</f>
        <v>1107</v>
      </c>
      <c r="G71">
        <v>3324</v>
      </c>
      <c r="H71">
        <f t="shared" si="8"/>
        <v>20</v>
      </c>
      <c r="I71">
        <v>396351</v>
      </c>
      <c r="J71">
        <f t="shared" si="121"/>
        <v>12129</v>
      </c>
      <c r="K71" s="2">
        <f t="shared" si="122"/>
        <v>3.1567687430704039E-2</v>
      </c>
      <c r="L71" s="2">
        <f t="shared" si="123"/>
        <v>9.1268859757605736E-2</v>
      </c>
      <c r="W71">
        <v>73097</v>
      </c>
    </row>
    <row r="72" spans="1:23" x14ac:dyDescent="0.3">
      <c r="A72" s="1">
        <f t="shared" si="112"/>
        <v>43977</v>
      </c>
      <c r="B72">
        <f t="shared" si="115"/>
        <v>77173</v>
      </c>
      <c r="C72" s="11">
        <f t="shared" si="1"/>
        <v>1.4840961538461539E-2</v>
      </c>
      <c r="D72" s="2">
        <f t="shared" ref="D72" si="128">B72/B71 - 1</f>
        <v>9.840227162690951E-3</v>
      </c>
      <c r="E72" s="15">
        <f t="shared" si="119"/>
        <v>-0.31059114878216898</v>
      </c>
      <c r="F72">
        <f t="shared" ref="F72" si="129">B72 - B71</f>
        <v>752</v>
      </c>
      <c r="G72">
        <v>3354</v>
      </c>
      <c r="H72">
        <f t="shared" si="8"/>
        <v>30</v>
      </c>
      <c r="I72">
        <v>404325</v>
      </c>
      <c r="J72">
        <f t="shared" si="121"/>
        <v>7974</v>
      </c>
      <c r="K72" s="2">
        <f t="shared" si="122"/>
        <v>2.0118531301800635E-2</v>
      </c>
      <c r="L72" s="2">
        <f t="shared" si="123"/>
        <v>9.430649611236519E-2</v>
      </c>
      <c r="W72">
        <v>73819</v>
      </c>
    </row>
    <row r="73" spans="1:23" x14ac:dyDescent="0.3">
      <c r="A73" s="1">
        <f t="shared" si="112"/>
        <v>43978</v>
      </c>
      <c r="B73">
        <f t="shared" si="115"/>
        <v>77976</v>
      </c>
      <c r="C73" s="11">
        <f t="shared" si="1"/>
        <v>1.4995384615384615E-2</v>
      </c>
      <c r="D73" s="2">
        <f t="shared" ref="D73" si="130">B73/B72 - 1</f>
        <v>1.0405193526233258E-2</v>
      </c>
      <c r="E73" s="15">
        <f t="shared" si="119"/>
        <v>-0.30783294667134831</v>
      </c>
      <c r="F73">
        <f t="shared" ref="F73" si="131">B73 - B72</f>
        <v>803</v>
      </c>
      <c r="G73">
        <v>3455</v>
      </c>
      <c r="H73">
        <f t="shared" si="8"/>
        <v>101</v>
      </c>
      <c r="I73">
        <v>412872</v>
      </c>
      <c r="J73">
        <f t="shared" si="121"/>
        <v>8547</v>
      </c>
      <c r="K73" s="2">
        <f t="shared" si="122"/>
        <v>2.1138935262474456E-2</v>
      </c>
      <c r="L73" s="2">
        <f t="shared" si="123"/>
        <v>9.3951093951093953E-2</v>
      </c>
      <c r="W73">
        <v>74521</v>
      </c>
    </row>
    <row r="74" spans="1:23" x14ac:dyDescent="0.3">
      <c r="A74" s="1" cm="1">
        <f t="array" ref="A74">IF(OR(B74:H74=""), "", A73 + 1)</f>
        <v>43979</v>
      </c>
      <c r="B74">
        <f t="shared" si="115"/>
        <v>78825</v>
      </c>
      <c r="C74" s="11">
        <f t="shared" si="1"/>
        <v>1.5158653846153846E-2</v>
      </c>
      <c r="D74" s="2">
        <f t="shared" ref="D74" si="132">B74/B73 - 1</f>
        <v>1.0887965527854648E-2</v>
      </c>
      <c r="E74" s="15">
        <f t="shared" si="119"/>
        <v>-0.34427454264372065</v>
      </c>
      <c r="F74">
        <f t="shared" ref="F74" si="133">B74 - B73</f>
        <v>849</v>
      </c>
      <c r="G74">
        <v>3519</v>
      </c>
      <c r="H74">
        <f t="shared" si="8"/>
        <v>64</v>
      </c>
      <c r="I74">
        <v>422804</v>
      </c>
      <c r="J74">
        <f t="shared" si="121"/>
        <v>9932</v>
      </c>
      <c r="K74" s="2">
        <f t="shared" si="122"/>
        <v>2.4055881726055439E-2</v>
      </c>
      <c r="L74" s="2">
        <f t="shared" si="123"/>
        <v>8.5481272654047522E-2</v>
      </c>
      <c r="W74">
        <v>75306</v>
      </c>
    </row>
    <row r="75" spans="1:23" x14ac:dyDescent="0.3">
      <c r="A75" s="1" cm="1">
        <f t="array" ref="A75">IF(OR(B75:H75=""), "", A74 + 1)</f>
        <v>43980</v>
      </c>
      <c r="B75">
        <f t="shared" si="115"/>
        <v>79836</v>
      </c>
      <c r="C75" s="11">
        <f t="shared" si="1"/>
        <v>1.5353076923076922E-2</v>
      </c>
      <c r="D75" s="2">
        <f t="shared" ref="D75" si="134">B75/B74 - 1</f>
        <v>1.2825880114176957E-2</v>
      </c>
      <c r="E75" s="15">
        <f t="shared" si="119"/>
        <v>-0.23820801342407161</v>
      </c>
      <c r="F75">
        <f t="shared" ref="F75" si="135">B75 - B74</f>
        <v>1011</v>
      </c>
      <c r="G75">
        <v>3570</v>
      </c>
      <c r="H75">
        <f t="shared" si="8"/>
        <v>51</v>
      </c>
      <c r="I75">
        <v>432189</v>
      </c>
      <c r="J75">
        <f t="shared" si="121"/>
        <v>9385</v>
      </c>
      <c r="K75" s="2">
        <f t="shared" si="122"/>
        <v>2.2197046385559194E-2</v>
      </c>
      <c r="L75" s="2">
        <f t="shared" si="123"/>
        <v>0.10772509323388385</v>
      </c>
      <c r="W75">
        <v>76266</v>
      </c>
    </row>
    <row r="76" spans="1:23" x14ac:dyDescent="0.3">
      <c r="A76" s="1" cm="1">
        <f t="array" ref="A76">IF(OR(B76:H76=""), "", A75 + 1)</f>
        <v>43981</v>
      </c>
      <c r="B76">
        <f t="shared" si="115"/>
        <v>80722</v>
      </c>
      <c r="C76" s="11">
        <f t="shared" si="1"/>
        <v>1.5523461538461538E-2</v>
      </c>
      <c r="D76" s="2">
        <f t="shared" ref="D76" si="136">B76/B75 - 1</f>
        <v>1.1097750388296079E-2</v>
      </c>
      <c r="E76" s="15">
        <f t="shared" si="119"/>
        <v>-0.36947109476855494</v>
      </c>
      <c r="F76">
        <f t="shared" ref="F76" si="137">B76 - B75</f>
        <v>886</v>
      </c>
      <c r="G76">
        <v>3603</v>
      </c>
      <c r="H76">
        <f t="shared" si="8"/>
        <v>33</v>
      </c>
      <c r="I76">
        <v>443419</v>
      </c>
      <c r="J76">
        <f t="shared" si="121"/>
        <v>11230</v>
      </c>
      <c r="K76" s="2">
        <f t="shared" si="122"/>
        <v>2.5984002369333847E-2</v>
      </c>
      <c r="L76" s="2">
        <f t="shared" si="123"/>
        <v>7.889581478183437E-2</v>
      </c>
      <c r="W76">
        <v>77119</v>
      </c>
    </row>
    <row r="77" spans="1:23" x14ac:dyDescent="0.3">
      <c r="A77" s="1" cm="1">
        <f t="array" ref="A77">IF(OR(B77:H77=""), "", A76 + 1)</f>
        <v>43982</v>
      </c>
      <c r="B77">
        <f t="shared" si="115"/>
        <v>81567</v>
      </c>
      <c r="C77" s="11">
        <f t="shared" si="1"/>
        <v>1.5685961538461538E-2</v>
      </c>
      <c r="D77" s="2">
        <f t="shared" ref="D77" si="138">B77/B76 - 1</f>
        <v>1.0468026064765601E-2</v>
      </c>
      <c r="E77" s="15">
        <f t="shared" si="119"/>
        <v>-0.35492362248954296</v>
      </c>
      <c r="F77">
        <f t="shared" ref="F77" si="139">B77 - B76</f>
        <v>845</v>
      </c>
      <c r="G77">
        <v>3642</v>
      </c>
      <c r="H77">
        <f t="shared" si="8"/>
        <v>39</v>
      </c>
      <c r="I77">
        <v>453929</v>
      </c>
      <c r="J77">
        <f t="shared" si="121"/>
        <v>10510</v>
      </c>
      <c r="K77" s="2">
        <f t="shared" si="122"/>
        <v>2.3702186870657282E-2</v>
      </c>
      <c r="L77" s="2">
        <f t="shared" si="123"/>
        <v>8.0399619410085638E-2</v>
      </c>
      <c r="W77">
        <v>77925</v>
      </c>
    </row>
    <row r="78" spans="1:23" x14ac:dyDescent="0.3">
      <c r="A78" s="1" cm="1">
        <f t="array" ref="A78">IF(OR(B78:H78=""), "", A77 + 1)</f>
        <v>43983</v>
      </c>
      <c r="B78">
        <f t="shared" si="115"/>
        <v>82153</v>
      </c>
      <c r="C78" s="11">
        <f t="shared" si="1"/>
        <v>1.5798653846153848E-2</v>
      </c>
      <c r="D78" s="2">
        <f t="shared" ref="D78" si="140">B78/B77 - 1</f>
        <v>7.1842779555457703E-3</v>
      </c>
      <c r="E78" s="15">
        <f t="shared" si="119"/>
        <v>-0.45637092093130593</v>
      </c>
      <c r="F78">
        <f t="shared" ref="F78" si="141">B78 - B77</f>
        <v>586</v>
      </c>
      <c r="G78">
        <v>3658</v>
      </c>
      <c r="H78">
        <f t="shared" si="8"/>
        <v>16</v>
      </c>
      <c r="I78">
        <v>463256</v>
      </c>
      <c r="J78">
        <f t="shared" si="121"/>
        <v>9327</v>
      </c>
      <c r="K78" s="2">
        <f t="shared" si="122"/>
        <v>2.0547266202423753E-2</v>
      </c>
      <c r="L78" s="2">
        <f t="shared" si="123"/>
        <v>6.282834780744076E-2</v>
      </c>
      <c r="W78">
        <v>78495</v>
      </c>
    </row>
    <row r="79" spans="1:23" x14ac:dyDescent="0.3">
      <c r="A79" s="1" cm="1">
        <f t="array" ref="A79">IF(OR(B79:H79=""), "", A78 + 1)</f>
        <v>43984</v>
      </c>
      <c r="B79">
        <f t="shared" si="115"/>
        <v>83399</v>
      </c>
      <c r="C79" s="11">
        <f t="shared" si="1"/>
        <v>1.6038269230769231E-2</v>
      </c>
      <c r="D79" s="2">
        <f t="shared" ref="D79" si="142">B79/B78 - 1</f>
        <v>1.5166822879261854E-2</v>
      </c>
      <c r="E79" s="15">
        <f t="shared" si="119"/>
        <v>-3.506828763888107E-2</v>
      </c>
      <c r="F79">
        <f t="shared" ref="F79" si="143">B79 - B78</f>
        <v>1246</v>
      </c>
      <c r="G79">
        <v>3726</v>
      </c>
      <c r="H79">
        <f t="shared" si="8"/>
        <v>68</v>
      </c>
      <c r="I79">
        <v>470873</v>
      </c>
      <c r="J79">
        <f t="shared" si="121"/>
        <v>7617</v>
      </c>
      <c r="K79" s="2">
        <f t="shared" si="122"/>
        <v>1.6442312673770054E-2</v>
      </c>
      <c r="L79" s="2">
        <f t="shared" si="123"/>
        <v>0.16358146251805172</v>
      </c>
      <c r="W79">
        <v>79673</v>
      </c>
    </row>
    <row r="80" spans="1:23" x14ac:dyDescent="0.3">
      <c r="A80" s="1" cm="1">
        <f t="array" ref="A80">IF(OR(B80:H80=""), "", A79 + 1)</f>
        <v>43985</v>
      </c>
      <c r="B80">
        <f t="shared" si="115"/>
        <v>83984</v>
      </c>
      <c r="C80" s="11">
        <f t="shared" si="1"/>
        <v>1.6150769230769232E-2</v>
      </c>
      <c r="D80" s="2">
        <f t="shared" ref="D80" si="144">B80/B79 - 1</f>
        <v>7.014472595594734E-3</v>
      </c>
      <c r="E80" s="15">
        <f t="shared" si="119"/>
        <v>-0.57459291558745096</v>
      </c>
      <c r="F80">
        <f t="shared" ref="F80" si="145">B80 - B79</f>
        <v>585</v>
      </c>
      <c r="G80">
        <v>3780</v>
      </c>
      <c r="H80">
        <f t="shared" si="8"/>
        <v>54</v>
      </c>
      <c r="I80">
        <v>483275</v>
      </c>
      <c r="J80">
        <f t="shared" si="121"/>
        <v>12402</v>
      </c>
      <c r="K80" s="2">
        <f t="shared" si="122"/>
        <v>2.6338312028933553E-2</v>
      </c>
      <c r="L80" s="2">
        <f t="shared" si="123"/>
        <v>4.716981132075472E-2</v>
      </c>
      <c r="W80">
        <v>80204</v>
      </c>
    </row>
    <row r="81" spans="1:23" x14ac:dyDescent="0.3">
      <c r="A81" s="1" cm="1">
        <f t="array" ref="A81">IF(OR(B81:H81=""), "", A80 + 1)</f>
        <v>43986</v>
      </c>
      <c r="B81">
        <f t="shared" si="115"/>
        <v>84559</v>
      </c>
      <c r="C81" s="11">
        <f t="shared" si="1"/>
        <v>1.6261346153846154E-2</v>
      </c>
      <c r="D81" s="2">
        <f t="shared" ref="D81" si="146">B81/B80 - 1</f>
        <v>6.846542198513994E-3</v>
      </c>
      <c r="E81" s="15">
        <f t="shared" si="119"/>
        <v>-0.43288467513180978</v>
      </c>
      <c r="F81">
        <f t="shared" ref="F81" si="147">B81 - B80</f>
        <v>575</v>
      </c>
      <c r="G81">
        <v>3846</v>
      </c>
      <c r="H81">
        <f t="shared" si="8"/>
        <v>66</v>
      </c>
      <c r="I81">
        <v>492240</v>
      </c>
      <c r="J81">
        <f t="shared" si="121"/>
        <v>8965</v>
      </c>
      <c r="K81" s="2">
        <f t="shared" si="122"/>
        <v>1.855051471729352E-2</v>
      </c>
      <c r="L81" s="2">
        <f t="shared" si="123"/>
        <v>6.4138315672058008E-2</v>
      </c>
      <c r="W81">
        <v>80713</v>
      </c>
    </row>
    <row r="82" spans="1:23" x14ac:dyDescent="0.3">
      <c r="A82" s="1" cm="1">
        <f t="array" ref="A82">IF(OR(B82:H82=""), "", A81 + 1)</f>
        <v>43987</v>
      </c>
      <c r="B82">
        <f t="shared" si="115"/>
        <v>85224</v>
      </c>
      <c r="C82" s="11">
        <f t="shared" si="1"/>
        <v>1.6389230769230771E-2</v>
      </c>
      <c r="D82" s="2">
        <f t="shared" ref="D82" si="148">B82/B81 - 1</f>
        <v>7.8643314135691256E-3</v>
      </c>
      <c r="E82" s="15">
        <f t="shared" si="119"/>
        <v>-0.2763162469551031</v>
      </c>
      <c r="F82">
        <f t="shared" ref="F82" si="149">B82 - B81</f>
        <v>665</v>
      </c>
      <c r="G82">
        <v>3880</v>
      </c>
      <c r="H82">
        <f t="shared" si="8"/>
        <v>34</v>
      </c>
      <c r="I82">
        <v>499554</v>
      </c>
      <c r="J82">
        <f t="shared" si="121"/>
        <v>7314</v>
      </c>
      <c r="K82" s="2">
        <f t="shared" si="122"/>
        <v>1.4858605558264237E-2</v>
      </c>
      <c r="L82" s="2">
        <f t="shared" si="123"/>
        <v>9.0921520371889525E-2</v>
      </c>
      <c r="W82">
        <v>81344</v>
      </c>
    </row>
    <row r="83" spans="1:23" x14ac:dyDescent="0.3">
      <c r="A83" s="1" cm="1">
        <f t="array" ref="A83">IF(OR(B83:H83=""), "", A82 + 1)</f>
        <v>43988</v>
      </c>
      <c r="B83">
        <f t="shared" si="115"/>
        <v>85837</v>
      </c>
      <c r="C83" s="11">
        <f t="shared" si="1"/>
        <v>1.6507115384615384E-2</v>
      </c>
      <c r="D83" s="2">
        <f t="shared" ref="D83" si="150">B83/B82 - 1</f>
        <v>7.1928095372195688E-3</v>
      </c>
      <c r="E83" s="15">
        <f t="shared" si="119"/>
        <v>-0.42882123069560524</v>
      </c>
      <c r="F83">
        <f t="shared" ref="F83" si="151">B83 - B82</f>
        <v>613</v>
      </c>
      <c r="G83">
        <v>3913</v>
      </c>
      <c r="H83">
        <f t="shared" si="8"/>
        <v>33</v>
      </c>
      <c r="I83">
        <v>509199</v>
      </c>
      <c r="J83">
        <f t="shared" si="121"/>
        <v>9645</v>
      </c>
      <c r="K83" s="2">
        <f t="shared" si="122"/>
        <v>1.9307222042061589E-2</v>
      </c>
      <c r="L83" s="2">
        <f t="shared" si="123"/>
        <v>6.3556246759979271E-2</v>
      </c>
      <c r="W83">
        <v>81924</v>
      </c>
    </row>
    <row r="84" spans="1:23" x14ac:dyDescent="0.3">
      <c r="A84" s="1" cm="1">
        <f t="array" ref="A84">IF(OR(B84:H84=""), "", A83 + 1)</f>
        <v>43989</v>
      </c>
      <c r="B84">
        <f t="shared" si="115"/>
        <v>86371</v>
      </c>
      <c r="C84" s="11">
        <f t="shared" si="1"/>
        <v>1.6609807692307691E-2</v>
      </c>
      <c r="D84" s="2">
        <f t="shared" ref="D84:D85" si="152">B84/B83 - 1</f>
        <v>6.2210934678519347E-3</v>
      </c>
      <c r="E84" s="15">
        <f t="shared" si="119"/>
        <v>-0.48327771180444951</v>
      </c>
      <c r="F84">
        <f t="shared" ref="F84:F85" si="153">B84 - B83</f>
        <v>534</v>
      </c>
      <c r="G84">
        <v>3944</v>
      </c>
      <c r="H84">
        <f t="shared" si="8"/>
        <v>31</v>
      </c>
      <c r="I84">
        <v>518838</v>
      </c>
      <c r="J84">
        <f t="shared" si="121"/>
        <v>9639</v>
      </c>
      <c r="K84" s="2">
        <f t="shared" si="122"/>
        <v>1.8929730812511369E-2</v>
      </c>
      <c r="L84" s="2">
        <f t="shared" si="123"/>
        <v>5.5399937752878929E-2</v>
      </c>
      <c r="W84">
        <v>82427</v>
      </c>
    </row>
    <row r="85" spans="1:23" x14ac:dyDescent="0.3">
      <c r="A85" s="1" cm="1">
        <f t="array" ref="A85">IF(OR(B85:H85=""), "", A84 + 1)</f>
        <v>43990</v>
      </c>
      <c r="B85">
        <f t="shared" si="115"/>
        <v>86778</v>
      </c>
      <c r="C85" s="11">
        <f t="shared" si="1"/>
        <v>1.6688076923076924E-2</v>
      </c>
      <c r="D85" s="2">
        <f t="shared" si="152"/>
        <v>4.7122297993540396E-3</v>
      </c>
      <c r="E85" s="15">
        <f t="shared" si="119"/>
        <v>-0.47861957642337444</v>
      </c>
      <c r="F85">
        <f t="shared" si="153"/>
        <v>407</v>
      </c>
      <c r="G85">
        <v>3959</v>
      </c>
      <c r="H85">
        <f t="shared" ref="H85:H148" si="154">G85-G84</f>
        <v>15</v>
      </c>
      <c r="I85">
        <v>526198</v>
      </c>
      <c r="J85">
        <f t="shared" si="121"/>
        <v>7360</v>
      </c>
      <c r="K85" s="2">
        <f t="shared" si="122"/>
        <v>1.4185545391817822E-2</v>
      </c>
      <c r="L85" s="2">
        <f t="shared" si="123"/>
        <v>5.5298913043478261E-2</v>
      </c>
      <c r="W85">
        <v>82819</v>
      </c>
    </row>
    <row r="86" spans="1:23" x14ac:dyDescent="0.3">
      <c r="A86" s="1" cm="1">
        <f t="array" ref="A86">IF(OR(B86:H86=""), "", A85 + 1)</f>
        <v>43991</v>
      </c>
      <c r="B86">
        <f t="shared" si="115"/>
        <v>87281</v>
      </c>
      <c r="C86" s="11">
        <f t="shared" si="1"/>
        <v>1.6784807692307693E-2</v>
      </c>
      <c r="D86" s="2">
        <f t="shared" ref="D86" si="155">B86/B85 - 1</f>
        <v>5.7964000092189938E-3</v>
      </c>
      <c r="E86" s="15">
        <f t="shared" si="119"/>
        <v>-0.48747839634512746</v>
      </c>
      <c r="F86">
        <f t="shared" ref="F86" si="156">B86 - B85</f>
        <v>503</v>
      </c>
      <c r="G86">
        <v>4010</v>
      </c>
      <c r="H86">
        <f t="shared" si="154"/>
        <v>51</v>
      </c>
      <c r="I86">
        <v>535569</v>
      </c>
      <c r="J86">
        <f t="shared" si="121"/>
        <v>9371</v>
      </c>
      <c r="K86" s="2">
        <f t="shared" si="122"/>
        <v>1.780888562860361E-2</v>
      </c>
      <c r="L86" s="2">
        <f t="shared" si="123"/>
        <v>5.3676235193682635E-2</v>
      </c>
      <c r="W86">
        <v>83271</v>
      </c>
    </row>
    <row r="87" spans="1:23" x14ac:dyDescent="0.3">
      <c r="A87" s="1" cm="1">
        <f t="array" ref="A87">IF(OR(B87:H87=""), "", A86 + 1)</f>
        <v>43992</v>
      </c>
      <c r="B87">
        <f t="shared" si="115"/>
        <v>87638</v>
      </c>
      <c r="C87" s="11">
        <f t="shared" si="1"/>
        <v>1.6853461538461539E-2</v>
      </c>
      <c r="D87" s="2">
        <f t="shared" ref="D87" si="157">B87/B86 - 1</f>
        <v>4.0902372795912356E-3</v>
      </c>
      <c r="E87" s="15">
        <f t="shared" si="119"/>
        <v>-0.59332810200405062</v>
      </c>
      <c r="F87">
        <f t="shared" ref="F87" si="158">B87 - B86</f>
        <v>357</v>
      </c>
      <c r="G87">
        <v>4053</v>
      </c>
      <c r="H87">
        <f t="shared" si="154"/>
        <v>43</v>
      </c>
      <c r="I87">
        <v>544157</v>
      </c>
      <c r="J87">
        <f t="shared" si="121"/>
        <v>8588</v>
      </c>
      <c r="K87" s="2">
        <f t="shared" si="122"/>
        <v>1.6035282101839243E-2</v>
      </c>
      <c r="L87" s="2">
        <f t="shared" si="123"/>
        <v>4.1569632044713554E-2</v>
      </c>
      <c r="W87">
        <v>83585</v>
      </c>
    </row>
    <row r="88" spans="1:23" x14ac:dyDescent="0.3">
      <c r="A88" s="1" cm="1">
        <f t="array" ref="A88">IF(OR(B88:H88=""), "", A87 + 1)</f>
        <v>43993</v>
      </c>
      <c r="B88">
        <f t="shared" si="115"/>
        <v>88089</v>
      </c>
      <c r="C88" s="11">
        <f t="shared" si="1"/>
        <v>1.6940192307692309E-2</v>
      </c>
      <c r="D88" s="2">
        <f t="shared" ref="D88" si="159">B88/B87 - 1</f>
        <v>5.1461694698646809E-3</v>
      </c>
      <c r="E88" s="15">
        <f t="shared" si="119"/>
        <v>-0.50086217726302384</v>
      </c>
      <c r="F88">
        <f t="shared" ref="F88" si="160">B88 - B87</f>
        <v>451</v>
      </c>
      <c r="G88">
        <v>4111</v>
      </c>
      <c r="H88">
        <f t="shared" si="154"/>
        <v>58</v>
      </c>
      <c r="I88">
        <v>553030</v>
      </c>
      <c r="J88">
        <f t="shared" si="121"/>
        <v>8873</v>
      </c>
      <c r="K88" s="2">
        <f t="shared" si="122"/>
        <v>1.6305955817898177E-2</v>
      </c>
      <c r="L88" s="2">
        <f t="shared" si="123"/>
        <v>5.0828355685788348E-2</v>
      </c>
      <c r="W88">
        <v>83978</v>
      </c>
    </row>
    <row r="89" spans="1:23" x14ac:dyDescent="0.3">
      <c r="A89" s="1" cm="1">
        <f t="array" ref="A89">IF(OR(B89:H89=""), "", A88 + 1)</f>
        <v>43994</v>
      </c>
      <c r="B89">
        <f t="shared" si="115"/>
        <v>88411</v>
      </c>
      <c r="C89" s="11">
        <f t="shared" si="1"/>
        <v>1.7002115384615386E-2</v>
      </c>
      <c r="D89" s="2">
        <f t="shared" ref="D89" si="161">B89/B88 - 1</f>
        <v>3.6553939765464616E-3</v>
      </c>
      <c r="E89" s="15">
        <f t="shared" si="119"/>
        <v>-0.72195208297258762</v>
      </c>
      <c r="F89">
        <f t="shared" ref="F89" si="162">B89 - B88</f>
        <v>322</v>
      </c>
      <c r="G89">
        <v>4162</v>
      </c>
      <c r="H89">
        <f t="shared" si="154"/>
        <v>51</v>
      </c>
      <c r="I89">
        <v>563687</v>
      </c>
      <c r="J89">
        <f t="shared" si="121"/>
        <v>10657</v>
      </c>
      <c r="K89" s="2">
        <f t="shared" si="122"/>
        <v>1.9270202339837006E-2</v>
      </c>
      <c r="L89" s="2">
        <f t="shared" si="123"/>
        <v>3.0214882237027306E-2</v>
      </c>
      <c r="W89">
        <v>84249</v>
      </c>
    </row>
    <row r="90" spans="1:23" x14ac:dyDescent="0.3">
      <c r="A90" s="1" cm="1">
        <f t="array" ref="A90">IF(OR(B90:H90=""), "", A89 + 1)</f>
        <v>43995</v>
      </c>
      <c r="B90">
        <f t="shared" si="115"/>
        <v>88754</v>
      </c>
      <c r="C90" s="11">
        <f t="shared" si="1"/>
        <v>1.7068076923076922E-2</v>
      </c>
      <c r="D90" s="2">
        <f t="shared" ref="D90" si="163">B90/B89 - 1</f>
        <v>3.879607741118285E-3</v>
      </c>
      <c r="E90" s="15">
        <f t="shared" si="119"/>
        <v>-0.62495218575580247</v>
      </c>
      <c r="F90">
        <f t="shared" ref="F90" si="164">B90 - B89</f>
        <v>343</v>
      </c>
      <c r="G90">
        <v>4173</v>
      </c>
      <c r="H90">
        <f t="shared" si="154"/>
        <v>11</v>
      </c>
      <c r="I90">
        <v>572908</v>
      </c>
      <c r="J90">
        <f t="shared" si="121"/>
        <v>9221</v>
      </c>
      <c r="K90" s="2">
        <f t="shared" si="122"/>
        <v>1.6358369094905401E-2</v>
      </c>
      <c r="L90" s="2">
        <f t="shared" si="123"/>
        <v>3.7197700900119292E-2</v>
      </c>
      <c r="W90">
        <v>84581</v>
      </c>
    </row>
    <row r="91" spans="1:23" x14ac:dyDescent="0.3">
      <c r="A91" s="1" cm="1">
        <f t="array" ref="A91">IF(OR(B91:H91=""), "", A90 + 1)</f>
        <v>43996</v>
      </c>
      <c r="B91">
        <f t="shared" si="115"/>
        <v>89095</v>
      </c>
      <c r="C91" s="11">
        <f t="shared" si="1"/>
        <v>1.7133653846153847E-2</v>
      </c>
      <c r="D91" s="2">
        <f t="shared" ref="D91" si="165">B91/B90 - 1</f>
        <v>3.8420803569416684E-3</v>
      </c>
      <c r="E91" s="15">
        <f t="shared" si="119"/>
        <v>-0.66462691674968299</v>
      </c>
      <c r="F91">
        <f t="shared" ref="F91" si="166">B91 - B90</f>
        <v>341</v>
      </c>
      <c r="G91">
        <v>4189</v>
      </c>
      <c r="H91">
        <f t="shared" si="154"/>
        <v>16</v>
      </c>
      <c r="I91">
        <v>583077</v>
      </c>
      <c r="J91">
        <f t="shared" si="121"/>
        <v>10169</v>
      </c>
      <c r="K91" s="2">
        <f t="shared" si="122"/>
        <v>1.7749795778728927E-2</v>
      </c>
      <c r="L91" s="2">
        <f t="shared" si="123"/>
        <v>3.3533287442226375E-2</v>
      </c>
      <c r="W91">
        <v>84906</v>
      </c>
    </row>
    <row r="92" spans="1:23" x14ac:dyDescent="0.3">
      <c r="A92" s="1" cm="1">
        <f t="array" ref="A92">IF(OR(B92:H92=""), "", A91 + 1)</f>
        <v>43997</v>
      </c>
      <c r="B92">
        <f t="shared" si="115"/>
        <v>89390</v>
      </c>
      <c r="C92" s="11">
        <f t="shared" si="1"/>
        <v>1.7190384615384614E-2</v>
      </c>
      <c r="D92" s="2">
        <f t="shared" ref="D92" si="167">B92/B91 - 1</f>
        <v>3.3110724507547928E-3</v>
      </c>
      <c r="E92" s="15">
        <f t="shared" si="119"/>
        <v>-0.66946379249762167</v>
      </c>
      <c r="F92">
        <f t="shared" ref="F92" si="168">B92 - B91</f>
        <v>295</v>
      </c>
      <c r="G92">
        <v>4206</v>
      </c>
      <c r="H92">
        <f t="shared" si="154"/>
        <v>17</v>
      </c>
      <c r="I92">
        <v>592096</v>
      </c>
      <c r="J92">
        <f t="shared" si="121"/>
        <v>9019</v>
      </c>
      <c r="K92" s="2">
        <f t="shared" si="122"/>
        <v>1.5467939911881334E-2</v>
      </c>
      <c r="L92" s="2">
        <f t="shared" si="123"/>
        <v>3.2708726022840667E-2</v>
      </c>
      <c r="W92">
        <v>85184</v>
      </c>
    </row>
    <row r="93" spans="1:23" x14ac:dyDescent="0.3">
      <c r="A93" s="1" cm="1">
        <f t="array" ref="A93">IF(OR(B93:H93=""), "", A92 + 1)</f>
        <v>43998</v>
      </c>
      <c r="B93">
        <f t="shared" si="115"/>
        <v>89791</v>
      </c>
      <c r="C93" s="11">
        <f t="shared" si="1"/>
        <v>1.7267500000000002E-2</v>
      </c>
      <c r="D93" s="2">
        <f t="shared" ref="D93" si="169">B93/B92 - 1</f>
        <v>4.4859603982547736E-3</v>
      </c>
      <c r="E93" s="15">
        <f t="shared" si="119"/>
        <v>-0.49540571982234671</v>
      </c>
      <c r="F93">
        <f t="shared" ref="F93" si="170">B93 - B92</f>
        <v>401</v>
      </c>
      <c r="G93">
        <v>4253</v>
      </c>
      <c r="H93">
        <f t="shared" si="154"/>
        <v>47</v>
      </c>
      <c r="I93">
        <v>600407</v>
      </c>
      <c r="J93">
        <f t="shared" si="121"/>
        <v>8311</v>
      </c>
      <c r="K93" s="2">
        <f t="shared" si="122"/>
        <v>1.4036575149975583E-2</v>
      </c>
      <c r="L93" s="2">
        <f t="shared" si="123"/>
        <v>4.8249308145830824E-2</v>
      </c>
      <c r="W93">
        <v>85538</v>
      </c>
    </row>
    <row r="94" spans="1:23" x14ac:dyDescent="0.3">
      <c r="A94" s="1" cm="1">
        <f t="array" ref="A94">IF(OR(B94:H94=""), "", A93 + 1)</f>
        <v>43999</v>
      </c>
      <c r="B94">
        <f t="shared" si="115"/>
        <v>90162</v>
      </c>
      <c r="C94" s="11">
        <f t="shared" si="1"/>
        <v>1.7338846153846153E-2</v>
      </c>
      <c r="D94" s="2">
        <f t="shared" ref="D94" si="171">B94/B93 - 1</f>
        <v>4.131817219988676E-3</v>
      </c>
      <c r="E94" s="15">
        <f t="shared" si="119"/>
        <v>-0.68866486898446266</v>
      </c>
      <c r="F94">
        <f t="shared" ref="F94" si="172">B94 - B93</f>
        <v>371</v>
      </c>
      <c r="G94">
        <v>4304</v>
      </c>
      <c r="H94">
        <f t="shared" si="154"/>
        <v>51</v>
      </c>
      <c r="I94">
        <v>612520</v>
      </c>
      <c r="J94">
        <f t="shared" si="121"/>
        <v>12113</v>
      </c>
      <c r="K94" s="2">
        <f t="shared" si="122"/>
        <v>2.0174648196973122E-2</v>
      </c>
      <c r="L94" s="2">
        <f t="shared" si="123"/>
        <v>3.0628250639808469E-2</v>
      </c>
      <c r="W94">
        <v>85858</v>
      </c>
    </row>
    <row r="95" spans="1:23" x14ac:dyDescent="0.3">
      <c r="A95" s="1" cm="1">
        <f t="array" ref="A95">IF(OR(B95:H95=""), "", A94 + 1)</f>
        <v>44000</v>
      </c>
      <c r="B95">
        <f t="shared" si="115"/>
        <v>90512</v>
      </c>
      <c r="C95" s="11">
        <f t="shared" si="1"/>
        <v>1.7406153846153846E-2</v>
      </c>
      <c r="D95" s="2">
        <f t="shared" ref="D95" si="173">B95/B94 - 1</f>
        <v>3.8819014662496709E-3</v>
      </c>
      <c r="E95" s="15">
        <f t="shared" si="119"/>
        <v>-0.60091833890903767</v>
      </c>
      <c r="F95">
        <f t="shared" ref="F95" si="174">B95 - B94</f>
        <v>350</v>
      </c>
      <c r="G95">
        <v>4333</v>
      </c>
      <c r="H95">
        <f t="shared" si="154"/>
        <v>29</v>
      </c>
      <c r="I95">
        <v>622006</v>
      </c>
      <c r="J95">
        <f t="shared" si="121"/>
        <v>9486</v>
      </c>
      <c r="K95" s="2">
        <f t="shared" si="122"/>
        <v>1.5486841246000083E-2</v>
      </c>
      <c r="L95" s="2">
        <f t="shared" si="123"/>
        <v>3.6896479021716215E-2</v>
      </c>
      <c r="W95">
        <v>86179</v>
      </c>
    </row>
    <row r="96" spans="1:23" x14ac:dyDescent="0.3">
      <c r="A96" s="1" cm="1">
        <f t="array" ref="A96">IF(OR(B96:H96=""), "", A95 + 1)</f>
        <v>44001</v>
      </c>
      <c r="B96">
        <f t="shared" si="115"/>
        <v>90914</v>
      </c>
      <c r="C96" s="11">
        <f t="shared" si="1"/>
        <v>1.7483461538461538E-2</v>
      </c>
      <c r="D96" s="2">
        <f t="shared" ref="D96" si="175">B96/B95 - 1</f>
        <v>4.4414000353545369E-3</v>
      </c>
      <c r="E96" s="15">
        <f t="shared" si="119"/>
        <v>-0.54140892197395007</v>
      </c>
      <c r="F96">
        <f t="shared" ref="F96" si="176">B96 - B95</f>
        <v>402</v>
      </c>
      <c r="G96">
        <v>4363</v>
      </c>
      <c r="H96">
        <f t="shared" si="154"/>
        <v>30</v>
      </c>
      <c r="I96">
        <v>631616</v>
      </c>
      <c r="J96">
        <f t="shared" si="121"/>
        <v>9610</v>
      </c>
      <c r="K96" s="2">
        <f t="shared" si="122"/>
        <v>1.5450011736221292E-2</v>
      </c>
      <c r="L96" s="2">
        <f t="shared" si="123"/>
        <v>4.1831425598335067E-2</v>
      </c>
      <c r="W96">
        <v>86551</v>
      </c>
    </row>
    <row r="97" spans="1:23" x14ac:dyDescent="0.3">
      <c r="A97" s="1" cm="1">
        <f t="array" ref="A97">IF(OR(B97:H97=""), "", A96 + 1)</f>
        <v>44002</v>
      </c>
      <c r="B97">
        <f t="shared" si="115"/>
        <v>91275</v>
      </c>
      <c r="C97" s="11">
        <f t="shared" si="1"/>
        <v>1.7552884615384616E-2</v>
      </c>
      <c r="D97" s="2">
        <f t="shared" ref="D97" si="177">B97/B96 - 1</f>
        <v>3.9707855775787948E-3</v>
      </c>
      <c r="E97" s="15">
        <f t="shared" si="119"/>
        <v>-0.60623701238119687</v>
      </c>
      <c r="F97">
        <f t="shared" ref="F97" si="178">B97 - B96</f>
        <v>361</v>
      </c>
      <c r="G97">
        <v>4390</v>
      </c>
      <c r="H97">
        <f t="shared" si="154"/>
        <v>27</v>
      </c>
      <c r="I97">
        <v>641745</v>
      </c>
      <c r="J97">
        <f t="shared" si="121"/>
        <v>10129</v>
      </c>
      <c r="K97" s="2">
        <f t="shared" si="122"/>
        <v>1.6036642516972233E-2</v>
      </c>
      <c r="L97" s="2">
        <f t="shared" si="123"/>
        <v>3.5640240892486921E-2</v>
      </c>
      <c r="W97">
        <v>86885</v>
      </c>
    </row>
    <row r="98" spans="1:23" x14ac:dyDescent="0.3">
      <c r="A98" s="1" cm="1">
        <f t="array" ref="A98">IF(OR(B98:H98=""), "", A97 + 1)</f>
        <v>44003</v>
      </c>
      <c r="B98">
        <f t="shared" si="115"/>
        <v>91581</v>
      </c>
      <c r="C98" s="11">
        <f t="shared" si="1"/>
        <v>1.7611730769230768E-2</v>
      </c>
      <c r="D98" s="2">
        <f t="shared" ref="D98" si="179">B98/B97 - 1</f>
        <v>3.3525061626951125E-3</v>
      </c>
      <c r="E98" s="15">
        <f t="shared" si="119"/>
        <v>-0.70201666462978696</v>
      </c>
      <c r="F98">
        <f t="shared" ref="F98" si="180">B98 - B97</f>
        <v>306</v>
      </c>
      <c r="G98">
        <v>4404</v>
      </c>
      <c r="H98">
        <f t="shared" si="154"/>
        <v>14</v>
      </c>
      <c r="I98">
        <v>652578</v>
      </c>
      <c r="J98">
        <f t="shared" si="121"/>
        <v>10833</v>
      </c>
      <c r="K98" s="2">
        <f t="shared" si="122"/>
        <v>1.688053666175815E-2</v>
      </c>
      <c r="L98" s="2">
        <f t="shared" si="123"/>
        <v>2.8247022985322626E-2</v>
      </c>
      <c r="W98">
        <v>87177</v>
      </c>
    </row>
    <row r="99" spans="1:23" x14ac:dyDescent="0.3">
      <c r="A99" s="1" cm="1">
        <f t="array" ref="A99">IF(OR(B99:H99=""), "", A98 + 1)</f>
        <v>44004</v>
      </c>
      <c r="B99">
        <f t="shared" si="115"/>
        <v>91847</v>
      </c>
      <c r="C99" s="11">
        <f t="shared" si="1"/>
        <v>1.7662884615384615E-2</v>
      </c>
      <c r="D99" s="2">
        <f t="shared" ref="D99" si="181">B99/B98 - 1</f>
        <v>2.9045325995566973E-3</v>
      </c>
      <c r="E99" s="15">
        <f t="shared" si="119"/>
        <v>-0.61633031701112273</v>
      </c>
      <c r="F99">
        <f t="shared" ref="F99" si="182">B99 - B98</f>
        <v>266</v>
      </c>
      <c r="G99">
        <v>4423</v>
      </c>
      <c r="H99">
        <f t="shared" si="154"/>
        <v>19</v>
      </c>
      <c r="I99">
        <v>660413</v>
      </c>
      <c r="J99">
        <f t="shared" si="121"/>
        <v>7835</v>
      </c>
      <c r="K99" s="2">
        <f t="shared" si="122"/>
        <v>1.200622760804082E-2</v>
      </c>
      <c r="L99" s="2">
        <f t="shared" si="123"/>
        <v>3.395022335673261E-2</v>
      </c>
      <c r="W99">
        <v>87424</v>
      </c>
    </row>
    <row r="100" spans="1:23" x14ac:dyDescent="0.3">
      <c r="A100" s="1" cm="1">
        <f t="array" ref="A100">IF(OR(B100:H100=""), "", A99 + 1)</f>
        <v>44005</v>
      </c>
      <c r="B100">
        <f t="shared" ref="B100:B111" si="183">W100 + G100</f>
        <v>92223</v>
      </c>
      <c r="C100" s="11">
        <f t="shared" si="1"/>
        <v>1.7735192307692306E-2</v>
      </c>
      <c r="D100" s="2">
        <f t="shared" ref="D100" si="184">B100/B99 - 1</f>
        <v>4.0937646303091935E-3</v>
      </c>
      <c r="E100" s="15">
        <f t="shared" si="119"/>
        <v>-0.47396528318438108</v>
      </c>
      <c r="F100">
        <f t="shared" ref="F100" si="185">B100 - B99</f>
        <v>376</v>
      </c>
      <c r="G100">
        <v>4439</v>
      </c>
      <c r="H100">
        <f t="shared" si="154"/>
        <v>16</v>
      </c>
      <c r="I100">
        <v>668465</v>
      </c>
      <c r="J100">
        <f t="shared" si="121"/>
        <v>8052</v>
      </c>
      <c r="K100" s="2">
        <f t="shared" si="122"/>
        <v>1.2192370531773244E-2</v>
      </c>
      <c r="L100" s="2">
        <f t="shared" si="123"/>
        <v>4.6696472925981121E-2</v>
      </c>
      <c r="W100">
        <v>87784</v>
      </c>
    </row>
    <row r="101" spans="1:23" x14ac:dyDescent="0.3">
      <c r="A101" s="1" cm="1">
        <f t="array" ref="A101">IF(OR(B101:H101=""), "", A100 + 1)</f>
        <v>44006</v>
      </c>
      <c r="B101">
        <f t="shared" si="183"/>
        <v>92616</v>
      </c>
      <c r="C101" s="11">
        <f t="shared" si="1"/>
        <v>1.7810769230769231E-2</v>
      </c>
      <c r="D101" s="2">
        <f t="shared" ref="D101" si="186">B101/B100 - 1</f>
        <v>4.2614098435314052E-3</v>
      </c>
      <c r="E101" s="15">
        <f t="shared" ref="E101:E111" si="187">LOG(D101/K101)</f>
        <v>-0.55358482378836127</v>
      </c>
      <c r="F101">
        <f t="shared" ref="F101" si="188">B101 - B100</f>
        <v>393</v>
      </c>
      <c r="G101">
        <v>4478</v>
      </c>
      <c r="H101">
        <f t="shared" si="154"/>
        <v>39</v>
      </c>
      <c r="I101">
        <v>678656</v>
      </c>
      <c r="J101">
        <f t="shared" si="121"/>
        <v>10191</v>
      </c>
      <c r="K101" s="2">
        <f t="shared" si="122"/>
        <v>1.5245375599320932E-2</v>
      </c>
      <c r="L101" s="2">
        <f t="shared" ref="L101:L132" si="189">(B101 - B100)/(I101 - I100)</f>
        <v>3.8563438327936413E-2</v>
      </c>
      <c r="W101">
        <v>88138</v>
      </c>
    </row>
    <row r="102" spans="1:23" x14ac:dyDescent="0.3">
      <c r="A102" s="1" cm="1">
        <f t="array" ref="A102">IF(OR(B102:H102=""), "", A101 + 1)</f>
        <v>44007</v>
      </c>
      <c r="B102">
        <f t="shared" si="183"/>
        <v>93150</v>
      </c>
      <c r="C102" s="11">
        <f t="shared" si="1"/>
        <v>1.7913461538461538E-2</v>
      </c>
      <c r="D102" s="2">
        <f t="shared" ref="D102" si="190">B102/B101 - 1</f>
        <v>5.7657424203161334E-3</v>
      </c>
      <c r="E102" s="15">
        <f t="shared" si="187"/>
        <v>-0.4904957397860395</v>
      </c>
      <c r="F102">
        <f t="shared" ref="F102" si="191">B102 - B101</f>
        <v>534</v>
      </c>
      <c r="G102">
        <v>4500</v>
      </c>
      <c r="H102">
        <f t="shared" si="154"/>
        <v>22</v>
      </c>
      <c r="I102">
        <v>690762</v>
      </c>
      <c r="J102">
        <f t="shared" si="121"/>
        <v>12106</v>
      </c>
      <c r="K102" s="2">
        <f t="shared" si="122"/>
        <v>1.7838197849868065E-2</v>
      </c>
      <c r="L102" s="2">
        <f t="shared" si="189"/>
        <v>4.4110358499917394E-2</v>
      </c>
      <c r="W102">
        <v>88650</v>
      </c>
    </row>
    <row r="103" spans="1:23" x14ac:dyDescent="0.3">
      <c r="A103" s="1" cm="1">
        <f t="array" ref="A103">IF(OR(B103:H103=""), "", A102 + 1)</f>
        <v>44008</v>
      </c>
      <c r="B103">
        <f t="shared" si="183"/>
        <v>93594</v>
      </c>
      <c r="C103" s="11">
        <f t="shared" si="1"/>
        <v>1.7998846153846153E-2</v>
      </c>
      <c r="D103" s="2">
        <f t="shared" ref="D103:D104" si="192">B103/B102 - 1</f>
        <v>4.7665056360708391E-3</v>
      </c>
      <c r="E103" s="15">
        <f t="shared" si="187"/>
        <v>-0.59648161255138943</v>
      </c>
      <c r="F103">
        <f t="shared" ref="F103:F104" si="193">B103 - B102</f>
        <v>444</v>
      </c>
      <c r="G103">
        <v>4526</v>
      </c>
      <c r="H103">
        <f t="shared" si="154"/>
        <v>26</v>
      </c>
      <c r="I103">
        <v>703764</v>
      </c>
      <c r="J103">
        <f t="shared" si="121"/>
        <v>13002</v>
      </c>
      <c r="K103" s="2">
        <f t="shared" si="122"/>
        <v>1.8822691462471841E-2</v>
      </c>
      <c r="L103" s="2">
        <f t="shared" si="189"/>
        <v>3.4148592524227042E-2</v>
      </c>
      <c r="W103">
        <v>89068</v>
      </c>
    </row>
    <row r="104" spans="1:23" x14ac:dyDescent="0.3">
      <c r="A104" s="1" cm="1">
        <f t="array" ref="A104">IF(OR(B104:H104=""), "", A103 + 1)</f>
        <v>44009</v>
      </c>
      <c r="B104">
        <f t="shared" si="183"/>
        <v>93943</v>
      </c>
      <c r="C104" s="11">
        <f t="shared" si="1"/>
        <v>1.8065961538461538E-2</v>
      </c>
      <c r="D104" s="2">
        <f t="shared" si="192"/>
        <v>3.7288715088574786E-3</v>
      </c>
      <c r="E104" s="15">
        <f t="shared" si="187"/>
        <v>-0.71958240477080782</v>
      </c>
      <c r="F104">
        <f t="shared" si="193"/>
        <v>349</v>
      </c>
      <c r="G104">
        <v>4536</v>
      </c>
      <c r="H104">
        <f t="shared" si="154"/>
        <v>10</v>
      </c>
      <c r="I104">
        <v>717523</v>
      </c>
      <c r="J104">
        <f t="shared" si="121"/>
        <v>13759</v>
      </c>
      <c r="K104" s="2">
        <f t="shared" si="122"/>
        <v>1.9550587981198353E-2</v>
      </c>
      <c r="L104" s="2">
        <f t="shared" si="189"/>
        <v>2.5365215495312159E-2</v>
      </c>
      <c r="W104">
        <v>89407</v>
      </c>
    </row>
    <row r="105" spans="1:23" x14ac:dyDescent="0.3">
      <c r="A105" s="1" cm="1">
        <f t="array" ref="A105">IF(OR(B105:H105=""), "", A104 + 1)</f>
        <v>44010</v>
      </c>
      <c r="B105">
        <f t="shared" si="183"/>
        <v>94297</v>
      </c>
      <c r="C105" s="11">
        <f t="shared" si="1"/>
        <v>1.8134038461538462E-2</v>
      </c>
      <c r="D105" s="2">
        <f t="shared" ref="D105" si="194">B105/B104 - 1</f>
        <v>3.7682424448868268E-3</v>
      </c>
      <c r="E105" s="15">
        <f t="shared" si="187"/>
        <v>-0.60032168083653503</v>
      </c>
      <c r="F105">
        <f t="shared" ref="F105" si="195">B105 - B104</f>
        <v>354</v>
      </c>
      <c r="G105">
        <v>4542</v>
      </c>
      <c r="H105">
        <f t="shared" si="154"/>
        <v>6</v>
      </c>
      <c r="I105">
        <v>728295</v>
      </c>
      <c r="J105">
        <f t="shared" si="121"/>
        <v>10772</v>
      </c>
      <c r="K105" s="2">
        <f t="shared" si="122"/>
        <v>1.5012759172876589E-2</v>
      </c>
      <c r="L105" s="2">
        <f t="shared" si="189"/>
        <v>3.2862978091347937E-2</v>
      </c>
      <c r="W105">
        <v>89755</v>
      </c>
    </row>
    <row r="106" spans="1:23" x14ac:dyDescent="0.3">
      <c r="A106" s="1" cm="1">
        <f t="array" ref="A106">IF(OR(B106:H106=""), "", A105 + 1)</f>
        <v>44011</v>
      </c>
      <c r="B106">
        <f t="shared" si="183"/>
        <v>94676</v>
      </c>
      <c r="C106" s="11">
        <f t="shared" si="1"/>
        <v>1.8206923076923075E-2</v>
      </c>
      <c r="D106" s="2">
        <f t="shared" ref="D106" si="196">B106/B105 - 1</f>
        <v>4.0192158817353718E-3</v>
      </c>
      <c r="E106" s="15">
        <f t="shared" si="187"/>
        <v>-0.59898165642152124</v>
      </c>
      <c r="F106">
        <f t="shared" ref="F106" si="197">B106 - B105</f>
        <v>379</v>
      </c>
      <c r="G106">
        <v>4554</v>
      </c>
      <c r="H106">
        <f t="shared" si="154"/>
        <v>12</v>
      </c>
      <c r="I106">
        <v>739921</v>
      </c>
      <c r="J106">
        <f t="shared" si="121"/>
        <v>11626</v>
      </c>
      <c r="K106" s="2">
        <f t="shared" si="122"/>
        <v>1.5963311570174277E-2</v>
      </c>
      <c r="L106" s="2">
        <f t="shared" si="189"/>
        <v>3.2599346292792021E-2</v>
      </c>
      <c r="W106">
        <v>90122</v>
      </c>
    </row>
    <row r="107" spans="1:23" x14ac:dyDescent="0.3">
      <c r="A107" s="1" cm="1">
        <f t="array" ref="A107">IF(OR(B107:H107=""), "", A106 + 1)</f>
        <v>44012</v>
      </c>
      <c r="B107">
        <f t="shared" si="183"/>
        <v>95101</v>
      </c>
      <c r="C107" s="11">
        <f t="shared" si="1"/>
        <v>1.8288653846153847E-2</v>
      </c>
      <c r="D107" s="2">
        <f t="shared" ref="D107" si="198">B107/B106 - 1</f>
        <v>4.4889940428407549E-3</v>
      </c>
      <c r="E107" s="15">
        <f t="shared" si="187"/>
        <v>-0.53112869503002058</v>
      </c>
      <c r="F107">
        <f t="shared" ref="F107" si="199">B107 - B106</f>
        <v>425</v>
      </c>
      <c r="G107">
        <v>4565</v>
      </c>
      <c r="H107">
        <f t="shared" si="154"/>
        <v>11</v>
      </c>
      <c r="I107">
        <v>751205</v>
      </c>
      <c r="J107">
        <f t="shared" si="121"/>
        <v>11284</v>
      </c>
      <c r="K107" s="2">
        <f t="shared" si="122"/>
        <v>1.5250276718730804E-2</v>
      </c>
      <c r="L107" s="2">
        <f t="shared" si="189"/>
        <v>3.7663948954271532E-2</v>
      </c>
      <c r="W107">
        <v>90536</v>
      </c>
    </row>
    <row r="108" spans="1:23" x14ac:dyDescent="0.3">
      <c r="A108" s="1" cm="1">
        <f t="array" ref="A108">IF(OR(B108:H108=""), "", A107 + 1)</f>
        <v>44013</v>
      </c>
      <c r="B108">
        <f t="shared" si="183"/>
        <v>95492</v>
      </c>
      <c r="C108" s="11">
        <f t="shared" si="1"/>
        <v>1.8363846153846154E-2</v>
      </c>
      <c r="D108" s="2">
        <f t="shared" ref="D108" si="200">B108/B107 - 1</f>
        <v>4.1114183867676513E-3</v>
      </c>
      <c r="E108" s="15">
        <f t="shared" si="187"/>
        <v>-0.64927840379711854</v>
      </c>
      <c r="F108">
        <f t="shared" ref="F108" si="201">B108 - B107</f>
        <v>391</v>
      </c>
      <c r="G108">
        <v>4581</v>
      </c>
      <c r="H108">
        <f t="shared" si="154"/>
        <v>16</v>
      </c>
      <c r="I108">
        <v>764978</v>
      </c>
      <c r="J108">
        <f t="shared" si="121"/>
        <v>13773</v>
      </c>
      <c r="K108" s="2">
        <f t="shared" si="122"/>
        <v>1.8334542501713846E-2</v>
      </c>
      <c r="L108" s="2">
        <f t="shared" si="189"/>
        <v>2.8388876787918391E-2</v>
      </c>
      <c r="W108">
        <v>90911</v>
      </c>
    </row>
    <row r="109" spans="1:23" x14ac:dyDescent="0.3">
      <c r="A109" s="1" cm="1">
        <f t="array" ref="A109">IF(OR(B109:H109=""), "", A108 + 1)</f>
        <v>44014</v>
      </c>
      <c r="B109">
        <f t="shared" si="183"/>
        <v>95990</v>
      </c>
      <c r="C109" s="11">
        <f t="shared" si="1"/>
        <v>1.8459615384615383E-2</v>
      </c>
      <c r="D109" s="2">
        <f t="shared" ref="D109" si="202">B109/B108 - 1</f>
        <v>5.2150965525907811E-3</v>
      </c>
      <c r="E109" s="15">
        <f t="shared" si="187"/>
        <v>-0.50220795469676227</v>
      </c>
      <c r="F109">
        <f t="shared" ref="F109" si="203">B109 - B108</f>
        <v>498</v>
      </c>
      <c r="G109">
        <v>4609</v>
      </c>
      <c r="H109">
        <f t="shared" si="154"/>
        <v>28</v>
      </c>
      <c r="I109">
        <v>777658</v>
      </c>
      <c r="J109">
        <f t="shared" si="121"/>
        <v>12680</v>
      </c>
      <c r="K109" s="2">
        <f t="shared" si="122"/>
        <v>1.6575640083767107E-2</v>
      </c>
      <c r="L109" s="2">
        <f t="shared" si="189"/>
        <v>3.9274447949526815E-2</v>
      </c>
      <c r="W109">
        <v>91381</v>
      </c>
    </row>
    <row r="110" spans="1:23" x14ac:dyDescent="0.3">
      <c r="A110" s="1" cm="1">
        <f t="array" ref="A110">IF(OR(B110:H110=""), "", A109 + 1)</f>
        <v>44015</v>
      </c>
      <c r="B110">
        <f t="shared" si="183"/>
        <v>96392</v>
      </c>
      <c r="C110" s="11">
        <f t="shared" si="1"/>
        <v>1.8536923076923076E-2</v>
      </c>
      <c r="D110" s="2">
        <f t="shared" ref="D110" si="204">B110/B109 - 1</f>
        <v>4.1879362433587808E-3</v>
      </c>
      <c r="E110" s="15">
        <f t="shared" si="187"/>
        <v>-0.64563410110075337</v>
      </c>
      <c r="F110">
        <f t="shared" ref="F110" si="205">B110 - B109</f>
        <v>402</v>
      </c>
      <c r="G110">
        <v>4618</v>
      </c>
      <c r="H110">
        <f t="shared" si="154"/>
        <v>9</v>
      </c>
      <c r="I110">
        <v>792060</v>
      </c>
      <c r="J110">
        <f t="shared" si="121"/>
        <v>14402</v>
      </c>
      <c r="K110" s="2">
        <f t="shared" si="122"/>
        <v>1.8519709178070665E-2</v>
      </c>
      <c r="L110" s="2">
        <f t="shared" si="189"/>
        <v>2.7912789890293013E-2</v>
      </c>
      <c r="W110">
        <v>91774</v>
      </c>
    </row>
    <row r="111" spans="1:23" x14ac:dyDescent="0.3">
      <c r="A111" s="1" cm="1">
        <f t="array" ref="A111">IF(OR(B111:H111=""), "", A110 + 1)</f>
        <v>44016</v>
      </c>
      <c r="B111">
        <f t="shared" si="183"/>
        <v>96862</v>
      </c>
      <c r="C111" s="11">
        <f t="shared" si="1"/>
        <v>1.8627307692307693E-2</v>
      </c>
      <c r="D111" s="2">
        <f t="shared" ref="D111" si="206">B111/B110 - 1</f>
        <v>4.8759233131381308E-3</v>
      </c>
      <c r="E111" s="15">
        <f t="shared" si="187"/>
        <v>-0.6075328592753747</v>
      </c>
      <c r="F111">
        <f t="shared" ref="F111:F230" si="207">B111 - B110</f>
        <v>470</v>
      </c>
      <c r="G111">
        <v>4622</v>
      </c>
      <c r="H111">
        <f t="shared" si="154"/>
        <v>4</v>
      </c>
      <c r="I111">
        <v>807704</v>
      </c>
      <c r="J111">
        <f t="shared" si="121"/>
        <v>15644</v>
      </c>
      <c r="K111" s="2">
        <f t="shared" si="122"/>
        <v>1.9751028962452288E-2</v>
      </c>
      <c r="L111" s="2">
        <f t="shared" si="189"/>
        <v>3.0043467143952955E-2</v>
      </c>
      <c r="W111">
        <v>92240</v>
      </c>
    </row>
    <row r="112" spans="1:23" x14ac:dyDescent="0.3">
      <c r="A112" s="1" cm="1">
        <f t="array" ref="A112">IF(OR(B112:H112=""), "", A111 + 1)</f>
        <v>44017</v>
      </c>
      <c r="B112">
        <f t="shared" ref="B112:B230" si="208">W112 + G112</f>
        <v>97159</v>
      </c>
      <c r="C112" s="11">
        <f t="shared" ref="C112:C230" si="209">B112/$A$1</f>
        <v>1.8684423076923078E-2</v>
      </c>
      <c r="D112" s="2">
        <f t="shared" ref="D112:D230" si="210">B112/B111 - 1</f>
        <v>3.0662179182754379E-3</v>
      </c>
      <c r="E112" s="18">
        <f t="shared" ref="E112:E143" si="211">IFERROR(LOG(D112/K112), FALSE)</f>
        <v>-0.71686910350253619</v>
      </c>
      <c r="F112">
        <f t="shared" si="207"/>
        <v>297</v>
      </c>
      <c r="G112">
        <v>4627</v>
      </c>
      <c r="H112">
        <f t="shared" si="154"/>
        <v>5</v>
      </c>
      <c r="I112">
        <v>820608</v>
      </c>
      <c r="J112">
        <f t="shared" si="121"/>
        <v>12904</v>
      </c>
      <c r="K112" s="2">
        <f t="shared" si="122"/>
        <v>1.5976149678595064E-2</v>
      </c>
      <c r="L112" s="2">
        <f t="shared" si="189"/>
        <v>2.3016119032858027E-2</v>
      </c>
      <c r="W112">
        <v>92532</v>
      </c>
    </row>
    <row r="113" spans="1:23" x14ac:dyDescent="0.3">
      <c r="A113" s="1" cm="1">
        <f t="array" ref="A113">IF(OR(B113:H113=""), "", A112 + 1)</f>
        <v>44018</v>
      </c>
      <c r="B113">
        <f t="shared" si="208"/>
        <v>97411</v>
      </c>
      <c r="C113" s="11">
        <f t="shared" si="209"/>
        <v>1.8732884615384617E-2</v>
      </c>
      <c r="D113" s="2">
        <f t="shared" si="210"/>
        <v>2.5936866373676981E-3</v>
      </c>
      <c r="E113" s="18">
        <f t="shared" si="211"/>
        <v>-0.62556149059788446</v>
      </c>
      <c r="F113">
        <f t="shared" si="207"/>
        <v>252</v>
      </c>
      <c r="G113">
        <v>4630</v>
      </c>
      <c r="H113">
        <f t="shared" si="154"/>
        <v>3</v>
      </c>
      <c r="I113">
        <v>829595</v>
      </c>
      <c r="J113">
        <f t="shared" si="121"/>
        <v>8987</v>
      </c>
      <c r="K113" s="2">
        <f t="shared" si="122"/>
        <v>1.0951635860240172E-2</v>
      </c>
      <c r="L113" s="2">
        <f t="shared" si="189"/>
        <v>2.8040502948703683E-2</v>
      </c>
      <c r="W113">
        <v>92781</v>
      </c>
    </row>
    <row r="114" spans="1:23" x14ac:dyDescent="0.3">
      <c r="A114" s="1" cm="1">
        <f t="array" ref="A114">IF(OR(B114:H114=""), "", A113 + 1)</f>
        <v>44019</v>
      </c>
      <c r="B114">
        <f t="shared" si="208"/>
        <v>97704</v>
      </c>
      <c r="C114" s="11">
        <f t="shared" si="209"/>
        <v>1.878923076923077E-2</v>
      </c>
      <c r="D114" s="2">
        <f t="shared" si="210"/>
        <v>3.0078738540821881E-3</v>
      </c>
      <c r="E114" s="18">
        <f t="shared" si="211"/>
        <v>-0.60637787024921386</v>
      </c>
      <c r="F114">
        <f t="shared" si="207"/>
        <v>293</v>
      </c>
      <c r="G114">
        <v>4651</v>
      </c>
      <c r="H114">
        <f t="shared" si="154"/>
        <v>21</v>
      </c>
      <c r="I114">
        <v>839676</v>
      </c>
      <c r="J114">
        <f t="shared" si="121"/>
        <v>10081</v>
      </c>
      <c r="K114" s="2">
        <f t="shared" si="122"/>
        <v>1.2151712582645802E-2</v>
      </c>
      <c r="L114" s="2">
        <f t="shared" si="189"/>
        <v>2.9064576926892172E-2</v>
      </c>
      <c r="W114">
        <v>93053</v>
      </c>
    </row>
    <row r="115" spans="1:23" x14ac:dyDescent="0.3">
      <c r="A115" s="1" cm="1">
        <f t="array" ref="A115">IF(OR(B115:H115=""), "", A114 + 1)</f>
        <v>44020</v>
      </c>
      <c r="B115">
        <f t="shared" si="208"/>
        <v>98160</v>
      </c>
      <c r="C115" s="11">
        <f t="shared" si="209"/>
        <v>1.8876923076923076E-2</v>
      </c>
      <c r="D115" s="2">
        <f t="shared" si="210"/>
        <v>4.6671579464505619E-3</v>
      </c>
      <c r="E115" s="18">
        <f t="shared" si="211"/>
        <v>-0.53687990355266801</v>
      </c>
      <c r="F115">
        <f t="shared" si="207"/>
        <v>456</v>
      </c>
      <c r="G115">
        <v>4664</v>
      </c>
      <c r="H115">
        <f t="shared" si="154"/>
        <v>13</v>
      </c>
      <c r="I115">
        <v>853167</v>
      </c>
      <c r="J115">
        <f t="shared" si="121"/>
        <v>13491</v>
      </c>
      <c r="K115" s="2">
        <f t="shared" si="122"/>
        <v>1.6066911523016092E-2</v>
      </c>
      <c r="L115" s="2">
        <f t="shared" si="189"/>
        <v>3.3800311318656885E-2</v>
      </c>
      <c r="W115">
        <v>93496</v>
      </c>
    </row>
    <row r="116" spans="1:23" x14ac:dyDescent="0.3">
      <c r="A116" s="1" cm="1">
        <f t="array" ref="A116">IF(OR(B116:H116=""), "", A115 + 1)</f>
        <v>44021</v>
      </c>
      <c r="B116">
        <f t="shared" si="208"/>
        <v>98681</v>
      </c>
      <c r="C116" s="11">
        <f t="shared" si="209"/>
        <v>1.8977115384615384E-2</v>
      </c>
      <c r="D116" s="2">
        <f t="shared" si="210"/>
        <v>5.3076609616951043E-3</v>
      </c>
      <c r="E116" s="18">
        <f t="shared" si="211"/>
        <v>-0.50468134997291225</v>
      </c>
      <c r="F116">
        <f t="shared" si="207"/>
        <v>521</v>
      </c>
      <c r="G116">
        <v>4676</v>
      </c>
      <c r="H116">
        <f t="shared" si="154"/>
        <v>12</v>
      </c>
      <c r="I116">
        <v>867642</v>
      </c>
      <c r="J116">
        <f t="shared" si="121"/>
        <v>14475</v>
      </c>
      <c r="K116" s="2">
        <f t="shared" si="122"/>
        <v>1.6966197708068842E-2</v>
      </c>
      <c r="L116" s="2">
        <f t="shared" si="189"/>
        <v>3.5993091537132989E-2</v>
      </c>
      <c r="W116">
        <v>94005</v>
      </c>
    </row>
    <row r="117" spans="1:23" x14ac:dyDescent="0.3">
      <c r="A117" s="1" cm="1">
        <f t="array" ref="A117">IF(OR(B117:H117=""), "", A116 + 1)</f>
        <v>44022</v>
      </c>
      <c r="B117">
        <f t="shared" si="208"/>
        <v>99298</v>
      </c>
      <c r="C117" s="11">
        <f t="shared" si="209"/>
        <v>1.9095769230769232E-2</v>
      </c>
      <c r="D117" s="2">
        <f t="shared" si="210"/>
        <v>6.2524700803598954E-3</v>
      </c>
      <c r="E117" s="18">
        <f t="shared" si="211"/>
        <v>-0.44870675112994801</v>
      </c>
      <c r="F117">
        <f t="shared" si="207"/>
        <v>617</v>
      </c>
      <c r="G117">
        <v>4693</v>
      </c>
      <c r="H117">
        <f t="shared" si="154"/>
        <v>17</v>
      </c>
      <c r="I117">
        <v>882886</v>
      </c>
      <c r="J117">
        <f t="shared" si="121"/>
        <v>15244</v>
      </c>
      <c r="K117" s="2">
        <f t="shared" si="122"/>
        <v>1.7569458371079261E-2</v>
      </c>
      <c r="L117" s="2">
        <f t="shared" si="189"/>
        <v>4.0474940960377855E-2</v>
      </c>
      <c r="W117">
        <v>94605</v>
      </c>
    </row>
    <row r="118" spans="1:23" x14ac:dyDescent="0.3">
      <c r="A118" s="1" cm="1">
        <f t="array" ref="A118">IF(OR(B118:H118=""), "", A117 + 1)</f>
        <v>44023</v>
      </c>
      <c r="B118">
        <f t="shared" si="208"/>
        <v>99849</v>
      </c>
      <c r="C118" s="11">
        <f t="shared" si="209"/>
        <v>1.920173076923077E-2</v>
      </c>
      <c r="D118" s="2">
        <f t="shared" si="210"/>
        <v>5.5489536546555751E-3</v>
      </c>
      <c r="E118" s="18">
        <f t="shared" si="211"/>
        <v>-0.46685721410379472</v>
      </c>
      <c r="F118">
        <f t="shared" si="207"/>
        <v>551</v>
      </c>
      <c r="G118">
        <v>4711</v>
      </c>
      <c r="H118">
        <f t="shared" si="154"/>
        <v>18</v>
      </c>
      <c r="I118">
        <v>897240</v>
      </c>
      <c r="J118">
        <f t="shared" si="121"/>
        <v>14354</v>
      </c>
      <c r="K118" s="2">
        <f t="shared" si="122"/>
        <v>1.6258044639964941E-2</v>
      </c>
      <c r="L118" s="2">
        <f t="shared" si="189"/>
        <v>3.8386512470391529E-2</v>
      </c>
      <c r="W118">
        <v>95138</v>
      </c>
    </row>
    <row r="119" spans="1:23" x14ac:dyDescent="0.3">
      <c r="A119" s="1" cm="1">
        <f t="array" ref="A119">IF(OR(B119:H119=""), "", A118 + 1)</f>
        <v>44024</v>
      </c>
      <c r="B119">
        <f t="shared" si="208"/>
        <v>100282</v>
      </c>
      <c r="C119" s="11">
        <f t="shared" si="209"/>
        <v>1.9285E-2</v>
      </c>
      <c r="D119" s="2">
        <f t="shared" si="210"/>
        <v>4.3365481877635226E-3</v>
      </c>
      <c r="E119" s="18">
        <f t="shared" si="211"/>
        <v>-0.65017185079052897</v>
      </c>
      <c r="F119">
        <f t="shared" si="207"/>
        <v>433</v>
      </c>
      <c r="G119">
        <v>4725</v>
      </c>
      <c r="H119">
        <f t="shared" si="154"/>
        <v>14</v>
      </c>
      <c r="I119">
        <v>914627</v>
      </c>
      <c r="J119">
        <f t="shared" si="121"/>
        <v>17387</v>
      </c>
      <c r="K119" s="2">
        <f t="shared" si="122"/>
        <v>1.9378315723775241E-2</v>
      </c>
      <c r="L119" s="2">
        <f t="shared" si="189"/>
        <v>2.4903663656755046E-2</v>
      </c>
      <c r="W119">
        <v>95557</v>
      </c>
    </row>
    <row r="120" spans="1:23" x14ac:dyDescent="0.3">
      <c r="A120" s="1" cm="1">
        <f t="array" ref="A120">IF(OR(B120:H120=""), "", A119 + 1)</f>
        <v>44025</v>
      </c>
      <c r="B120">
        <f t="shared" si="208"/>
        <v>100613</v>
      </c>
      <c r="C120" s="11">
        <f t="shared" si="209"/>
        <v>1.9348653846153845E-2</v>
      </c>
      <c r="D120" s="2">
        <f t="shared" si="210"/>
        <v>3.3006920484235369E-3</v>
      </c>
      <c r="E120" s="18">
        <f t="shared" si="211"/>
        <v>-0.6686610859649541</v>
      </c>
      <c r="F120">
        <f t="shared" si="207"/>
        <v>331</v>
      </c>
      <c r="G120">
        <v>4729</v>
      </c>
      <c r="H120">
        <f t="shared" si="154"/>
        <v>4</v>
      </c>
      <c r="I120">
        <v>928704</v>
      </c>
      <c r="J120">
        <f t="shared" si="121"/>
        <v>14077</v>
      </c>
      <c r="K120" s="2">
        <f t="shared" si="122"/>
        <v>1.5390973588140344E-2</v>
      </c>
      <c r="L120" s="2">
        <f t="shared" si="189"/>
        <v>2.3513532712935995E-2</v>
      </c>
      <c r="W120">
        <v>95884</v>
      </c>
    </row>
    <row r="121" spans="1:23" x14ac:dyDescent="0.3">
      <c r="A121" s="1" cm="1">
        <f t="array" ref="A121">IF(OR(B121:H121=""), "", A120 + 1)</f>
        <v>44026</v>
      </c>
      <c r="B121">
        <f t="shared" si="208"/>
        <v>100927</v>
      </c>
      <c r="C121" s="11">
        <f t="shared" si="209"/>
        <v>1.940903846153846E-2</v>
      </c>
      <c r="D121" s="2">
        <f t="shared" si="210"/>
        <v>3.1208690725850197E-3</v>
      </c>
      <c r="E121" s="18">
        <f t="shared" si="211"/>
        <v>-0.5181687204909412</v>
      </c>
      <c r="F121">
        <f t="shared" si="207"/>
        <v>314</v>
      </c>
      <c r="G121">
        <v>4741</v>
      </c>
      <c r="H121">
        <f t="shared" si="154"/>
        <v>12</v>
      </c>
      <c r="I121">
        <v>938261</v>
      </c>
      <c r="J121">
        <f t="shared" si="121"/>
        <v>9557</v>
      </c>
      <c r="K121" s="2">
        <f t="shared" si="122"/>
        <v>1.0290684653021742E-2</v>
      </c>
      <c r="L121" s="2">
        <f t="shared" si="189"/>
        <v>3.2855498587422829E-2</v>
      </c>
      <c r="W121">
        <v>96186</v>
      </c>
    </row>
    <row r="122" spans="1:23" x14ac:dyDescent="0.3">
      <c r="A122" s="1" cm="1">
        <f t="array" ref="A122">IF(OR(B122:H122=""), "", A121 + 1)</f>
        <v>44027</v>
      </c>
      <c r="B122">
        <f t="shared" si="208"/>
        <v>101407</v>
      </c>
      <c r="C122" s="11">
        <f t="shared" si="209"/>
        <v>1.9501346153846154E-2</v>
      </c>
      <c r="D122" s="2">
        <f t="shared" si="210"/>
        <v>4.7559126893694792E-3</v>
      </c>
      <c r="E122" s="18">
        <f t="shared" si="211"/>
        <v>-0.52990807527458861</v>
      </c>
      <c r="F122">
        <f t="shared" si="207"/>
        <v>480</v>
      </c>
      <c r="G122">
        <v>4745</v>
      </c>
      <c r="H122">
        <f t="shared" si="154"/>
        <v>4</v>
      </c>
      <c r="I122">
        <v>953378</v>
      </c>
      <c r="J122">
        <f t="shared" si="121"/>
        <v>15117</v>
      </c>
      <c r="K122" s="2">
        <f t="shared" si="122"/>
        <v>1.6111721578537352E-2</v>
      </c>
      <c r="L122" s="2">
        <f t="shared" si="189"/>
        <v>3.1752331811867436E-2</v>
      </c>
      <c r="W122">
        <v>96662</v>
      </c>
    </row>
    <row r="123" spans="1:23" x14ac:dyDescent="0.3">
      <c r="A123" s="1" cm="1">
        <f t="array" ref="A123">IF(OR(B123:H123=""), "", A122 + 1)</f>
        <v>44028</v>
      </c>
      <c r="B123">
        <f t="shared" si="208"/>
        <v>101964</v>
      </c>
      <c r="C123" s="11">
        <f t="shared" si="209"/>
        <v>1.960846153846154E-2</v>
      </c>
      <c r="D123" s="2">
        <f t="shared" si="210"/>
        <v>5.4927174652636968E-3</v>
      </c>
      <c r="E123" s="18">
        <f t="shared" si="211"/>
        <v>-0.48506759633026864</v>
      </c>
      <c r="F123">
        <f t="shared" si="207"/>
        <v>557</v>
      </c>
      <c r="G123">
        <v>4750</v>
      </c>
      <c r="H123">
        <f t="shared" si="154"/>
        <v>5</v>
      </c>
      <c r="I123">
        <v>969378</v>
      </c>
      <c r="J123">
        <f t="shared" si="121"/>
        <v>16000</v>
      </c>
      <c r="K123" s="2">
        <f t="shared" si="122"/>
        <v>1.6782430473537335E-2</v>
      </c>
      <c r="L123" s="2">
        <f t="shared" si="189"/>
        <v>3.4812500000000003E-2</v>
      </c>
      <c r="W123">
        <v>97214</v>
      </c>
    </row>
    <row r="124" spans="1:23" x14ac:dyDescent="0.3">
      <c r="A124" s="1" cm="1">
        <f t="array" ref="A124">IF(OR(B124:H124=""), "", A123 + 1)</f>
        <v>44029</v>
      </c>
      <c r="B124">
        <f t="shared" si="208"/>
        <v>102555</v>
      </c>
      <c r="C124" s="11">
        <f t="shared" si="209"/>
        <v>1.9722115384615383E-2</v>
      </c>
      <c r="D124" s="2">
        <f t="shared" si="210"/>
        <v>5.7961633517711331E-3</v>
      </c>
      <c r="E124" s="18">
        <f t="shared" si="211"/>
        <v>-0.49456910030200507</v>
      </c>
      <c r="F124">
        <f t="shared" si="207"/>
        <v>591</v>
      </c>
      <c r="G124">
        <v>4765</v>
      </c>
      <c r="H124">
        <f t="shared" si="154"/>
        <v>15</v>
      </c>
      <c r="I124">
        <v>986925</v>
      </c>
      <c r="J124">
        <f t="shared" si="121"/>
        <v>17547</v>
      </c>
      <c r="K124" s="2">
        <f t="shared" si="122"/>
        <v>1.8101297945692929E-2</v>
      </c>
      <c r="L124" s="2">
        <f t="shared" si="189"/>
        <v>3.3680971106171992E-2</v>
      </c>
      <c r="W124">
        <v>97790</v>
      </c>
    </row>
    <row r="125" spans="1:23" x14ac:dyDescent="0.3">
      <c r="A125" s="1" cm="1">
        <f t="array" ref="A125">IF(OR(B125:H125=""), "", A124 + 1)</f>
        <v>44030</v>
      </c>
      <c r="B125">
        <f t="shared" si="208"/>
        <v>103066</v>
      </c>
      <c r="C125" s="11">
        <f t="shared" si="209"/>
        <v>1.9820384615384615E-2</v>
      </c>
      <c r="D125" s="2">
        <f t="shared" si="210"/>
        <v>4.9826922139339924E-3</v>
      </c>
      <c r="E125" s="18">
        <f t="shared" si="211"/>
        <v>-0.54890086312640451</v>
      </c>
      <c r="F125">
        <f t="shared" si="207"/>
        <v>511</v>
      </c>
      <c r="G125">
        <v>4774</v>
      </c>
      <c r="H125">
        <f t="shared" si="154"/>
        <v>9</v>
      </c>
      <c r="I125">
        <v>1004329</v>
      </c>
      <c r="J125">
        <f t="shared" si="121"/>
        <v>17404</v>
      </c>
      <c r="K125" s="2">
        <f t="shared" si="122"/>
        <v>1.763457202928298E-2</v>
      </c>
      <c r="L125" s="2">
        <f t="shared" si="189"/>
        <v>2.9361066421512295E-2</v>
      </c>
      <c r="W125">
        <v>98292</v>
      </c>
    </row>
    <row r="126" spans="1:23" x14ac:dyDescent="0.3">
      <c r="A126" s="1" cm="1">
        <f t="array" ref="A126">IF(OR(B126:H126=""), "", A125 + 1)</f>
        <v>44031</v>
      </c>
      <c r="B126">
        <f t="shared" si="208"/>
        <v>103446</v>
      </c>
      <c r="C126" s="11">
        <f t="shared" si="209"/>
        <v>1.9893461538461537E-2</v>
      </c>
      <c r="D126" s="2">
        <f t="shared" si="210"/>
        <v>3.6869578716549611E-3</v>
      </c>
      <c r="E126" s="18">
        <f t="shared" si="211"/>
        <v>-0.57823481093247908</v>
      </c>
      <c r="F126">
        <f t="shared" si="207"/>
        <v>380</v>
      </c>
      <c r="G126">
        <v>4776</v>
      </c>
      <c r="H126">
        <f t="shared" si="154"/>
        <v>2</v>
      </c>
      <c r="I126">
        <v>1018350</v>
      </c>
      <c r="J126">
        <f t="shared" si="121"/>
        <v>14021</v>
      </c>
      <c r="K126" s="2">
        <f t="shared" si="122"/>
        <v>1.3960564715347346E-2</v>
      </c>
      <c r="L126" s="2">
        <f t="shared" si="189"/>
        <v>2.7102203837101491E-2</v>
      </c>
      <c r="W126">
        <v>98670</v>
      </c>
    </row>
    <row r="127" spans="1:23" x14ac:dyDescent="0.3">
      <c r="A127" s="1" cm="1">
        <f t="array" ref="A127">IF(OR(B127:H127=""), "", A126 + 1)</f>
        <v>44032</v>
      </c>
      <c r="B127">
        <f t="shared" si="208"/>
        <v>103829</v>
      </c>
      <c r="C127" s="11">
        <f t="shared" si="209"/>
        <v>1.9967115384615385E-2</v>
      </c>
      <c r="D127" s="2">
        <f t="shared" si="210"/>
        <v>3.7024147864586077E-3</v>
      </c>
      <c r="E127" s="18">
        <f t="shared" si="211"/>
        <v>-0.56465980147736261</v>
      </c>
      <c r="F127">
        <f t="shared" si="207"/>
        <v>383</v>
      </c>
      <c r="G127">
        <v>4777</v>
      </c>
      <c r="H127">
        <f t="shared" si="154"/>
        <v>1</v>
      </c>
      <c r="I127">
        <v>1032187</v>
      </c>
      <c r="J127">
        <f t="shared" si="121"/>
        <v>13837</v>
      </c>
      <c r="K127" s="2">
        <f t="shared" si="122"/>
        <v>1.358766632297348E-2</v>
      </c>
      <c r="L127" s="2">
        <f t="shared" si="189"/>
        <v>2.7679410276794103E-2</v>
      </c>
      <c r="W127">
        <v>99052</v>
      </c>
    </row>
    <row r="128" spans="1:23" x14ac:dyDescent="0.3">
      <c r="A128" s="1" cm="1">
        <f t="array" ref="A128">IF(OR(B128:H128=""), "", A127 + 1)</f>
        <v>44033</v>
      </c>
      <c r="B128">
        <f t="shared" si="208"/>
        <v>104252</v>
      </c>
      <c r="C128" s="11">
        <f t="shared" si="209"/>
        <v>2.0048461538461539E-2</v>
      </c>
      <c r="D128" s="2">
        <f t="shared" si="210"/>
        <v>4.0740062988182668E-3</v>
      </c>
      <c r="E128" s="18">
        <f t="shared" si="211"/>
        <v>-0.47354665459302775</v>
      </c>
      <c r="F128">
        <f t="shared" si="207"/>
        <v>423</v>
      </c>
      <c r="G128">
        <v>4788</v>
      </c>
      <c r="H128">
        <f t="shared" si="154"/>
        <v>11</v>
      </c>
      <c r="I128">
        <v>1044699</v>
      </c>
      <c r="J128">
        <f t="shared" si="121"/>
        <v>12512</v>
      </c>
      <c r="K128" s="2">
        <f t="shared" si="122"/>
        <v>1.2121834512544671E-2</v>
      </c>
      <c r="L128" s="2">
        <f t="shared" si="189"/>
        <v>3.380754475703325E-2</v>
      </c>
      <c r="W128">
        <v>99464</v>
      </c>
    </row>
    <row r="129" spans="1:23" x14ac:dyDescent="0.3">
      <c r="A129" s="1" cm="1">
        <f t="array" ref="A129">IF(OR(B129:H129=""), "", A128 + 1)</f>
        <v>44034</v>
      </c>
      <c r="B129">
        <f t="shared" si="208"/>
        <v>104925</v>
      </c>
      <c r="C129" s="11">
        <f t="shared" si="209"/>
        <v>2.0177884615384615E-2</v>
      </c>
      <c r="D129" s="2">
        <f t="shared" si="210"/>
        <v>6.4555116448605787E-3</v>
      </c>
      <c r="E129" s="18">
        <f t="shared" si="211"/>
        <v>-0.31079985695245943</v>
      </c>
      <c r="F129">
        <f t="shared" si="207"/>
        <v>673</v>
      </c>
      <c r="G129">
        <v>4801</v>
      </c>
      <c r="H129">
        <f t="shared" si="154"/>
        <v>13</v>
      </c>
      <c r="I129">
        <v>1058494</v>
      </c>
      <c r="J129">
        <f t="shared" si="121"/>
        <v>13795</v>
      </c>
      <c r="K129" s="2">
        <f t="shared" si="122"/>
        <v>1.3204760414243788E-2</v>
      </c>
      <c r="L129" s="2">
        <f t="shared" si="189"/>
        <v>4.8785791953606376E-2</v>
      </c>
      <c r="W129">
        <v>100124</v>
      </c>
    </row>
    <row r="130" spans="1:23" x14ac:dyDescent="0.3">
      <c r="A130" s="1" cm="1">
        <f t="array" ref="A130">IF(OR(B130:H130=""), "", A129 + 1)</f>
        <v>44035</v>
      </c>
      <c r="B130">
        <f t="shared" si="208"/>
        <v>105605</v>
      </c>
      <c r="C130" s="11">
        <f t="shared" si="209"/>
        <v>2.0308653846153848E-2</v>
      </c>
      <c r="D130" s="2">
        <f t="shared" si="210"/>
        <v>6.4808196330712331E-3</v>
      </c>
      <c r="E130" s="18">
        <f t="shared" si="211"/>
        <v>-0.3474638158601665</v>
      </c>
      <c r="F130">
        <f t="shared" si="207"/>
        <v>680</v>
      </c>
      <c r="G130">
        <v>4810</v>
      </c>
      <c r="H130">
        <f t="shared" si="154"/>
        <v>9</v>
      </c>
      <c r="I130">
        <v>1073762</v>
      </c>
      <c r="J130">
        <f t="shared" si="121"/>
        <v>15268</v>
      </c>
      <c r="K130" s="2">
        <f t="shared" si="122"/>
        <v>1.4424266930185725E-2</v>
      </c>
      <c r="L130" s="2">
        <f t="shared" si="189"/>
        <v>4.4537594969871627E-2</v>
      </c>
      <c r="W130">
        <v>100795</v>
      </c>
    </row>
    <row r="131" spans="1:23" x14ac:dyDescent="0.3">
      <c r="A131" s="1" cm="1">
        <f t="array" ref="A131">IF(OR(B131:H131=""), "", A130 + 1)</f>
        <v>44036</v>
      </c>
      <c r="B131">
        <f t="shared" si="208"/>
        <v>106233</v>
      </c>
      <c r="C131" s="11">
        <f t="shared" si="209"/>
        <v>2.0429423076923078E-2</v>
      </c>
      <c r="D131" s="2">
        <f t="shared" si="210"/>
        <v>5.9466881302967511E-3</v>
      </c>
      <c r="E131" s="18">
        <f t="shared" si="211"/>
        <v>-0.46229360789926655</v>
      </c>
      <c r="F131">
        <f t="shared" si="207"/>
        <v>628</v>
      </c>
      <c r="G131">
        <v>4822</v>
      </c>
      <c r="H131">
        <f t="shared" si="154"/>
        <v>12</v>
      </c>
      <c r="I131">
        <v>1092275</v>
      </c>
      <c r="J131">
        <f t="shared" si="121"/>
        <v>18513</v>
      </c>
      <c r="K131" s="2">
        <f t="shared" si="122"/>
        <v>1.7241250854472367E-2</v>
      </c>
      <c r="L131" s="2">
        <f t="shared" si="189"/>
        <v>3.3922108788418948E-2</v>
      </c>
      <c r="W131">
        <v>101411</v>
      </c>
    </row>
    <row r="132" spans="1:23" x14ac:dyDescent="0.3">
      <c r="A132" s="1" cm="1">
        <f t="array" ref="A132">IF(OR(B132:H132=""), "", A131 + 1)</f>
        <v>44037</v>
      </c>
      <c r="B132">
        <f t="shared" si="208"/>
        <v>106784</v>
      </c>
      <c r="C132" s="11">
        <f t="shared" si="209"/>
        <v>2.0535384615384615E-2</v>
      </c>
      <c r="D132" s="2">
        <f t="shared" si="210"/>
        <v>5.186712226897372E-3</v>
      </c>
      <c r="E132" s="18">
        <f t="shared" si="211"/>
        <v>-0.40922076786252093</v>
      </c>
      <c r="F132">
        <f t="shared" si="207"/>
        <v>551</v>
      </c>
      <c r="G132">
        <v>4829</v>
      </c>
      <c r="H132">
        <f t="shared" si="154"/>
        <v>7</v>
      </c>
      <c r="I132">
        <v>1106811</v>
      </c>
      <c r="J132">
        <f t="shared" si="121"/>
        <v>14536</v>
      </c>
      <c r="K132" s="2">
        <f t="shared" si="122"/>
        <v>1.3308003936737478E-2</v>
      </c>
      <c r="L132" s="2">
        <f t="shared" si="189"/>
        <v>3.790588882773803E-2</v>
      </c>
      <c r="W132">
        <v>101955</v>
      </c>
    </row>
    <row r="133" spans="1:23" x14ac:dyDescent="0.3">
      <c r="A133" s="1" cm="1">
        <f t="array" ref="A133">IF(OR(B133:H133=""), "", A132 + 1)</f>
        <v>44038</v>
      </c>
      <c r="B133">
        <f t="shared" si="208"/>
        <v>107413</v>
      </c>
      <c r="C133" s="11">
        <f t="shared" si="209"/>
        <v>2.0656346153846154E-2</v>
      </c>
      <c r="D133" s="2">
        <f t="shared" si="210"/>
        <v>5.8903955648785811E-3</v>
      </c>
      <c r="E133" s="18">
        <f t="shared" si="211"/>
        <v>-0.43422128096100665</v>
      </c>
      <c r="F133">
        <f t="shared" si="207"/>
        <v>629</v>
      </c>
      <c r="G133">
        <v>4830</v>
      </c>
      <c r="H133">
        <f t="shared" si="154"/>
        <v>1</v>
      </c>
      <c r="I133">
        <v>1124530</v>
      </c>
      <c r="J133">
        <f t="shared" ref="J133:J230" si="212">I133 - I132</f>
        <v>17719</v>
      </c>
      <c r="K133" s="2">
        <f t="shared" ref="K133:K230" si="213">I133/I132 - 1</f>
        <v>1.6009056650141629E-2</v>
      </c>
      <c r="L133" s="2">
        <f t="shared" ref="L133:L230" si="214">(B133 - B132)/(I133 - I132)</f>
        <v>3.5498617303459566E-2</v>
      </c>
      <c r="W133">
        <v>102583</v>
      </c>
    </row>
    <row r="134" spans="1:23" x14ac:dyDescent="0.3">
      <c r="A134" s="1" cm="1">
        <f t="array" ref="A134">IF(OR(B134:H134=""), "", A133 + 1)</f>
        <v>44039</v>
      </c>
      <c r="B134">
        <f t="shared" si="208"/>
        <v>107850</v>
      </c>
      <c r="C134" s="11">
        <f t="shared" si="209"/>
        <v>2.0740384615384615E-2</v>
      </c>
      <c r="D134" s="2">
        <f t="shared" si="210"/>
        <v>4.0684088518150308E-3</v>
      </c>
      <c r="E134" s="18">
        <f t="shared" si="211"/>
        <v>-0.40686125273061979</v>
      </c>
      <c r="F134">
        <f t="shared" si="207"/>
        <v>437</v>
      </c>
      <c r="G134">
        <v>4842</v>
      </c>
      <c r="H134">
        <f t="shared" si="154"/>
        <v>12</v>
      </c>
      <c r="I134">
        <v>1136205</v>
      </c>
      <c r="J134">
        <f t="shared" si="212"/>
        <v>11675</v>
      </c>
      <c r="K134" s="2">
        <f t="shared" si="213"/>
        <v>1.0382115194792485E-2</v>
      </c>
      <c r="L134" s="2">
        <f t="shared" si="214"/>
        <v>3.7430406852248396E-2</v>
      </c>
      <c r="W134">
        <v>103008</v>
      </c>
    </row>
    <row r="135" spans="1:23" x14ac:dyDescent="0.3">
      <c r="A135" s="1" cm="1">
        <f t="array" ref="A135">IF(OR(B135:H135=""), "", A134 + 1)</f>
        <v>44040</v>
      </c>
      <c r="B135">
        <f t="shared" si="208"/>
        <v>108298</v>
      </c>
      <c r="C135" s="11">
        <f t="shared" si="209"/>
        <v>2.0826538461538462E-2</v>
      </c>
      <c r="D135" s="2">
        <f t="shared" si="210"/>
        <v>4.1539174779787746E-3</v>
      </c>
      <c r="E135" s="18">
        <f t="shared" si="211"/>
        <v>-0.36573746291437076</v>
      </c>
      <c r="F135">
        <f t="shared" si="207"/>
        <v>448</v>
      </c>
      <c r="G135">
        <v>4857</v>
      </c>
      <c r="H135">
        <f t="shared" si="154"/>
        <v>15</v>
      </c>
      <c r="I135">
        <v>1147161</v>
      </c>
      <c r="J135">
        <f t="shared" si="212"/>
        <v>10956</v>
      </c>
      <c r="K135" s="2">
        <f t="shared" si="213"/>
        <v>9.6426261106050681E-3</v>
      </c>
      <c r="L135" s="2">
        <f t="shared" si="214"/>
        <v>4.089083607155896E-2</v>
      </c>
      <c r="W135">
        <v>103441</v>
      </c>
    </row>
    <row r="136" spans="1:23" x14ac:dyDescent="0.3">
      <c r="A136" s="1" cm="1">
        <f t="array" ref="A136">IF(OR(B136:H136=""), "", A135 + 1)</f>
        <v>44041</v>
      </c>
      <c r="B136">
        <f t="shared" si="208"/>
        <v>108865</v>
      </c>
      <c r="C136" s="11">
        <f t="shared" si="209"/>
        <v>2.0935576923076925E-2</v>
      </c>
      <c r="D136" s="2">
        <f t="shared" si="210"/>
        <v>5.2355537498383065E-3</v>
      </c>
      <c r="E136" s="18">
        <f t="shared" si="211"/>
        <v>-0.29787139128097623</v>
      </c>
      <c r="F136">
        <f t="shared" si="207"/>
        <v>567</v>
      </c>
      <c r="G136">
        <v>4864</v>
      </c>
      <c r="H136">
        <f t="shared" si="154"/>
        <v>7</v>
      </c>
      <c r="I136">
        <v>1159086</v>
      </c>
      <c r="J136">
        <f t="shared" si="212"/>
        <v>11925</v>
      </c>
      <c r="K136" s="2">
        <f t="shared" si="213"/>
        <v>1.0395227871240476E-2</v>
      </c>
      <c r="L136" s="2">
        <f t="shared" si="214"/>
        <v>4.7547169811320754E-2</v>
      </c>
      <c r="W136">
        <v>104001</v>
      </c>
    </row>
    <row r="137" spans="1:23" x14ac:dyDescent="0.3">
      <c r="A137" s="1" cm="1">
        <f t="array" ref="A137">IF(OR(B137:H137=""), "", A136 + 1)</f>
        <v>44042</v>
      </c>
      <c r="B137">
        <f t="shared" si="208"/>
        <v>109559</v>
      </c>
      <c r="C137" s="11">
        <f t="shared" si="209"/>
        <v>2.1069038461538462E-2</v>
      </c>
      <c r="D137" s="2">
        <f t="shared" si="210"/>
        <v>6.3748679557249499E-3</v>
      </c>
      <c r="E137" s="18">
        <f t="shared" si="211"/>
        <v>-0.33242770442422204</v>
      </c>
      <c r="F137">
        <f t="shared" si="207"/>
        <v>694</v>
      </c>
      <c r="G137">
        <v>4872</v>
      </c>
      <c r="H137">
        <f t="shared" si="154"/>
        <v>8</v>
      </c>
      <c r="I137">
        <v>1174972</v>
      </c>
      <c r="J137">
        <f t="shared" si="212"/>
        <v>15886</v>
      </c>
      <c r="K137" s="2">
        <f t="shared" si="213"/>
        <v>1.3705626674811011E-2</v>
      </c>
      <c r="L137" s="2">
        <f t="shared" si="214"/>
        <v>4.3686264635528139E-2</v>
      </c>
      <c r="W137">
        <v>104687</v>
      </c>
    </row>
    <row r="138" spans="1:23" x14ac:dyDescent="0.3">
      <c r="A138" s="1" cm="1">
        <f t="array" ref="A138">IF(OR(B138:H138=""), "", A137 + 1)</f>
        <v>44043</v>
      </c>
      <c r="B138">
        <f t="shared" si="208"/>
        <v>110379</v>
      </c>
      <c r="C138" s="11">
        <f t="shared" si="209"/>
        <v>2.1226730769230769E-2</v>
      </c>
      <c r="D138" s="2">
        <f t="shared" si="210"/>
        <v>7.4845517027355424E-3</v>
      </c>
      <c r="E138" s="18">
        <f t="shared" si="211"/>
        <v>-0.34055315943089676</v>
      </c>
      <c r="F138">
        <f t="shared" si="207"/>
        <v>820</v>
      </c>
      <c r="G138">
        <v>4886</v>
      </c>
      <c r="H138">
        <f t="shared" si="154"/>
        <v>14</v>
      </c>
      <c r="I138">
        <v>1194236</v>
      </c>
      <c r="J138">
        <f t="shared" si="212"/>
        <v>19264</v>
      </c>
      <c r="K138" s="2">
        <f t="shared" si="213"/>
        <v>1.6395284313158065E-2</v>
      </c>
      <c r="L138" s="2">
        <f t="shared" si="214"/>
        <v>4.2566445182724254E-2</v>
      </c>
      <c r="W138">
        <v>105493</v>
      </c>
    </row>
    <row r="139" spans="1:23" x14ac:dyDescent="0.3">
      <c r="A139" s="1" cm="1">
        <f t="array" ref="A139">IF(OR(B139:H139=""), "", A138 + 1)</f>
        <v>44044</v>
      </c>
      <c r="B139">
        <f t="shared" si="208"/>
        <v>111019</v>
      </c>
      <c r="C139" s="11">
        <f t="shared" si="209"/>
        <v>2.1349807692307692E-2</v>
      </c>
      <c r="D139" s="2">
        <f t="shared" si="210"/>
        <v>5.7982043685846918E-3</v>
      </c>
      <c r="E139" s="18">
        <f t="shared" si="211"/>
        <v>-0.35490698253745978</v>
      </c>
      <c r="F139">
        <f t="shared" si="207"/>
        <v>640</v>
      </c>
      <c r="G139">
        <v>4888</v>
      </c>
      <c r="H139">
        <f t="shared" si="154"/>
        <v>2</v>
      </c>
      <c r="I139">
        <v>1209914</v>
      </c>
      <c r="J139">
        <f t="shared" si="212"/>
        <v>15678</v>
      </c>
      <c r="K139" s="2">
        <f t="shared" si="213"/>
        <v>1.31280584407103E-2</v>
      </c>
      <c r="L139" s="2">
        <f t="shared" si="214"/>
        <v>4.0821533358846793E-2</v>
      </c>
      <c r="W139">
        <v>106131</v>
      </c>
    </row>
    <row r="140" spans="1:23" x14ac:dyDescent="0.3">
      <c r="A140" s="1" cm="1">
        <f t="array" ref="A140">IF(OR(B140:H140=""), "", A139 + 1)</f>
        <v>44045</v>
      </c>
      <c r="B140">
        <f t="shared" si="208"/>
        <v>111607</v>
      </c>
      <c r="C140" s="11">
        <f t="shared" si="209"/>
        <v>2.1462884615384616E-2</v>
      </c>
      <c r="D140" s="2">
        <f t="shared" si="210"/>
        <v>5.2963907078968919E-3</v>
      </c>
      <c r="E140" s="18">
        <f t="shared" si="211"/>
        <v>-0.3859165537036483</v>
      </c>
      <c r="F140">
        <f t="shared" si="207"/>
        <v>588</v>
      </c>
      <c r="G140">
        <v>4894</v>
      </c>
      <c r="H140">
        <f t="shared" si="154"/>
        <v>6</v>
      </c>
      <c r="I140">
        <v>1225497</v>
      </c>
      <c r="J140">
        <f t="shared" si="212"/>
        <v>15583</v>
      </c>
      <c r="K140" s="2">
        <f t="shared" si="213"/>
        <v>1.2879427794041609E-2</v>
      </c>
      <c r="L140" s="2">
        <f t="shared" si="214"/>
        <v>3.7733427452993649E-2</v>
      </c>
      <c r="W140">
        <v>106713</v>
      </c>
    </row>
    <row r="141" spans="1:23" x14ac:dyDescent="0.3">
      <c r="A141" s="1" cm="1">
        <f t="array" ref="A141">IF(OR(B141:H141=""), "", A140 + 1)</f>
        <v>44046</v>
      </c>
      <c r="B141">
        <f t="shared" si="208"/>
        <v>112144</v>
      </c>
      <c r="C141" s="11">
        <f t="shared" si="209"/>
        <v>2.1566153846153846E-2</v>
      </c>
      <c r="D141" s="2">
        <f t="shared" si="210"/>
        <v>4.8115261587535763E-3</v>
      </c>
      <c r="E141" s="18">
        <f t="shared" si="211"/>
        <v>-0.27932033197211176</v>
      </c>
      <c r="F141">
        <f t="shared" si="207"/>
        <v>537</v>
      </c>
      <c r="G141">
        <v>4897</v>
      </c>
      <c r="H141">
        <f t="shared" si="154"/>
        <v>3</v>
      </c>
      <c r="I141">
        <v>1236715</v>
      </c>
      <c r="J141">
        <f t="shared" si="212"/>
        <v>11218</v>
      </c>
      <c r="K141" s="2">
        <f t="shared" si="213"/>
        <v>9.1538371778960848E-3</v>
      </c>
      <c r="L141" s="2">
        <f t="shared" si="214"/>
        <v>4.7869495453735068E-2</v>
      </c>
      <c r="W141">
        <v>107247</v>
      </c>
    </row>
    <row r="142" spans="1:23" x14ac:dyDescent="0.3">
      <c r="A142" s="1" cm="1">
        <f t="array" ref="A142">IF(OR(B142:H142=""), "", A141 + 1)</f>
        <v>44047</v>
      </c>
      <c r="B142">
        <f t="shared" si="208"/>
        <v>112646</v>
      </c>
      <c r="C142" s="11">
        <f t="shared" si="209"/>
        <v>2.1662692307692306E-2</v>
      </c>
      <c r="D142" s="2">
        <f t="shared" si="210"/>
        <v>4.4763875017834742E-3</v>
      </c>
      <c r="E142" s="18">
        <f t="shared" si="211"/>
        <v>-0.49313838311110625</v>
      </c>
      <c r="F142">
        <f t="shared" si="207"/>
        <v>502</v>
      </c>
      <c r="G142">
        <v>4902</v>
      </c>
      <c r="H142">
        <f t="shared" si="154"/>
        <v>5</v>
      </c>
      <c r="I142">
        <v>1253947</v>
      </c>
      <c r="J142">
        <f t="shared" si="212"/>
        <v>17232</v>
      </c>
      <c r="K142" s="2">
        <f t="shared" si="213"/>
        <v>1.3933687227857705E-2</v>
      </c>
      <c r="L142" s="2">
        <f t="shared" si="214"/>
        <v>2.9131847725162488E-2</v>
      </c>
      <c r="W142">
        <v>107744</v>
      </c>
    </row>
    <row r="143" spans="1:23" x14ac:dyDescent="0.3">
      <c r="A143" s="1" cm="1">
        <f t="array" ref="A143">IF(OR(B143:H143=""), "", A142 + 1)</f>
        <v>44048</v>
      </c>
      <c r="B143">
        <f t="shared" si="208"/>
        <v>113334</v>
      </c>
      <c r="C143" s="11">
        <f t="shared" si="209"/>
        <v>2.1794999999999998E-2</v>
      </c>
      <c r="D143" s="2">
        <f t="shared" si="210"/>
        <v>6.1076292100918916E-3</v>
      </c>
      <c r="E143" s="18">
        <f t="shared" si="211"/>
        <v>-0.30410148279894711</v>
      </c>
      <c r="F143">
        <f t="shared" si="207"/>
        <v>688</v>
      </c>
      <c r="G143">
        <v>4909</v>
      </c>
      <c r="H143">
        <f t="shared" si="154"/>
        <v>7</v>
      </c>
      <c r="I143">
        <v>1269373</v>
      </c>
      <c r="J143">
        <f t="shared" si="212"/>
        <v>15426</v>
      </c>
      <c r="K143" s="2">
        <f t="shared" si="213"/>
        <v>1.2301955345800142E-2</v>
      </c>
      <c r="L143" s="2">
        <f t="shared" si="214"/>
        <v>4.460002593024763E-2</v>
      </c>
      <c r="W143">
        <v>108425</v>
      </c>
    </row>
    <row r="144" spans="1:23" x14ac:dyDescent="0.3">
      <c r="A144" s="1" cm="1">
        <f t="array" ref="A144">IF(OR(B144:H144=""), "", A143 + 1)</f>
        <v>44049</v>
      </c>
      <c r="B144">
        <f t="shared" si="208"/>
        <v>114062</v>
      </c>
      <c r="C144" s="11">
        <f t="shared" si="209"/>
        <v>2.1935E-2</v>
      </c>
      <c r="D144" s="2">
        <f t="shared" si="210"/>
        <v>6.4234916265197839E-3</v>
      </c>
      <c r="E144" s="18">
        <f t="shared" ref="E144:E230" si="215">IFERROR(LOG(D144/K144), FALSE)</f>
        <v>-0.22182707983335845</v>
      </c>
      <c r="F144">
        <f t="shared" si="207"/>
        <v>728</v>
      </c>
      <c r="G144">
        <v>4912</v>
      </c>
      <c r="H144">
        <f t="shared" si="154"/>
        <v>3</v>
      </c>
      <c r="I144">
        <v>1282962</v>
      </c>
      <c r="J144">
        <f t="shared" si="212"/>
        <v>13589</v>
      </c>
      <c r="K144" s="2">
        <f t="shared" si="213"/>
        <v>1.0705285207736503E-2</v>
      </c>
      <c r="L144" s="2">
        <f t="shared" si="214"/>
        <v>5.3572742659504013E-2</v>
      </c>
      <c r="W144">
        <v>109150</v>
      </c>
    </row>
    <row r="145" spans="1:23" x14ac:dyDescent="0.3">
      <c r="A145" s="1" cm="1">
        <f t="array" ref="A145">IF(OR(B145:H145=""), "", A144 + 1)</f>
        <v>44050</v>
      </c>
      <c r="B145">
        <f t="shared" si="208"/>
        <v>114922</v>
      </c>
      <c r="C145" s="11">
        <f t="shared" si="209"/>
        <v>2.2100384615384615E-2</v>
      </c>
      <c r="D145" s="2">
        <f t="shared" si="210"/>
        <v>7.5397590783958801E-3</v>
      </c>
      <c r="E145" s="18">
        <f t="shared" si="215"/>
        <v>-0.28042510841268664</v>
      </c>
      <c r="F145">
        <f t="shared" si="207"/>
        <v>860</v>
      </c>
      <c r="G145">
        <v>4920</v>
      </c>
      <c r="H145">
        <f t="shared" si="154"/>
        <v>8</v>
      </c>
      <c r="I145">
        <v>1301412</v>
      </c>
      <c r="J145">
        <f t="shared" si="212"/>
        <v>18450</v>
      </c>
      <c r="K145" s="2">
        <f t="shared" si="213"/>
        <v>1.4380784465946705E-2</v>
      </c>
      <c r="L145" s="2">
        <f t="shared" si="214"/>
        <v>4.6612466124661245E-2</v>
      </c>
      <c r="W145">
        <v>110002</v>
      </c>
    </row>
    <row r="146" spans="1:23" x14ac:dyDescent="0.3">
      <c r="A146" s="1" cm="1">
        <f t="array" ref="A146">IF(OR(B146:H146=""), "", A145 + 1)</f>
        <v>44051</v>
      </c>
      <c r="B146">
        <f t="shared" si="208"/>
        <v>115789</v>
      </c>
      <c r="C146" s="11">
        <f t="shared" si="209"/>
        <v>2.2267115384615385E-2</v>
      </c>
      <c r="D146" s="2">
        <f t="shared" si="210"/>
        <v>7.5442474025861905E-3</v>
      </c>
      <c r="E146" s="18">
        <f t="shared" si="215"/>
        <v>-0.2736124129865421</v>
      </c>
      <c r="F146">
        <f t="shared" si="207"/>
        <v>867</v>
      </c>
      <c r="G146">
        <v>4924</v>
      </c>
      <c r="H146">
        <f t="shared" si="154"/>
        <v>4</v>
      </c>
      <c r="I146">
        <v>1319847</v>
      </c>
      <c r="J146">
        <f t="shared" si="212"/>
        <v>18435</v>
      </c>
      <c r="K146" s="2">
        <f t="shared" si="213"/>
        <v>1.4165383445058133E-2</v>
      </c>
      <c r="L146" s="2">
        <f t="shared" si="214"/>
        <v>4.7030105777054514E-2</v>
      </c>
      <c r="W146">
        <v>110865</v>
      </c>
    </row>
    <row r="147" spans="1:23" x14ac:dyDescent="0.3">
      <c r="A147" s="1" cm="1">
        <f t="array" ref="A147">IF(OR(B147:H147=""), "", A146 + 1)</f>
        <v>44052</v>
      </c>
      <c r="B147">
        <f t="shared" si="208"/>
        <v>116375</v>
      </c>
      <c r="C147" s="11">
        <f t="shared" si="209"/>
        <v>2.2379807692307692E-2</v>
      </c>
      <c r="D147" s="2">
        <f t="shared" si="210"/>
        <v>5.0609297947128429E-3</v>
      </c>
      <c r="E147" s="18">
        <f t="shared" si="215"/>
        <v>-0.39660816478229216</v>
      </c>
      <c r="F147">
        <f t="shared" si="207"/>
        <v>586</v>
      </c>
      <c r="G147">
        <v>4928</v>
      </c>
      <c r="H147">
        <f t="shared" si="154"/>
        <v>4</v>
      </c>
      <c r="I147">
        <v>1336495</v>
      </c>
      <c r="J147">
        <f t="shared" si="212"/>
        <v>16648</v>
      </c>
      <c r="K147" s="2">
        <f t="shared" si="213"/>
        <v>1.2613583241087856E-2</v>
      </c>
      <c r="L147" s="2">
        <f t="shared" si="214"/>
        <v>3.5199423354156656E-2</v>
      </c>
      <c r="W147">
        <v>111447</v>
      </c>
    </row>
    <row r="148" spans="1:23" x14ac:dyDescent="0.3">
      <c r="A148" s="1" cm="1">
        <f t="array" ref="A148">IF(OR(B148:H148=""), "", A147 + 1)</f>
        <v>44053</v>
      </c>
      <c r="B148">
        <f t="shared" si="208"/>
        <v>116876</v>
      </c>
      <c r="C148" s="11">
        <f t="shared" si="209"/>
        <v>2.2476153846153847E-2</v>
      </c>
      <c r="D148" s="2">
        <f t="shared" si="210"/>
        <v>4.3050483351234625E-3</v>
      </c>
      <c r="E148" s="18">
        <f t="shared" si="215"/>
        <v>-0.41785076307039609</v>
      </c>
      <c r="F148">
        <f t="shared" si="207"/>
        <v>501</v>
      </c>
      <c r="G148">
        <v>4928</v>
      </c>
      <c r="H148">
        <f t="shared" si="154"/>
        <v>0</v>
      </c>
      <c r="I148">
        <v>1351554</v>
      </c>
      <c r="J148">
        <f t="shared" si="212"/>
        <v>15059</v>
      </c>
      <c r="K148" s="2">
        <f t="shared" si="213"/>
        <v>1.1267531865065017E-2</v>
      </c>
      <c r="L148" s="2">
        <f t="shared" si="214"/>
        <v>3.3269141377249484E-2</v>
      </c>
      <c r="W148">
        <v>111948</v>
      </c>
    </row>
    <row r="149" spans="1:23" x14ac:dyDescent="0.3">
      <c r="A149" s="1" cm="1">
        <f t="array" ref="A149">IF(OR(B149:H149=""), "", A148 + 1)</f>
        <v>44054</v>
      </c>
      <c r="B149">
        <f t="shared" si="208"/>
        <v>117417</v>
      </c>
      <c r="C149" s="11">
        <f t="shared" si="209"/>
        <v>2.2580192307692308E-2</v>
      </c>
      <c r="D149" s="2">
        <f t="shared" si="210"/>
        <v>4.628837400321606E-3</v>
      </c>
      <c r="E149" s="18">
        <f t="shared" si="215"/>
        <v>-0.38180792477455122</v>
      </c>
      <c r="F149">
        <f t="shared" si="207"/>
        <v>541</v>
      </c>
      <c r="G149">
        <v>4933</v>
      </c>
      <c r="H149">
        <f t="shared" ref="H149:H276" si="216">G149-G148</f>
        <v>5</v>
      </c>
      <c r="I149">
        <v>1366624</v>
      </c>
      <c r="J149">
        <f t="shared" si="212"/>
        <v>15070</v>
      </c>
      <c r="K149" s="2">
        <f t="shared" si="213"/>
        <v>1.1150127926816022E-2</v>
      </c>
      <c r="L149" s="2">
        <f t="shared" si="214"/>
        <v>3.5899137358991376E-2</v>
      </c>
      <c r="W149">
        <v>112484</v>
      </c>
    </row>
    <row r="150" spans="1:23" x14ac:dyDescent="0.3">
      <c r="A150" s="1" cm="1">
        <f t="array" ref="A150">IF(OR(B150:H150=""), "", A149 + 1)</f>
        <v>44055</v>
      </c>
      <c r="B150">
        <f t="shared" si="208"/>
        <v>117978</v>
      </c>
      <c r="C150" s="11">
        <f t="shared" si="209"/>
        <v>2.2688076923076922E-2</v>
      </c>
      <c r="D150" s="2">
        <f t="shared" si="210"/>
        <v>4.7778430721274745E-3</v>
      </c>
      <c r="E150" s="18">
        <f t="shared" si="215"/>
        <v>-0.25021306474992216</v>
      </c>
      <c r="F150">
        <f t="shared" si="207"/>
        <v>561</v>
      </c>
      <c r="G150">
        <v>4934</v>
      </c>
      <c r="H150">
        <f t="shared" si="216"/>
        <v>1</v>
      </c>
      <c r="I150">
        <v>1378241</v>
      </c>
      <c r="J150">
        <f t="shared" si="212"/>
        <v>11617</v>
      </c>
      <c r="K150" s="2">
        <f t="shared" si="213"/>
        <v>8.5005092841923258E-3</v>
      </c>
      <c r="L150" s="2">
        <f t="shared" si="214"/>
        <v>4.8291297236808126E-2</v>
      </c>
      <c r="W150">
        <v>113044</v>
      </c>
    </row>
    <row r="151" spans="1:23" x14ac:dyDescent="0.3">
      <c r="A151" s="1" cm="1">
        <f t="array" ref="A151">IF(OR(B151:H151=""), "", A150 + 1)</f>
        <v>44056</v>
      </c>
      <c r="B151">
        <f t="shared" si="208"/>
        <v>118731</v>
      </c>
      <c r="C151" s="11">
        <f t="shared" si="209"/>
        <v>2.2832884615384616E-2</v>
      </c>
      <c r="D151" s="2">
        <f t="shared" si="210"/>
        <v>6.3825458983879368E-3</v>
      </c>
      <c r="E151" s="18">
        <f t="shared" si="215"/>
        <v>-0.17809338361963303</v>
      </c>
      <c r="F151">
        <f t="shared" si="207"/>
        <v>753</v>
      </c>
      <c r="G151">
        <v>4943</v>
      </c>
      <c r="H151">
        <f t="shared" si="216"/>
        <v>9</v>
      </c>
      <c r="I151">
        <v>1391497</v>
      </c>
      <c r="J151">
        <f t="shared" si="212"/>
        <v>13256</v>
      </c>
      <c r="K151" s="2">
        <f t="shared" si="213"/>
        <v>9.618056638860617E-3</v>
      </c>
      <c r="L151" s="2">
        <f t="shared" si="214"/>
        <v>5.6804465902232953E-2</v>
      </c>
      <c r="W151">
        <v>113788</v>
      </c>
    </row>
    <row r="152" spans="1:23" x14ac:dyDescent="0.3">
      <c r="A152" s="1" cm="1">
        <f t="array" ref="A152">IF(OR(B152:H152=""), "", A151 + 1)</f>
        <v>44057</v>
      </c>
      <c r="B152">
        <f t="shared" si="208"/>
        <v>119675</v>
      </c>
      <c r="C152" s="11">
        <f t="shared" si="209"/>
        <v>2.3014423076923078E-2</v>
      </c>
      <c r="D152" s="2">
        <f t="shared" si="210"/>
        <v>7.9507458035390499E-3</v>
      </c>
      <c r="E152" s="18">
        <f t="shared" si="215"/>
        <v>-0.22180011265399036</v>
      </c>
      <c r="F152">
        <f t="shared" si="207"/>
        <v>944</v>
      </c>
      <c r="G152">
        <v>4951</v>
      </c>
      <c r="H152">
        <f t="shared" si="216"/>
        <v>8</v>
      </c>
      <c r="I152">
        <v>1409934</v>
      </c>
      <c r="J152">
        <f t="shared" si="212"/>
        <v>18437</v>
      </c>
      <c r="K152" s="2">
        <f t="shared" si="213"/>
        <v>1.3249759072423428E-2</v>
      </c>
      <c r="L152" s="2">
        <f t="shared" si="214"/>
        <v>5.1201388512230842E-2</v>
      </c>
      <c r="W152">
        <v>114724</v>
      </c>
    </row>
    <row r="153" spans="1:23" x14ac:dyDescent="0.3">
      <c r="A153" s="1" cm="1">
        <f t="array" ref="A153">IF(OR(B153:H153=""), "", A152 + 1)</f>
        <v>44058</v>
      </c>
      <c r="B153">
        <f t="shared" si="208"/>
        <v>120297</v>
      </c>
      <c r="C153" s="11">
        <f t="shared" si="209"/>
        <v>2.3134038461538463E-2</v>
      </c>
      <c r="D153" s="2">
        <f t="shared" si="210"/>
        <v>5.1974096511384626E-3</v>
      </c>
      <c r="E153" s="18">
        <f t="shared" si="215"/>
        <v>-0.40536696973764236</v>
      </c>
      <c r="F153">
        <f t="shared" si="207"/>
        <v>622</v>
      </c>
      <c r="G153">
        <v>4953</v>
      </c>
      <c r="H153">
        <f t="shared" si="216"/>
        <v>2</v>
      </c>
      <c r="I153">
        <v>1428570</v>
      </c>
      <c r="J153">
        <f t="shared" si="212"/>
        <v>18636</v>
      </c>
      <c r="K153" s="2">
        <f t="shared" si="213"/>
        <v>1.3217639974637097E-2</v>
      </c>
      <c r="L153" s="2">
        <f t="shared" si="214"/>
        <v>3.3376261000214638E-2</v>
      </c>
      <c r="W153">
        <v>115344</v>
      </c>
    </row>
    <row r="154" spans="1:23" x14ac:dyDescent="0.3">
      <c r="A154" s="1" cm="1">
        <f t="array" ref="A154">IF(OR(B154:H154=""), "", A153 + 1)</f>
        <v>44059</v>
      </c>
      <c r="B154">
        <f t="shared" si="208"/>
        <v>120922</v>
      </c>
      <c r="C154" s="11">
        <f t="shared" si="209"/>
        <v>2.325423076923077E-2</v>
      </c>
      <c r="D154" s="2">
        <f t="shared" si="210"/>
        <v>5.1954745338620434E-3</v>
      </c>
      <c r="E154" s="18">
        <f t="shared" si="215"/>
        <v>-0.2867486503373875</v>
      </c>
      <c r="F154">
        <f t="shared" si="207"/>
        <v>625</v>
      </c>
      <c r="G154">
        <v>4962</v>
      </c>
      <c r="H154">
        <f t="shared" si="216"/>
        <v>9</v>
      </c>
      <c r="I154">
        <v>1442934</v>
      </c>
      <c r="J154">
        <f t="shared" si="212"/>
        <v>14364</v>
      </c>
      <c r="K154" s="2">
        <f t="shared" si="213"/>
        <v>1.0054810054810126E-2</v>
      </c>
      <c r="L154" s="2">
        <f t="shared" si="214"/>
        <v>4.3511556669451404E-2</v>
      </c>
      <c r="W154">
        <v>115960</v>
      </c>
    </row>
    <row r="155" spans="1:23" x14ac:dyDescent="0.3">
      <c r="A155" s="1" cm="1">
        <f t="array" ref="A155">IF(OR(B155:H155=""), "", A154 + 1)</f>
        <v>44060</v>
      </c>
      <c r="B155">
        <f t="shared" si="208"/>
        <v>121584</v>
      </c>
      <c r="C155" s="11">
        <f t="shared" si="209"/>
        <v>2.3381538461538461E-2</v>
      </c>
      <c r="D155" s="2">
        <f t="shared" si="210"/>
        <v>5.4746034633896823E-3</v>
      </c>
      <c r="E155" s="18">
        <f t="shared" si="215"/>
        <v>-0.33749985541366379</v>
      </c>
      <c r="F155">
        <f t="shared" si="207"/>
        <v>662</v>
      </c>
      <c r="G155">
        <v>4964</v>
      </c>
      <c r="H155">
        <f t="shared" si="216"/>
        <v>2</v>
      </c>
      <c r="I155">
        <v>1460117</v>
      </c>
      <c r="J155">
        <f t="shared" si="212"/>
        <v>17183</v>
      </c>
      <c r="K155" s="2">
        <f t="shared" si="213"/>
        <v>1.1908375573657537E-2</v>
      </c>
      <c r="L155" s="2">
        <f t="shared" si="214"/>
        <v>3.8526450561601581E-2</v>
      </c>
      <c r="W155">
        <v>116620</v>
      </c>
    </row>
    <row r="156" spans="1:23" x14ac:dyDescent="0.3">
      <c r="A156" s="1" cm="1">
        <f t="array" ref="A156">IF(OR(B156:H156=""), "", A155 + 1)</f>
        <v>44061</v>
      </c>
      <c r="B156">
        <f t="shared" si="208"/>
        <v>122144</v>
      </c>
      <c r="C156" s="11">
        <f t="shared" si="209"/>
        <v>2.3489230769230769E-2</v>
      </c>
      <c r="D156" s="2">
        <f t="shared" si="210"/>
        <v>4.6058691933148488E-3</v>
      </c>
      <c r="E156" s="18">
        <f t="shared" si="215"/>
        <v>-0.32763678018404513</v>
      </c>
      <c r="F156">
        <f t="shared" si="207"/>
        <v>560</v>
      </c>
      <c r="G156">
        <v>4973</v>
      </c>
      <c r="H156">
        <f t="shared" si="216"/>
        <v>9</v>
      </c>
      <c r="I156">
        <v>1474417</v>
      </c>
      <c r="J156">
        <f t="shared" si="212"/>
        <v>14300</v>
      </c>
      <c r="K156" s="2">
        <f t="shared" si="213"/>
        <v>9.7937357074808773E-3</v>
      </c>
      <c r="L156" s="2">
        <f t="shared" si="214"/>
        <v>3.9160839160839164E-2</v>
      </c>
      <c r="W156">
        <v>117171</v>
      </c>
    </row>
    <row r="157" spans="1:23" x14ac:dyDescent="0.3">
      <c r="A157" s="1" cm="1">
        <f t="array" ref="A157">IF(OR(B157:H157=""), "", A156 + 1)</f>
        <v>44062</v>
      </c>
      <c r="B157">
        <f t="shared" si="208"/>
        <v>122996</v>
      </c>
      <c r="C157" s="11">
        <f t="shared" si="209"/>
        <v>2.3653076923076922E-2</v>
      </c>
      <c r="D157" s="2">
        <f t="shared" si="210"/>
        <v>6.9753733298401066E-3</v>
      </c>
      <c r="E157" s="18">
        <f t="shared" si="215"/>
        <v>-0.12598855342833973</v>
      </c>
      <c r="F157">
        <f t="shared" si="207"/>
        <v>852</v>
      </c>
      <c r="G157">
        <v>4984</v>
      </c>
      <c r="H157">
        <f t="shared" si="216"/>
        <v>11</v>
      </c>
      <c r="I157">
        <v>1488163</v>
      </c>
      <c r="J157">
        <f t="shared" si="212"/>
        <v>13746</v>
      </c>
      <c r="K157" s="2">
        <f t="shared" si="213"/>
        <v>9.3230069919161274E-3</v>
      </c>
      <c r="L157" s="2">
        <f t="shared" si="214"/>
        <v>6.1981667394151028E-2</v>
      </c>
      <c r="W157">
        <v>118012</v>
      </c>
    </row>
    <row r="158" spans="1:23" x14ac:dyDescent="0.3">
      <c r="A158" s="1" cm="1">
        <f t="array" ref="A158">IF(OR(B158:H158=""), "", A157 + 1)</f>
        <v>44063</v>
      </c>
      <c r="B158">
        <f t="shared" si="208"/>
        <v>123745</v>
      </c>
      <c r="C158" s="11">
        <f t="shared" si="209"/>
        <v>2.3797115384615385E-2</v>
      </c>
      <c r="D158" s="2">
        <f t="shared" si="210"/>
        <v>6.0896289310221619E-3</v>
      </c>
      <c r="E158" s="18">
        <f t="shared" si="215"/>
        <v>-0.28762928964828138</v>
      </c>
      <c r="F158">
        <f t="shared" si="207"/>
        <v>749</v>
      </c>
      <c r="G158">
        <v>4988</v>
      </c>
      <c r="H158">
        <f t="shared" si="216"/>
        <v>4</v>
      </c>
      <c r="I158">
        <v>1505737</v>
      </c>
      <c r="J158">
        <f t="shared" si="212"/>
        <v>17574</v>
      </c>
      <c r="K158" s="2">
        <f t="shared" si="213"/>
        <v>1.1809190256712565E-2</v>
      </c>
      <c r="L158" s="2">
        <f t="shared" si="214"/>
        <v>4.261977921930124E-2</v>
      </c>
      <c r="W158">
        <v>118757</v>
      </c>
    </row>
    <row r="159" spans="1:23" x14ac:dyDescent="0.3">
      <c r="A159" s="1" cm="1">
        <f t="array" ref="A159">IF(OR(B159:H159=""), "", A158 + 1)</f>
        <v>44064</v>
      </c>
      <c r="B159">
        <f t="shared" si="208"/>
        <v>124641</v>
      </c>
      <c r="C159" s="11">
        <f t="shared" si="209"/>
        <v>2.3969423076923076E-2</v>
      </c>
      <c r="D159" s="2">
        <f t="shared" si="210"/>
        <v>7.2406965938016654E-3</v>
      </c>
      <c r="E159" s="18">
        <f t="shared" si="215"/>
        <v>-0.23380089908929769</v>
      </c>
      <c r="F159">
        <f t="shared" si="207"/>
        <v>896</v>
      </c>
      <c r="G159">
        <v>4997</v>
      </c>
      <c r="H159">
        <f t="shared" si="216"/>
        <v>9</v>
      </c>
      <c r="I159">
        <v>1524415</v>
      </c>
      <c r="J159">
        <f t="shared" si="212"/>
        <v>18678</v>
      </c>
      <c r="K159" s="2">
        <f t="shared" si="213"/>
        <v>1.2404556705453818E-2</v>
      </c>
      <c r="L159" s="2">
        <f t="shared" si="214"/>
        <v>4.7970874825998502E-2</v>
      </c>
      <c r="W159">
        <v>119644</v>
      </c>
    </row>
    <row r="160" spans="1:23" x14ac:dyDescent="0.3">
      <c r="A160" s="1" cm="1">
        <f t="array" ref="A160">IF(OR(B160:H160=""), "", A159 + 1)</f>
        <v>44065</v>
      </c>
      <c r="B160">
        <f t="shared" si="208"/>
        <v>125575</v>
      </c>
      <c r="C160" s="11">
        <f t="shared" si="209"/>
        <v>2.4149038461538461E-2</v>
      </c>
      <c r="D160" s="2">
        <f t="shared" si="210"/>
        <v>7.4935213934419487E-3</v>
      </c>
      <c r="E160" s="18">
        <f t="shared" si="215"/>
        <v>-0.22462900584351461</v>
      </c>
      <c r="F160">
        <f t="shared" si="207"/>
        <v>934</v>
      </c>
      <c r="G160">
        <v>5008</v>
      </c>
      <c r="H160">
        <f t="shared" si="216"/>
        <v>11</v>
      </c>
      <c r="I160">
        <v>1543576</v>
      </c>
      <c r="J160">
        <f t="shared" si="212"/>
        <v>19161</v>
      </c>
      <c r="K160" s="2">
        <f t="shared" si="213"/>
        <v>1.256941187275129E-2</v>
      </c>
      <c r="L160" s="2">
        <f t="shared" si="214"/>
        <v>4.8744846302385056E-2</v>
      </c>
      <c r="W160">
        <v>120567</v>
      </c>
    </row>
    <row r="161" spans="1:23" x14ac:dyDescent="0.3">
      <c r="A161" s="1" cm="1">
        <f t="array" ref="A161">IF(OR(B161:H161=""), "", A160 + 1)</f>
        <v>44066</v>
      </c>
      <c r="B161">
        <f t="shared" si="208"/>
        <v>126321</v>
      </c>
      <c r="C161" s="11">
        <f t="shared" si="209"/>
        <v>2.4292500000000002E-2</v>
      </c>
      <c r="D161" s="2">
        <f t="shared" si="210"/>
        <v>5.940672904638733E-3</v>
      </c>
      <c r="E161" s="18">
        <f t="shared" si="215"/>
        <v>-0.26731818427049236</v>
      </c>
      <c r="F161">
        <f t="shared" si="207"/>
        <v>746</v>
      </c>
      <c r="G161">
        <v>5013</v>
      </c>
      <c r="H161">
        <f t="shared" si="216"/>
        <v>5</v>
      </c>
      <c r="I161">
        <v>1560546</v>
      </c>
      <c r="J161">
        <f t="shared" si="212"/>
        <v>16970</v>
      </c>
      <c r="K161" s="2">
        <f t="shared" si="213"/>
        <v>1.0993951706945504E-2</v>
      </c>
      <c r="L161" s="2">
        <f t="shared" si="214"/>
        <v>4.395992928697702E-2</v>
      </c>
      <c r="W161">
        <v>121308</v>
      </c>
    </row>
    <row r="162" spans="1:23" x14ac:dyDescent="0.3">
      <c r="A162" s="1" cm="1">
        <f t="array" ref="A162">IF(OR(B162:H162=""), "", A161 + 1)</f>
        <v>44067</v>
      </c>
      <c r="B162">
        <f t="shared" si="208"/>
        <v>126892</v>
      </c>
      <c r="C162" s="11">
        <f t="shared" si="209"/>
        <v>2.4402307692307692E-2</v>
      </c>
      <c r="D162" s="2">
        <f t="shared" si="210"/>
        <v>4.5202302071705169E-3</v>
      </c>
      <c r="E162" s="18">
        <f t="shared" si="215"/>
        <v>-0.306990010601845</v>
      </c>
      <c r="F162">
        <f t="shared" si="207"/>
        <v>571</v>
      </c>
      <c r="G162">
        <v>5015</v>
      </c>
      <c r="H162">
        <f t="shared" si="216"/>
        <v>2</v>
      </c>
      <c r="I162">
        <v>1574849</v>
      </c>
      <c r="J162">
        <f t="shared" si="212"/>
        <v>14303</v>
      </c>
      <c r="K162" s="2">
        <f t="shared" si="213"/>
        <v>9.1653818599388703E-3</v>
      </c>
      <c r="L162" s="2">
        <f t="shared" si="214"/>
        <v>3.9921694749353281E-2</v>
      </c>
      <c r="W162">
        <v>121877</v>
      </c>
    </row>
    <row r="163" spans="1:23" x14ac:dyDescent="0.3">
      <c r="A163" s="1" cm="1">
        <f t="array" ref="A163">IF(OR(B163:H163=""), "", A162 + 1)</f>
        <v>44068</v>
      </c>
      <c r="B163">
        <f t="shared" si="208"/>
        <v>127445</v>
      </c>
      <c r="C163" s="11">
        <f t="shared" si="209"/>
        <v>2.4508653846153847E-2</v>
      </c>
      <c r="D163" s="2">
        <f t="shared" si="210"/>
        <v>4.3580367556661503E-3</v>
      </c>
      <c r="E163" s="18">
        <f t="shared" si="215"/>
        <v>-0.29222476491913391</v>
      </c>
      <c r="F163">
        <f t="shared" si="207"/>
        <v>553</v>
      </c>
      <c r="G163">
        <v>5022</v>
      </c>
      <c r="H163">
        <f t="shared" si="216"/>
        <v>7</v>
      </c>
      <c r="I163">
        <v>1588300</v>
      </c>
      <c r="J163">
        <f t="shared" si="212"/>
        <v>13451</v>
      </c>
      <c r="K163" s="2">
        <f t="shared" si="213"/>
        <v>8.5411363248160121E-3</v>
      </c>
      <c r="L163" s="2">
        <f t="shared" si="214"/>
        <v>4.1112184967660399E-2</v>
      </c>
      <c r="W163">
        <v>122423</v>
      </c>
    </row>
    <row r="164" spans="1:23" x14ac:dyDescent="0.3">
      <c r="A164" s="1" cm="1">
        <f t="array" ref="A164">IF(OR(B164:H164=""), "", A163 + 1)</f>
        <v>44069</v>
      </c>
      <c r="B164">
        <f t="shared" si="208"/>
        <v>128203</v>
      </c>
      <c r="C164" s="11">
        <f t="shared" si="209"/>
        <v>2.4654423076923077E-2</v>
      </c>
      <c r="D164" s="2">
        <f t="shared" si="210"/>
        <v>5.9476636980657638E-3</v>
      </c>
      <c r="E164" s="18">
        <f t="shared" si="215"/>
        <v>-0.19460113297655449</v>
      </c>
      <c r="F164">
        <f t="shared" si="207"/>
        <v>758</v>
      </c>
      <c r="G164">
        <v>5031</v>
      </c>
      <c r="H164">
        <f t="shared" si="216"/>
        <v>9</v>
      </c>
      <c r="I164">
        <v>1603087</v>
      </c>
      <c r="J164">
        <f t="shared" si="212"/>
        <v>14787</v>
      </c>
      <c r="K164" s="2">
        <f t="shared" si="213"/>
        <v>9.3099540389094404E-3</v>
      </c>
      <c r="L164" s="2">
        <f t="shared" si="214"/>
        <v>5.1261242983701903E-2</v>
      </c>
      <c r="W164">
        <v>123172</v>
      </c>
    </row>
    <row r="165" spans="1:23" x14ac:dyDescent="0.3">
      <c r="A165" s="1" cm="1">
        <f t="array" ref="A165">IF(OR(B165:H165=""), "", A164 + 1)</f>
        <v>44070</v>
      </c>
      <c r="B165">
        <f t="shared" si="208"/>
        <v>128730</v>
      </c>
      <c r="C165" s="11">
        <f t="shared" si="209"/>
        <v>2.475576923076923E-2</v>
      </c>
      <c r="D165" s="2">
        <f t="shared" si="210"/>
        <v>4.1106682370928294E-3</v>
      </c>
      <c r="E165" s="18">
        <f t="shared" si="215"/>
        <v>-0.23524538097712405</v>
      </c>
      <c r="F165">
        <f t="shared" si="207"/>
        <v>527</v>
      </c>
      <c r="G165">
        <v>5039</v>
      </c>
      <c r="H165">
        <f t="shared" si="216"/>
        <v>8</v>
      </c>
      <c r="I165">
        <v>1614414</v>
      </c>
      <c r="J165">
        <f t="shared" si="212"/>
        <v>11327</v>
      </c>
      <c r="K165" s="2">
        <f t="shared" si="213"/>
        <v>7.0657425330002965E-3</v>
      </c>
      <c r="L165" s="2">
        <f t="shared" si="214"/>
        <v>4.6525999823430739E-2</v>
      </c>
      <c r="W165">
        <v>123691</v>
      </c>
    </row>
    <row r="166" spans="1:23" x14ac:dyDescent="0.3">
      <c r="A166" s="1" cm="1">
        <f t="array" ref="A166">IF(OR(B166:H166=""), "", A165 + 1)</f>
        <v>44071</v>
      </c>
      <c r="B166">
        <f t="shared" si="208"/>
        <v>129618</v>
      </c>
      <c r="C166" s="11">
        <f t="shared" si="209"/>
        <v>2.4926538461538462E-2</v>
      </c>
      <c r="D166" s="2">
        <f t="shared" si="210"/>
        <v>6.8981589373107166E-3</v>
      </c>
      <c r="E166" s="18">
        <f t="shared" si="215"/>
        <v>-0.13989749901214524</v>
      </c>
      <c r="F166">
        <f t="shared" si="207"/>
        <v>888</v>
      </c>
      <c r="G166">
        <v>5045</v>
      </c>
      <c r="H166">
        <f t="shared" si="216"/>
        <v>6</v>
      </c>
      <c r="I166">
        <v>1629783</v>
      </c>
      <c r="J166">
        <f t="shared" si="212"/>
        <v>15369</v>
      </c>
      <c r="K166" s="2">
        <f t="shared" si="213"/>
        <v>9.5198629347863495E-3</v>
      </c>
      <c r="L166" s="2">
        <f t="shared" si="214"/>
        <v>5.7778645325004881E-2</v>
      </c>
      <c r="W166">
        <v>124573</v>
      </c>
    </row>
    <row r="167" spans="1:23" x14ac:dyDescent="0.3">
      <c r="A167" s="1" cm="1">
        <f t="array" ref="A167">IF(OR(B167:H167=""), "", A166 + 1)</f>
        <v>44072</v>
      </c>
      <c r="B167">
        <f t="shared" si="208"/>
        <v>130170</v>
      </c>
      <c r="C167" s="11">
        <f t="shared" si="209"/>
        <v>2.5032692307692308E-2</v>
      </c>
      <c r="D167" s="2">
        <f t="shared" si="210"/>
        <v>4.2586677776235149E-3</v>
      </c>
      <c r="E167" s="18">
        <f t="shared" si="215"/>
        <v>-0.34856375320936356</v>
      </c>
      <c r="F167">
        <f t="shared" si="207"/>
        <v>552</v>
      </c>
      <c r="G167">
        <v>5046</v>
      </c>
      <c r="H167">
        <f t="shared" si="216"/>
        <v>1</v>
      </c>
      <c r="I167">
        <v>1645270</v>
      </c>
      <c r="J167">
        <f t="shared" si="212"/>
        <v>15487</v>
      </c>
      <c r="K167" s="2">
        <f t="shared" si="213"/>
        <v>9.5024920495550003E-3</v>
      </c>
      <c r="L167" s="2">
        <f t="shared" si="214"/>
        <v>3.5642797184735585E-2</v>
      </c>
      <c r="W167">
        <v>125124</v>
      </c>
    </row>
    <row r="168" spans="1:23" x14ac:dyDescent="0.3">
      <c r="A168" s="1" cm="1">
        <f t="array" ref="A168">IF(OR(B168:H168=""), "", A167 + 1)</f>
        <v>44073</v>
      </c>
      <c r="B168">
        <f t="shared" si="208"/>
        <v>131057</v>
      </c>
      <c r="C168" s="11">
        <f t="shared" si="209"/>
        <v>2.520326923076923E-2</v>
      </c>
      <c r="D168" s="2">
        <f t="shared" si="210"/>
        <v>6.8141660904970092E-3</v>
      </c>
      <c r="E168" s="18">
        <f t="shared" si="215"/>
        <v>-0.22002646383333627</v>
      </c>
      <c r="F168">
        <f t="shared" si="207"/>
        <v>887</v>
      </c>
      <c r="G168">
        <v>5054</v>
      </c>
      <c r="H168">
        <f t="shared" si="216"/>
        <v>8</v>
      </c>
      <c r="I168">
        <v>1663877</v>
      </c>
      <c r="J168">
        <f t="shared" si="212"/>
        <v>18607</v>
      </c>
      <c r="K168" s="2">
        <f t="shared" si="213"/>
        <v>1.1309389948154447E-2</v>
      </c>
      <c r="L168" s="2">
        <f t="shared" si="214"/>
        <v>4.7670231633256302E-2</v>
      </c>
      <c r="W168">
        <v>126003</v>
      </c>
    </row>
    <row r="169" spans="1:23" x14ac:dyDescent="0.3">
      <c r="A169" s="1" cm="1">
        <f t="array" ref="A169">IF(OR(B169:H169=""), "", A168 + 1)</f>
        <v>44074</v>
      </c>
      <c r="B169">
        <f t="shared" si="208"/>
        <v>131635</v>
      </c>
      <c r="C169" s="11">
        <f t="shared" si="209"/>
        <v>2.5314423076923078E-2</v>
      </c>
      <c r="D169" s="2">
        <f t="shared" si="210"/>
        <v>4.4102947572430828E-3</v>
      </c>
      <c r="E169" s="18">
        <f t="shared" si="215"/>
        <v>-0.25511668115037595</v>
      </c>
      <c r="F169">
        <f t="shared" si="207"/>
        <v>578</v>
      </c>
      <c r="G169">
        <v>5058</v>
      </c>
      <c r="H169">
        <f t="shared" si="216"/>
        <v>4</v>
      </c>
      <c r="I169">
        <v>1677081</v>
      </c>
      <c r="J169">
        <f t="shared" si="212"/>
        <v>13204</v>
      </c>
      <c r="K169" s="2">
        <f t="shared" si="213"/>
        <v>7.9356827457799373E-3</v>
      </c>
      <c r="L169" s="2">
        <f t="shared" si="214"/>
        <v>4.3774613753408055E-2</v>
      </c>
      <c r="W169">
        <v>126577</v>
      </c>
    </row>
    <row r="170" spans="1:23" x14ac:dyDescent="0.3">
      <c r="A170" s="1" cm="1">
        <f t="array" ref="A170">IF(OR(B170:H170=""), "", A169 + 1)</f>
        <v>44075</v>
      </c>
      <c r="B170">
        <f t="shared" si="208"/>
        <v>132057</v>
      </c>
      <c r="C170" s="11">
        <f t="shared" si="209"/>
        <v>2.5395576923076923E-2</v>
      </c>
      <c r="D170" s="2">
        <f t="shared" si="210"/>
        <v>3.2058343145819901E-3</v>
      </c>
      <c r="E170" s="18">
        <f t="shared" si="215"/>
        <v>-0.2132466538862503</v>
      </c>
      <c r="F170">
        <f t="shared" si="207"/>
        <v>422</v>
      </c>
      <c r="G170">
        <v>5065</v>
      </c>
      <c r="H170">
        <f t="shared" si="216"/>
        <v>7</v>
      </c>
      <c r="I170">
        <v>1685866</v>
      </c>
      <c r="J170">
        <f t="shared" si="212"/>
        <v>8785</v>
      </c>
      <c r="K170" s="2">
        <f t="shared" si="213"/>
        <v>5.2382681575904311E-3</v>
      </c>
      <c r="L170" s="2">
        <f t="shared" si="214"/>
        <v>4.8036425725668755E-2</v>
      </c>
      <c r="W170">
        <v>126992</v>
      </c>
    </row>
    <row r="171" spans="1:23" x14ac:dyDescent="0.3">
      <c r="A171" s="1" cm="1">
        <f t="array" ref="A171">IF(OR(B171:H171=""), "", A170 + 1)</f>
        <v>44076</v>
      </c>
      <c r="B171">
        <f t="shared" si="208"/>
        <v>132689</v>
      </c>
      <c r="C171" s="11">
        <f t="shared" si="209"/>
        <v>2.5517115384615385E-2</v>
      </c>
      <c r="D171" s="2">
        <f t="shared" si="210"/>
        <v>4.7858121871615644E-3</v>
      </c>
      <c r="E171" s="18">
        <f t="shared" si="215"/>
        <v>-0.13012951958165878</v>
      </c>
      <c r="F171">
        <f t="shared" si="207"/>
        <v>632</v>
      </c>
      <c r="G171">
        <v>5073</v>
      </c>
      <c r="H171">
        <f t="shared" si="216"/>
        <v>8</v>
      </c>
      <c r="I171">
        <v>1696753</v>
      </c>
      <c r="J171">
        <f t="shared" si="212"/>
        <v>10887</v>
      </c>
      <c r="K171" s="2">
        <f t="shared" si="213"/>
        <v>6.4578086277320423E-3</v>
      </c>
      <c r="L171" s="2">
        <f t="shared" si="214"/>
        <v>5.8050886378249289E-2</v>
      </c>
      <c r="W171">
        <v>127616</v>
      </c>
    </row>
    <row r="172" spans="1:23" x14ac:dyDescent="0.3">
      <c r="A172" s="1" cm="1">
        <f t="array" ref="A172">IF(OR(B172:H172=""), "", A171 + 1)</f>
        <v>44077</v>
      </c>
      <c r="B172">
        <f t="shared" si="208"/>
        <v>133092</v>
      </c>
      <c r="C172" s="11">
        <f t="shared" si="209"/>
        <v>2.5594615384615386E-2</v>
      </c>
      <c r="D172" s="2">
        <f t="shared" si="210"/>
        <v>3.0371771586190643E-3</v>
      </c>
      <c r="E172" s="18">
        <f t="shared" si="215"/>
        <v>-0.38786798344331497</v>
      </c>
      <c r="F172">
        <f t="shared" si="207"/>
        <v>403</v>
      </c>
      <c r="G172">
        <v>5080</v>
      </c>
      <c r="H172">
        <f t="shared" si="216"/>
        <v>7</v>
      </c>
      <c r="I172">
        <v>1709341</v>
      </c>
      <c r="J172">
        <f t="shared" si="212"/>
        <v>12588</v>
      </c>
      <c r="K172" s="2">
        <f t="shared" si="213"/>
        <v>7.4188759353894795E-3</v>
      </c>
      <c r="L172" s="2">
        <f t="shared" si="214"/>
        <v>3.2014617095646646E-2</v>
      </c>
      <c r="W172">
        <v>128012</v>
      </c>
    </row>
    <row r="173" spans="1:23" x14ac:dyDescent="0.3">
      <c r="A173" s="1" cm="1">
        <f t="array" ref="A173">IF(OR(B173:H173=""), "", A172 + 1)</f>
        <v>44078</v>
      </c>
      <c r="B173">
        <f t="shared" si="208"/>
        <v>134631</v>
      </c>
      <c r="C173" s="11">
        <f t="shared" si="209"/>
        <v>2.5890576923076922E-2</v>
      </c>
      <c r="D173" s="2">
        <f t="shared" si="210"/>
        <v>1.156342980795233E-2</v>
      </c>
      <c r="E173" s="18">
        <f t="shared" si="215"/>
        <v>-0.31638094778561909</v>
      </c>
      <c r="F173">
        <f t="shared" si="207"/>
        <v>1539</v>
      </c>
      <c r="G173">
        <v>5086</v>
      </c>
      <c r="H173">
        <f t="shared" si="216"/>
        <v>6</v>
      </c>
      <c r="I173">
        <v>1750295</v>
      </c>
      <c r="J173">
        <f t="shared" si="212"/>
        <v>40954</v>
      </c>
      <c r="K173" s="2">
        <f t="shared" si="213"/>
        <v>2.3958940901786185E-2</v>
      </c>
      <c r="L173" s="2">
        <f t="shared" si="214"/>
        <v>3.7578746886750988E-2</v>
      </c>
      <c r="W173">
        <v>129545</v>
      </c>
    </row>
    <row r="174" spans="1:23" x14ac:dyDescent="0.3">
      <c r="A174" s="1" cm="1">
        <f t="array" ref="A174">IF(OR(B174:H174=""), "", A173 + 1)</f>
        <v>44079</v>
      </c>
      <c r="B174">
        <f t="shared" si="208"/>
        <v>135708</v>
      </c>
      <c r="C174" s="11">
        <f t="shared" si="209"/>
        <v>2.6097692307692308E-2</v>
      </c>
      <c r="D174" s="2">
        <f t="shared" si="210"/>
        <v>7.9996434699289853E-3</v>
      </c>
      <c r="E174" s="18">
        <f t="shared" si="215"/>
        <v>-0.17242398021702879</v>
      </c>
      <c r="F174">
        <f t="shared" si="207"/>
        <v>1077</v>
      </c>
      <c r="G174">
        <v>5092</v>
      </c>
      <c r="H174">
        <f t="shared" si="216"/>
        <v>6</v>
      </c>
      <c r="I174">
        <v>1771121</v>
      </c>
      <c r="J174">
        <f t="shared" si="212"/>
        <v>20826</v>
      </c>
      <c r="K174" s="2">
        <f t="shared" si="213"/>
        <v>1.1898565670358519E-2</v>
      </c>
      <c r="L174" s="2">
        <f t="shared" si="214"/>
        <v>5.1714203399596655E-2</v>
      </c>
      <c r="W174">
        <v>130616</v>
      </c>
    </row>
    <row r="175" spans="1:23" x14ac:dyDescent="0.3">
      <c r="A175" s="1" cm="1">
        <f t="array" ref="A175">IF(OR(B175:H175=""), "", A174 + 1)</f>
        <v>44080</v>
      </c>
      <c r="B175">
        <f t="shared" si="208"/>
        <v>136172</v>
      </c>
      <c r="C175" s="11">
        <f t="shared" si="209"/>
        <v>2.6186923076923076E-2</v>
      </c>
      <c r="D175" s="2">
        <f t="shared" si="210"/>
        <v>3.419105727002103E-3</v>
      </c>
      <c r="E175" s="18">
        <f t="shared" si="215"/>
        <v>-0.38406207166391021</v>
      </c>
      <c r="F175">
        <f t="shared" si="207"/>
        <v>464</v>
      </c>
      <c r="G175">
        <v>5094</v>
      </c>
      <c r="H175">
        <f t="shared" si="216"/>
        <v>2</v>
      </c>
      <c r="I175">
        <v>1785784</v>
      </c>
      <c r="J175">
        <f t="shared" si="212"/>
        <v>14663</v>
      </c>
      <c r="K175" s="2">
        <f t="shared" si="213"/>
        <v>8.2789374639000712E-3</v>
      </c>
      <c r="L175" s="2">
        <f t="shared" si="214"/>
        <v>3.1644274705039895E-2</v>
      </c>
      <c r="W175">
        <v>131078</v>
      </c>
    </row>
    <row r="176" spans="1:23" x14ac:dyDescent="0.3">
      <c r="A176" s="1" cm="1">
        <f t="array" ref="A176">IF(OR(B176:H176=""), "", A175 + 1)</f>
        <v>44081</v>
      </c>
      <c r="B176">
        <f t="shared" si="208"/>
        <v>136719</v>
      </c>
      <c r="C176" s="11">
        <f t="shared" si="209"/>
        <v>2.6292115384615386E-2</v>
      </c>
      <c r="D176" s="2">
        <f t="shared" si="210"/>
        <v>4.0169785271568781E-3</v>
      </c>
      <c r="E176" s="18">
        <f t="shared" si="215"/>
        <v>-0.10668825571873784</v>
      </c>
      <c r="F176">
        <f t="shared" si="207"/>
        <v>547</v>
      </c>
      <c r="G176">
        <v>5097</v>
      </c>
      <c r="H176">
        <f t="shared" si="216"/>
        <v>3</v>
      </c>
      <c r="I176">
        <v>1794955</v>
      </c>
      <c r="J176">
        <f t="shared" si="212"/>
        <v>9171</v>
      </c>
      <c r="K176" s="2">
        <f t="shared" si="213"/>
        <v>5.1355595077569038E-3</v>
      </c>
      <c r="L176" s="2">
        <f t="shared" si="214"/>
        <v>5.964453167593501E-2</v>
      </c>
      <c r="W176">
        <v>131622</v>
      </c>
    </row>
    <row r="177" spans="1:23" x14ac:dyDescent="0.3">
      <c r="A177" s="1" cm="1">
        <f t="array" ref="A177">IF(OR(B177:H177=""), "", A176 + 1)</f>
        <v>44082</v>
      </c>
      <c r="B177">
        <f t="shared" si="208"/>
        <v>137170</v>
      </c>
      <c r="C177" s="11">
        <f t="shared" si="209"/>
        <v>2.6378846153846155E-2</v>
      </c>
      <c r="D177" s="2">
        <f t="shared" si="210"/>
        <v>3.2987368251669036E-3</v>
      </c>
      <c r="E177" s="18">
        <f t="shared" si="215"/>
        <v>-0.39399927470082702</v>
      </c>
      <c r="F177">
        <f t="shared" si="207"/>
        <v>451</v>
      </c>
      <c r="G177">
        <v>5098</v>
      </c>
      <c r="H177">
        <f t="shared" si="216"/>
        <v>1</v>
      </c>
      <c r="I177">
        <v>1809624</v>
      </c>
      <c r="J177">
        <f t="shared" si="212"/>
        <v>14669</v>
      </c>
      <c r="K177" s="2">
        <f t="shared" si="213"/>
        <v>8.1723497246448673E-3</v>
      </c>
      <c r="L177" s="2">
        <f t="shared" si="214"/>
        <v>3.0745108732701615E-2</v>
      </c>
      <c r="W177">
        <v>132072</v>
      </c>
    </row>
    <row r="178" spans="1:23" x14ac:dyDescent="0.3">
      <c r="A178" s="1" cm="1">
        <f t="array" ref="A178">IF(OR(B178:H178=""), "", A177 + 1)</f>
        <v>44083</v>
      </c>
      <c r="B178">
        <f t="shared" si="208"/>
        <v>137501</v>
      </c>
      <c r="C178" s="11">
        <f t="shared" si="209"/>
        <v>2.6442500000000001E-2</v>
      </c>
      <c r="D178" s="2">
        <f t="shared" si="210"/>
        <v>2.4130640810673398E-3</v>
      </c>
      <c r="E178" s="18">
        <f t="shared" si="215"/>
        <v>-0.42020062209269776</v>
      </c>
      <c r="F178">
        <f t="shared" si="207"/>
        <v>331</v>
      </c>
      <c r="G178">
        <v>5100</v>
      </c>
      <c r="H178">
        <f t="shared" si="216"/>
        <v>2</v>
      </c>
      <c r="I178">
        <v>1821115</v>
      </c>
      <c r="J178">
        <f t="shared" si="212"/>
        <v>11491</v>
      </c>
      <c r="K178" s="2">
        <f t="shared" si="213"/>
        <v>6.3499378876494816E-3</v>
      </c>
      <c r="L178" s="2">
        <f t="shared" si="214"/>
        <v>2.8805151857975806E-2</v>
      </c>
      <c r="W178">
        <v>132401</v>
      </c>
    </row>
    <row r="179" spans="1:23" x14ac:dyDescent="0.3">
      <c r="A179" s="1" cm="1">
        <f t="array" ref="A179">IF(OR(B179:H179=""), "", A178 + 1)</f>
        <v>44084</v>
      </c>
      <c r="B179">
        <f t="shared" si="208"/>
        <v>138066</v>
      </c>
      <c r="C179" s="11">
        <f t="shared" si="209"/>
        <v>2.6551153846153846E-2</v>
      </c>
      <c r="D179" s="2">
        <f t="shared" si="210"/>
        <v>4.1090610250107407E-3</v>
      </c>
      <c r="E179" s="18">
        <f t="shared" si="215"/>
        <v>-0.20376014003200699</v>
      </c>
      <c r="F179">
        <f t="shared" si="207"/>
        <v>565</v>
      </c>
      <c r="G179">
        <v>5103</v>
      </c>
      <c r="H179">
        <f t="shared" si="216"/>
        <v>3</v>
      </c>
      <c r="I179">
        <v>1833078</v>
      </c>
      <c r="J179">
        <f t="shared" si="212"/>
        <v>11963</v>
      </c>
      <c r="K179" s="2">
        <f t="shared" si="213"/>
        <v>6.5690524760928515E-3</v>
      </c>
      <c r="L179" s="2">
        <f t="shared" si="214"/>
        <v>4.7228955947504807E-2</v>
      </c>
      <c r="W179">
        <v>132963</v>
      </c>
    </row>
    <row r="180" spans="1:23" x14ac:dyDescent="0.3">
      <c r="A180" s="1" cm="1">
        <f t="array" ref="A180">IF(OR(B180:H180=""), "", A179 + 1)</f>
        <v>44085</v>
      </c>
      <c r="B180">
        <f t="shared" si="208"/>
        <v>138798</v>
      </c>
      <c r="C180" s="11">
        <f t="shared" si="209"/>
        <v>2.6691923076923078E-2</v>
      </c>
      <c r="D180" s="2">
        <f t="shared" si="210"/>
        <v>5.3018121767849369E-3</v>
      </c>
      <c r="E180" s="18">
        <f t="shared" si="215"/>
        <v>-0.22255265421437026</v>
      </c>
      <c r="F180">
        <f t="shared" si="207"/>
        <v>732</v>
      </c>
      <c r="G180">
        <v>5112</v>
      </c>
      <c r="H180">
        <f t="shared" si="216"/>
        <v>9</v>
      </c>
      <c r="I180">
        <v>1849302</v>
      </c>
      <c r="J180">
        <f t="shared" si="212"/>
        <v>16224</v>
      </c>
      <c r="K180" s="2">
        <f t="shared" si="213"/>
        <v>8.8506872047997565E-3</v>
      </c>
      <c r="L180" s="2">
        <f t="shared" si="214"/>
        <v>4.5118343195266274E-2</v>
      </c>
      <c r="W180">
        <v>133686</v>
      </c>
    </row>
    <row r="181" spans="1:23" x14ac:dyDescent="0.3">
      <c r="A181" s="1" cm="1">
        <f t="array" ref="A181">IF(OR(B181:H181=""), "", A180 + 1)</f>
        <v>44086</v>
      </c>
      <c r="B181">
        <f t="shared" si="208"/>
        <v>139480</v>
      </c>
      <c r="C181" s="11">
        <f t="shared" si="209"/>
        <v>2.6823076923076922E-2</v>
      </c>
      <c r="D181" s="2">
        <f t="shared" si="210"/>
        <v>4.9136154699636059E-3</v>
      </c>
      <c r="E181" s="18">
        <f t="shared" si="215"/>
        <v>-0.26506097538425516</v>
      </c>
      <c r="F181">
        <f t="shared" si="207"/>
        <v>682</v>
      </c>
      <c r="G181">
        <v>5128</v>
      </c>
      <c r="H181">
        <f t="shared" si="216"/>
        <v>16</v>
      </c>
      <c r="I181">
        <v>1866031</v>
      </c>
      <c r="J181">
        <f t="shared" si="212"/>
        <v>16729</v>
      </c>
      <c r="K181" s="2">
        <f t="shared" si="213"/>
        <v>9.0461157777366186E-3</v>
      </c>
      <c r="L181" s="2">
        <f t="shared" si="214"/>
        <v>4.0767529439894791E-2</v>
      </c>
      <c r="W181">
        <v>134352</v>
      </c>
    </row>
    <row r="182" spans="1:23" x14ac:dyDescent="0.3">
      <c r="A182" s="1" cm="1">
        <f t="array" ref="A182">IF(OR(B182:H182=""), "", A181 + 1)</f>
        <v>44087</v>
      </c>
      <c r="B182">
        <f t="shared" si="208"/>
        <v>139934</v>
      </c>
      <c r="C182" s="11">
        <f t="shared" si="209"/>
        <v>2.6910384615384614E-2</v>
      </c>
      <c r="D182" s="2">
        <f t="shared" si="210"/>
        <v>3.2549469457987534E-3</v>
      </c>
      <c r="E182" s="18">
        <f t="shared" si="215"/>
        <v>-0.42621306610008686</v>
      </c>
      <c r="F182">
        <f t="shared" si="207"/>
        <v>454</v>
      </c>
      <c r="G182">
        <v>5133</v>
      </c>
      <c r="H182">
        <f t="shared" si="216"/>
        <v>5</v>
      </c>
      <c r="I182">
        <v>1882237</v>
      </c>
      <c r="J182">
        <f t="shared" si="212"/>
        <v>16206</v>
      </c>
      <c r="K182" s="2">
        <f t="shared" si="213"/>
        <v>8.6847431795076258E-3</v>
      </c>
      <c r="L182" s="2">
        <f t="shared" si="214"/>
        <v>2.8014315685548564E-2</v>
      </c>
      <c r="W182">
        <v>134801</v>
      </c>
    </row>
    <row r="183" spans="1:23" x14ac:dyDescent="0.3">
      <c r="A183" s="1" cm="1">
        <f t="array" ref="A183">IF(OR(B183:H183=""), "", A182 + 1)</f>
        <v>44088</v>
      </c>
      <c r="B183">
        <f t="shared" si="208"/>
        <v>140408</v>
      </c>
      <c r="C183" s="11">
        <f t="shared" si="209"/>
        <v>2.7001538461538462E-2</v>
      </c>
      <c r="D183" s="2">
        <f t="shared" si="210"/>
        <v>3.3873111609759032E-3</v>
      </c>
      <c r="E183" s="18">
        <f t="shared" si="215"/>
        <v>-0.33892259963151261</v>
      </c>
      <c r="F183">
        <f t="shared" si="207"/>
        <v>474</v>
      </c>
      <c r="G183">
        <v>5134</v>
      </c>
      <c r="H183">
        <f t="shared" si="216"/>
        <v>1</v>
      </c>
      <c r="I183">
        <v>1896151</v>
      </c>
      <c r="J183">
        <f t="shared" si="212"/>
        <v>13914</v>
      </c>
      <c r="K183" s="2">
        <f t="shared" si="213"/>
        <v>7.3922678174958012E-3</v>
      </c>
      <c r="L183" s="2">
        <f t="shared" si="214"/>
        <v>3.4066407934454507E-2</v>
      </c>
      <c r="W183">
        <v>135274</v>
      </c>
    </row>
    <row r="184" spans="1:23" x14ac:dyDescent="0.3">
      <c r="A184" s="1" cm="1">
        <f t="array" ref="A184">IF(OR(B184:H184=""), "", A183 + 1)</f>
        <v>44089</v>
      </c>
      <c r="B184">
        <f t="shared" si="208"/>
        <v>140827</v>
      </c>
      <c r="C184" s="11">
        <f t="shared" si="209"/>
        <v>2.7082115384615385E-2</v>
      </c>
      <c r="D184" s="2">
        <f t="shared" si="210"/>
        <v>2.9841604466982474E-3</v>
      </c>
      <c r="E184" s="18">
        <f t="shared" si="215"/>
        <v>-0.27863256858421148</v>
      </c>
      <c r="F184">
        <f t="shared" si="207"/>
        <v>419</v>
      </c>
      <c r="G184">
        <v>5137</v>
      </c>
      <c r="H184">
        <f t="shared" si="216"/>
        <v>3</v>
      </c>
      <c r="I184">
        <v>1906899</v>
      </c>
      <c r="J184">
        <f t="shared" si="212"/>
        <v>10748</v>
      </c>
      <c r="K184" s="2">
        <f t="shared" si="213"/>
        <v>5.6683249382565304E-3</v>
      </c>
      <c r="L184" s="2">
        <f t="shared" si="214"/>
        <v>3.8983997022701895E-2</v>
      </c>
      <c r="W184">
        <v>135690</v>
      </c>
    </row>
    <row r="185" spans="1:23" x14ac:dyDescent="0.3">
      <c r="A185" s="1" cm="1">
        <f t="array" ref="A185">IF(OR(B185:H185=""), "", A184 + 1)</f>
        <v>44090</v>
      </c>
      <c r="B185">
        <f t="shared" si="208"/>
        <v>141392</v>
      </c>
      <c r="C185" s="11">
        <f t="shared" si="209"/>
        <v>2.719076923076923E-2</v>
      </c>
      <c r="D185" s="2">
        <f t="shared" si="210"/>
        <v>4.0120147414912655E-3</v>
      </c>
      <c r="E185" s="18">
        <f t="shared" si="215"/>
        <v>-0.29269048114933627</v>
      </c>
      <c r="F185">
        <f t="shared" si="207"/>
        <v>565</v>
      </c>
      <c r="G185">
        <v>5146</v>
      </c>
      <c r="H185">
        <f t="shared" si="216"/>
        <v>9</v>
      </c>
      <c r="I185">
        <v>1921909</v>
      </c>
      <c r="J185">
        <f t="shared" si="212"/>
        <v>15010</v>
      </c>
      <c r="K185" s="2">
        <f t="shared" si="213"/>
        <v>7.8714184652675101E-3</v>
      </c>
      <c r="L185" s="2">
        <f t="shared" si="214"/>
        <v>3.764157228514324E-2</v>
      </c>
      <c r="W185">
        <v>136246</v>
      </c>
    </row>
    <row r="186" spans="1:23" x14ac:dyDescent="0.3">
      <c r="A186" s="1" cm="1">
        <f t="array" ref="A186">IF(OR(B186:H186=""), "", A185 + 1)</f>
        <v>44091</v>
      </c>
      <c r="B186">
        <f t="shared" si="208"/>
        <v>142140</v>
      </c>
      <c r="C186" s="11">
        <f t="shared" si="209"/>
        <v>2.7334615384615384E-2</v>
      </c>
      <c r="D186" s="2">
        <f t="shared" si="210"/>
        <v>5.2902568745050171E-3</v>
      </c>
      <c r="E186" s="18">
        <f t="shared" si="215"/>
        <v>-0.18270162896179296</v>
      </c>
      <c r="F186">
        <f t="shared" si="207"/>
        <v>748</v>
      </c>
      <c r="G186">
        <v>5147</v>
      </c>
      <c r="H186">
        <f t="shared" si="216"/>
        <v>1</v>
      </c>
      <c r="I186">
        <v>1937394</v>
      </c>
      <c r="J186">
        <f t="shared" si="212"/>
        <v>15485</v>
      </c>
      <c r="K186" s="2">
        <f t="shared" si="213"/>
        <v>8.0570932338628332E-3</v>
      </c>
      <c r="L186" s="2">
        <f t="shared" si="214"/>
        <v>4.830481110752341E-2</v>
      </c>
      <c r="W186">
        <v>136993</v>
      </c>
    </row>
    <row r="187" spans="1:23" x14ac:dyDescent="0.3">
      <c r="A187" s="1" cm="1">
        <f t="array" ref="A187">IF(OR(B187:H187=""), "", A186 + 1)</f>
        <v>44092</v>
      </c>
      <c r="B187">
        <f t="shared" si="208"/>
        <v>142730</v>
      </c>
      <c r="C187" s="11">
        <f t="shared" si="209"/>
        <v>2.7448076923076922E-2</v>
      </c>
      <c r="D187" s="2">
        <f t="shared" si="210"/>
        <v>4.1508372027578844E-3</v>
      </c>
      <c r="E187" s="18">
        <f t="shared" si="215"/>
        <v>-0.38659209921696547</v>
      </c>
      <c r="F187">
        <f t="shared" si="207"/>
        <v>590</v>
      </c>
      <c r="G187">
        <v>5150</v>
      </c>
      <c r="H187">
        <f t="shared" si="216"/>
        <v>3</v>
      </c>
      <c r="I187">
        <v>1956980</v>
      </c>
      <c r="J187">
        <f t="shared" si="212"/>
        <v>19586</v>
      </c>
      <c r="K187" s="2">
        <f t="shared" si="213"/>
        <v>1.01094563109001E-2</v>
      </c>
      <c r="L187" s="2">
        <f t="shared" si="214"/>
        <v>3.0123557643214539E-2</v>
      </c>
      <c r="W187">
        <v>137580</v>
      </c>
    </row>
    <row r="188" spans="1:23" x14ac:dyDescent="0.3">
      <c r="A188" s="1" cm="1">
        <f t="array" ref="A188">IF(OR(B188:H188=""), "", A187 + 1)</f>
        <v>44093</v>
      </c>
      <c r="B188">
        <f t="shared" si="208"/>
        <v>143733</v>
      </c>
      <c r="C188" s="11">
        <f t="shared" si="209"/>
        <v>2.7640961538461538E-2</v>
      </c>
      <c r="D188" s="2">
        <f t="shared" si="210"/>
        <v>7.0272542562881402E-3</v>
      </c>
      <c r="E188" s="18">
        <f t="shared" si="215"/>
        <v>-0.35290557420860358</v>
      </c>
      <c r="F188">
        <f t="shared" si="207"/>
        <v>1003</v>
      </c>
      <c r="G188">
        <v>5157</v>
      </c>
      <c r="H188">
        <f t="shared" si="216"/>
        <v>7</v>
      </c>
      <c r="I188">
        <v>1987974</v>
      </c>
      <c r="J188">
        <f t="shared" si="212"/>
        <v>30994</v>
      </c>
      <c r="K188" s="2">
        <f t="shared" si="213"/>
        <v>1.5837668243926961E-2</v>
      </c>
      <c r="L188" s="2">
        <f t="shared" si="214"/>
        <v>3.2361102148802993E-2</v>
      </c>
      <c r="W188">
        <v>138576</v>
      </c>
    </row>
    <row r="189" spans="1:23" x14ac:dyDescent="0.3">
      <c r="A189" s="1" cm="1">
        <f t="array" ref="A189">IF(OR(B189:H189=""), "", A188 + 1)</f>
        <v>44094</v>
      </c>
      <c r="B189">
        <f t="shared" si="208"/>
        <v>144250</v>
      </c>
      <c r="C189" s="11">
        <f t="shared" si="209"/>
        <v>2.7740384615384615E-2</v>
      </c>
      <c r="D189" s="2">
        <f t="shared" si="210"/>
        <v>3.5969471172243583E-3</v>
      </c>
      <c r="E189" s="18">
        <f t="shared" si="215"/>
        <v>-0.37910826911173562</v>
      </c>
      <c r="F189">
        <f t="shared" si="207"/>
        <v>517</v>
      </c>
      <c r="G189">
        <v>5162</v>
      </c>
      <c r="H189">
        <f t="shared" si="216"/>
        <v>5</v>
      </c>
      <c r="I189">
        <v>2005092</v>
      </c>
      <c r="J189">
        <f t="shared" si="212"/>
        <v>17118</v>
      </c>
      <c r="K189" s="2">
        <f t="shared" si="213"/>
        <v>8.6107765996938923E-3</v>
      </c>
      <c r="L189" s="2">
        <f t="shared" si="214"/>
        <v>3.0202126416637456E-2</v>
      </c>
      <c r="W189">
        <v>139088</v>
      </c>
    </row>
    <row r="190" spans="1:23" x14ac:dyDescent="0.3">
      <c r="A190" s="1" cm="1">
        <f t="array" ref="A190">IF(OR(B190:H190=""), "", A189 + 1)</f>
        <v>44095</v>
      </c>
      <c r="B190">
        <f t="shared" si="208"/>
        <v>144750</v>
      </c>
      <c r="C190" s="11">
        <f t="shared" si="209"/>
        <v>2.7836538461538461E-2</v>
      </c>
      <c r="D190" s="2">
        <f t="shared" si="210"/>
        <v>3.4662045060658286E-3</v>
      </c>
      <c r="E190" s="18">
        <f t="shared" si="215"/>
        <v>-0.23180315607390473</v>
      </c>
      <c r="F190">
        <f t="shared" si="207"/>
        <v>500</v>
      </c>
      <c r="G190">
        <v>5167</v>
      </c>
      <c r="H190">
        <f t="shared" si="216"/>
        <v>5</v>
      </c>
      <c r="I190">
        <v>2016944</v>
      </c>
      <c r="J190">
        <f t="shared" si="212"/>
        <v>11852</v>
      </c>
      <c r="K190" s="2">
        <f t="shared" si="213"/>
        <v>5.9109507194683442E-3</v>
      </c>
      <c r="L190" s="2">
        <f t="shared" si="214"/>
        <v>4.2186972662841715E-2</v>
      </c>
      <c r="W190">
        <v>139583</v>
      </c>
    </row>
    <row r="191" spans="1:23" x14ac:dyDescent="0.3">
      <c r="A191" s="1" cm="1">
        <f t="array" ref="A191">IF(OR(B191:H191=""), "", A190 + 1)</f>
        <v>44096</v>
      </c>
      <c r="B191">
        <f t="shared" si="208"/>
        <v>145250</v>
      </c>
      <c r="C191" s="11">
        <f t="shared" si="209"/>
        <v>2.7932692307692308E-2</v>
      </c>
      <c r="D191" s="2">
        <f t="shared" si="210"/>
        <v>3.4542314335059832E-3</v>
      </c>
      <c r="E191" s="18">
        <f t="shared" si="215"/>
        <v>-0.26362148974257682</v>
      </c>
      <c r="F191">
        <f t="shared" si="207"/>
        <v>500</v>
      </c>
      <c r="G191">
        <v>5172</v>
      </c>
      <c r="H191">
        <f t="shared" si="216"/>
        <v>5</v>
      </c>
      <c r="I191">
        <v>2029728</v>
      </c>
      <c r="J191">
        <f t="shared" si="212"/>
        <v>12784</v>
      </c>
      <c r="K191" s="2">
        <f t="shared" si="213"/>
        <v>6.3383019062501766E-3</v>
      </c>
      <c r="L191" s="2">
        <f t="shared" si="214"/>
        <v>3.9111389236545682E-2</v>
      </c>
      <c r="W191">
        <v>140078</v>
      </c>
    </row>
    <row r="192" spans="1:23" x14ac:dyDescent="0.3">
      <c r="A192" s="1" cm="1">
        <f t="array" ref="A192">IF(OR(B192:H192=""), "", A191 + 1)</f>
        <v>44097</v>
      </c>
      <c r="B192">
        <f t="shared" si="208"/>
        <v>145803</v>
      </c>
      <c r="C192" s="11">
        <f t="shared" si="209"/>
        <v>2.8039038461538462E-2</v>
      </c>
      <c r="D192" s="2">
        <f t="shared" si="210"/>
        <v>3.8072289156625416E-3</v>
      </c>
      <c r="E192" s="18">
        <f t="shared" si="215"/>
        <v>-0.19613607834561983</v>
      </c>
      <c r="F192">
        <f t="shared" si="207"/>
        <v>553</v>
      </c>
      <c r="G192">
        <v>5180</v>
      </c>
      <c r="H192">
        <f t="shared" si="216"/>
        <v>8</v>
      </c>
      <c r="I192">
        <v>2041867</v>
      </c>
      <c r="J192">
        <f t="shared" si="212"/>
        <v>12139</v>
      </c>
      <c r="K192" s="2">
        <f t="shared" si="213"/>
        <v>5.980604297718628E-3</v>
      </c>
      <c r="L192" s="2">
        <f t="shared" si="214"/>
        <v>4.5555647087898506E-2</v>
      </c>
      <c r="W192">
        <v>140623</v>
      </c>
    </row>
    <row r="193" spans="1:23" x14ac:dyDescent="0.3">
      <c r="A193" s="1" cm="1">
        <f t="array" ref="A193">IF(OR(B193:H193=""), "", A192 + 1)</f>
        <v>44098</v>
      </c>
      <c r="B193">
        <f t="shared" si="208"/>
        <v>146617</v>
      </c>
      <c r="C193" s="11">
        <f t="shared" si="209"/>
        <v>2.8195576923076924E-2</v>
      </c>
      <c r="D193" s="2">
        <f t="shared" si="210"/>
        <v>5.5828755238231942E-3</v>
      </c>
      <c r="E193" s="18">
        <f t="shared" si="215"/>
        <v>-0.2038297984143489</v>
      </c>
      <c r="F193">
        <f t="shared" si="207"/>
        <v>814</v>
      </c>
      <c r="G193">
        <v>5187</v>
      </c>
      <c r="H193">
        <f t="shared" si="216"/>
        <v>7</v>
      </c>
      <c r="I193">
        <v>2060094</v>
      </c>
      <c r="J193">
        <f t="shared" si="212"/>
        <v>18227</v>
      </c>
      <c r="K193" s="2">
        <f t="shared" si="213"/>
        <v>8.9266343008629345E-3</v>
      </c>
      <c r="L193" s="2">
        <f t="shared" si="214"/>
        <v>4.4659022329511168E-2</v>
      </c>
      <c r="W193">
        <v>141430</v>
      </c>
    </row>
    <row r="194" spans="1:23" x14ac:dyDescent="0.3">
      <c r="A194" s="1" cm="1">
        <f t="array" ref="A194">IF(OR(B194:H194=""), "", A193 + 1)</f>
        <v>44099</v>
      </c>
      <c r="B194">
        <f t="shared" si="208"/>
        <v>147409</v>
      </c>
      <c r="C194" s="11">
        <f t="shared" si="209"/>
        <v>2.8347884615384615E-2</v>
      </c>
      <c r="D194" s="2">
        <f t="shared" si="210"/>
        <v>5.4018292558162262E-3</v>
      </c>
      <c r="E194" s="18">
        <f t="shared" si="215"/>
        <v>-0.30312159371462838</v>
      </c>
      <c r="F194">
        <f t="shared" si="207"/>
        <v>792</v>
      </c>
      <c r="G194">
        <v>5194</v>
      </c>
      <c r="H194">
        <f t="shared" si="216"/>
        <v>7</v>
      </c>
      <c r="I194">
        <v>2082458</v>
      </c>
      <c r="J194">
        <f t="shared" si="212"/>
        <v>22364</v>
      </c>
      <c r="K194" s="2">
        <f t="shared" si="213"/>
        <v>1.0855815317165174E-2</v>
      </c>
      <c r="L194" s="2">
        <f t="shared" si="214"/>
        <v>3.5414058307994989E-2</v>
      </c>
      <c r="W194">
        <v>142215</v>
      </c>
    </row>
    <row r="195" spans="1:23" x14ac:dyDescent="0.3">
      <c r="A195" s="1" cm="1">
        <f t="array" ref="A195">IF(OR(B195:H195=""), "", A194 + 1)</f>
        <v>44100</v>
      </c>
      <c r="B195">
        <f t="shared" si="208"/>
        <v>148287</v>
      </c>
      <c r="C195" s="11">
        <f t="shared" si="209"/>
        <v>2.851673076923077E-2</v>
      </c>
      <c r="D195" s="2">
        <f t="shared" si="210"/>
        <v>5.9562170559464001E-3</v>
      </c>
      <c r="E195" s="18">
        <f t="shared" si="215"/>
        <v>-0.24542738386645266</v>
      </c>
      <c r="F195">
        <f t="shared" si="207"/>
        <v>878</v>
      </c>
      <c r="G195">
        <v>5203</v>
      </c>
      <c r="H195">
        <f t="shared" si="216"/>
        <v>9</v>
      </c>
      <c r="I195">
        <v>2104284</v>
      </c>
      <c r="J195">
        <f t="shared" si="212"/>
        <v>21826</v>
      </c>
      <c r="K195" s="2">
        <f t="shared" si="213"/>
        <v>1.0480883648073647E-2</v>
      </c>
      <c r="L195" s="2">
        <f t="shared" si="214"/>
        <v>4.0227251901402E-2</v>
      </c>
      <c r="W195">
        <v>143084</v>
      </c>
    </row>
    <row r="196" spans="1:23" x14ac:dyDescent="0.3">
      <c r="A196" s="1" cm="1">
        <f t="array" ref="A196">IF(OR(B196:H196=""), "", A195 + 1)</f>
        <v>44101</v>
      </c>
      <c r="B196">
        <f t="shared" si="208"/>
        <v>148844</v>
      </c>
      <c r="C196" s="11">
        <f t="shared" si="209"/>
        <v>2.8623846153846152E-2</v>
      </c>
      <c r="D196" s="2">
        <f t="shared" si="210"/>
        <v>3.7562294739255098E-3</v>
      </c>
      <c r="E196" s="18">
        <f t="shared" si="215"/>
        <v>-0.3383279737232055</v>
      </c>
      <c r="F196">
        <f t="shared" si="207"/>
        <v>557</v>
      </c>
      <c r="G196">
        <v>5210</v>
      </c>
      <c r="H196">
        <f t="shared" si="216"/>
        <v>7</v>
      </c>
      <c r="I196">
        <v>2121510</v>
      </c>
      <c r="J196">
        <f t="shared" si="212"/>
        <v>17226</v>
      </c>
      <c r="K196" s="2">
        <f t="shared" si="213"/>
        <v>8.1861573817982869E-3</v>
      </c>
      <c r="L196" s="2">
        <f t="shared" si="214"/>
        <v>3.2334842679670267E-2</v>
      </c>
      <c r="W196">
        <v>143634</v>
      </c>
    </row>
    <row r="197" spans="1:23" x14ac:dyDescent="0.3">
      <c r="A197" s="1" cm="1">
        <f t="array" ref="A197">IF(OR(B197:H197=""), "", A196 + 1)</f>
        <v>44102</v>
      </c>
      <c r="B197">
        <f t="shared" si="208"/>
        <v>149532</v>
      </c>
      <c r="C197" s="11">
        <f t="shared" si="209"/>
        <v>2.8756153846153844E-2</v>
      </c>
      <c r="D197" s="2">
        <f t="shared" si="210"/>
        <v>4.6222891080593964E-3</v>
      </c>
      <c r="E197" s="18">
        <f t="shared" si="215"/>
        <v>-0.21572812104261918</v>
      </c>
      <c r="F197">
        <f t="shared" si="207"/>
        <v>688</v>
      </c>
      <c r="G197">
        <v>5217</v>
      </c>
      <c r="H197">
        <f t="shared" si="216"/>
        <v>7</v>
      </c>
      <c r="I197">
        <v>2137625</v>
      </c>
      <c r="J197">
        <f t="shared" si="212"/>
        <v>16115</v>
      </c>
      <c r="K197" s="2">
        <f t="shared" si="213"/>
        <v>7.5960047324783453E-3</v>
      </c>
      <c r="L197" s="2">
        <f t="shared" si="214"/>
        <v>4.2693143034439961E-2</v>
      </c>
      <c r="W197">
        <v>144315</v>
      </c>
    </row>
    <row r="198" spans="1:23" x14ac:dyDescent="0.3">
      <c r="A198" s="1" cm="1">
        <f t="array" ref="A198">IF(OR(B198:H198=""), "", A197 + 1)</f>
        <v>44103</v>
      </c>
      <c r="B198">
        <f t="shared" si="208"/>
        <v>149918</v>
      </c>
      <c r="C198" s="11">
        <f t="shared" si="209"/>
        <v>2.8830384615384615E-2</v>
      </c>
      <c r="D198" s="2">
        <f t="shared" si="210"/>
        <v>2.5813872615894073E-3</v>
      </c>
      <c r="E198" s="18">
        <f t="shared" si="215"/>
        <v>-0.41916379826423222</v>
      </c>
      <c r="F198">
        <f t="shared" si="207"/>
        <v>386</v>
      </c>
      <c r="G198">
        <v>5221</v>
      </c>
      <c r="H198">
        <f t="shared" si="216"/>
        <v>4</v>
      </c>
      <c r="I198">
        <v>2152111</v>
      </c>
      <c r="J198">
        <f t="shared" si="212"/>
        <v>14486</v>
      </c>
      <c r="K198" s="2">
        <f t="shared" si="213"/>
        <v>6.7766797263317802E-3</v>
      </c>
      <c r="L198" s="2">
        <f t="shared" si="214"/>
        <v>2.6646417230429379E-2</v>
      </c>
      <c r="W198">
        <v>144697</v>
      </c>
    </row>
    <row r="199" spans="1:23" x14ac:dyDescent="0.3">
      <c r="A199" s="1" cm="1">
        <f t="array" ref="A199">IF(OR(B199:H199=""), "", A198 + 1)</f>
        <v>44104</v>
      </c>
      <c r="B199">
        <f t="shared" si="208"/>
        <v>150687</v>
      </c>
      <c r="C199" s="11">
        <f t="shared" si="209"/>
        <v>2.8978269230769231E-2</v>
      </c>
      <c r="D199" s="2">
        <f t="shared" si="210"/>
        <v>5.1294707773583692E-3</v>
      </c>
      <c r="E199" s="18">
        <f t="shared" si="215"/>
        <v>-0.11005398276543615</v>
      </c>
      <c r="F199">
        <f t="shared" si="207"/>
        <v>769</v>
      </c>
      <c r="G199">
        <v>5225</v>
      </c>
      <c r="H199">
        <f t="shared" si="216"/>
        <v>4</v>
      </c>
      <c r="I199">
        <v>2166334</v>
      </c>
      <c r="J199">
        <f t="shared" si="212"/>
        <v>14223</v>
      </c>
      <c r="K199" s="2">
        <f t="shared" si="213"/>
        <v>6.6088598589941761E-3</v>
      </c>
      <c r="L199" s="2">
        <f t="shared" si="214"/>
        <v>5.4067355691485623E-2</v>
      </c>
      <c r="W199">
        <v>145462</v>
      </c>
    </row>
    <row r="200" spans="1:23" x14ac:dyDescent="0.3">
      <c r="A200" s="1" cm="1">
        <f t="array" ref="A200">IF(OR(B200:H200=""), "", A199 + 1)</f>
        <v>44105</v>
      </c>
      <c r="B200">
        <f t="shared" si="208"/>
        <v>151381</v>
      </c>
      <c r="C200" s="11">
        <f t="shared" si="209"/>
        <v>2.9111730769230768E-2</v>
      </c>
      <c r="D200" s="2">
        <f t="shared" si="210"/>
        <v>4.6055731416778656E-3</v>
      </c>
      <c r="E200" s="18">
        <f t="shared" si="215"/>
        <v>-0.28966482008828121</v>
      </c>
      <c r="F200">
        <f t="shared" si="207"/>
        <v>694</v>
      </c>
      <c r="G200">
        <v>5229</v>
      </c>
      <c r="H200">
        <f t="shared" si="216"/>
        <v>4</v>
      </c>
      <c r="I200">
        <v>2185773</v>
      </c>
      <c r="J200">
        <f t="shared" si="212"/>
        <v>19439</v>
      </c>
      <c r="K200" s="2">
        <f t="shared" si="213"/>
        <v>8.9732238888371452E-3</v>
      </c>
      <c r="L200" s="2">
        <f t="shared" si="214"/>
        <v>3.5701424970420288E-2</v>
      </c>
      <c r="W200">
        <v>146152</v>
      </c>
    </row>
    <row r="201" spans="1:23" x14ac:dyDescent="0.3">
      <c r="A201" s="1" cm="1">
        <f t="array" ref="A201">IF(OR(B201:H201=""), "", A200 + 1)</f>
        <v>44106</v>
      </c>
      <c r="B201">
        <f t="shared" si="208"/>
        <v>152156</v>
      </c>
      <c r="C201" s="11">
        <f t="shared" si="209"/>
        <v>2.9260769230769229E-2</v>
      </c>
      <c r="D201" s="2">
        <f t="shared" si="210"/>
        <v>5.1195328343716096E-3</v>
      </c>
      <c r="E201" s="18">
        <f t="shared" si="215"/>
        <v>-0.32245418336401382</v>
      </c>
      <c r="F201">
        <f t="shared" si="207"/>
        <v>775</v>
      </c>
      <c r="G201">
        <v>5239</v>
      </c>
      <c r="H201">
        <f t="shared" si="216"/>
        <v>10</v>
      </c>
      <c r="I201">
        <v>2209285</v>
      </c>
      <c r="J201">
        <f t="shared" si="212"/>
        <v>23512</v>
      </c>
      <c r="K201" s="2">
        <f t="shared" si="213"/>
        <v>1.0756835224883909E-2</v>
      </c>
      <c r="L201" s="2">
        <f t="shared" si="214"/>
        <v>3.2961891799931947E-2</v>
      </c>
      <c r="W201">
        <v>146917</v>
      </c>
    </row>
    <row r="202" spans="1:23" x14ac:dyDescent="0.3">
      <c r="A202" s="1" cm="1">
        <f t="array" ref="A202">IF(OR(B202:H202=""), "", A201 + 1)</f>
        <v>44107</v>
      </c>
      <c r="B202">
        <f t="shared" si="208"/>
        <v>153086</v>
      </c>
      <c r="C202" s="11">
        <f t="shared" si="209"/>
        <v>2.9439615384615384E-2</v>
      </c>
      <c r="D202" s="2">
        <f t="shared" si="210"/>
        <v>6.1121480585715204E-3</v>
      </c>
      <c r="E202" s="18">
        <f t="shared" si="215"/>
        <v>-0.27344668575140457</v>
      </c>
      <c r="F202">
        <f t="shared" si="207"/>
        <v>930</v>
      </c>
      <c r="G202">
        <v>5245</v>
      </c>
      <c r="H202">
        <f t="shared" si="216"/>
        <v>6</v>
      </c>
      <c r="I202">
        <v>2234630</v>
      </c>
      <c r="J202">
        <f t="shared" si="212"/>
        <v>25345</v>
      </c>
      <c r="K202" s="2">
        <f t="shared" si="213"/>
        <v>1.1472037333345453E-2</v>
      </c>
      <c r="L202" s="2">
        <f t="shared" si="214"/>
        <v>3.6693627934503849E-2</v>
      </c>
      <c r="W202">
        <v>147841</v>
      </c>
    </row>
    <row r="203" spans="1:23" x14ac:dyDescent="0.3">
      <c r="A203" s="1" cm="1">
        <f t="array" ref="A203">IF(OR(B203:H203=""), "", A202 + 1)</f>
        <v>44108</v>
      </c>
      <c r="B203">
        <f t="shared" si="208"/>
        <v>153637</v>
      </c>
      <c r="C203" s="11">
        <f t="shared" si="209"/>
        <v>2.9545576923076924E-2</v>
      </c>
      <c r="D203" s="2">
        <f t="shared" si="210"/>
        <v>3.5992840625531652E-3</v>
      </c>
      <c r="E203" s="18">
        <f t="shared" si="215"/>
        <v>-0.38459059101176551</v>
      </c>
      <c r="F203">
        <f t="shared" si="207"/>
        <v>551</v>
      </c>
      <c r="G203">
        <v>5256</v>
      </c>
      <c r="H203">
        <f t="shared" si="216"/>
        <v>11</v>
      </c>
      <c r="I203">
        <v>2254129</v>
      </c>
      <c r="J203">
        <f t="shared" si="212"/>
        <v>19499</v>
      </c>
      <c r="K203" s="2">
        <f t="shared" si="213"/>
        <v>8.7258293319252278E-3</v>
      </c>
      <c r="L203" s="2">
        <f t="shared" si="214"/>
        <v>2.8257859377403969E-2</v>
      </c>
      <c r="W203">
        <v>148381</v>
      </c>
    </row>
    <row r="204" spans="1:23" x14ac:dyDescent="0.3">
      <c r="A204" s="1" cm="1">
        <f t="array" ref="A204">IF(OR(B204:H204=""), "", A203 + 1)</f>
        <v>44109</v>
      </c>
      <c r="B204">
        <f t="shared" si="208"/>
        <v>154387</v>
      </c>
      <c r="C204" s="11">
        <f t="shared" si="209"/>
        <v>2.9689807692307692E-2</v>
      </c>
      <c r="D204" s="2">
        <f t="shared" si="210"/>
        <v>4.8816365849371213E-3</v>
      </c>
      <c r="E204" s="18">
        <f t="shared" si="215"/>
        <v>-0.13829471657425438</v>
      </c>
      <c r="F204">
        <f t="shared" si="207"/>
        <v>750</v>
      </c>
      <c r="G204">
        <v>5260</v>
      </c>
      <c r="H204">
        <f t="shared" si="216"/>
        <v>4</v>
      </c>
      <c r="I204">
        <v>2269259</v>
      </c>
      <c r="J204">
        <f t="shared" si="212"/>
        <v>15130</v>
      </c>
      <c r="K204" s="2">
        <f t="shared" si="213"/>
        <v>6.7121269457071087E-3</v>
      </c>
      <c r="L204" s="2">
        <f t="shared" si="214"/>
        <v>4.9570389953734299E-2</v>
      </c>
      <c r="W204">
        <v>149127</v>
      </c>
    </row>
    <row r="205" spans="1:23" x14ac:dyDescent="0.3">
      <c r="A205" s="1" cm="1">
        <f t="array" ref="A205">IF(OR(B205:H205=""), "", A204 + 1)</f>
        <v>44110</v>
      </c>
      <c r="B205">
        <f t="shared" si="208"/>
        <v>154856</v>
      </c>
      <c r="C205" s="11">
        <f t="shared" si="209"/>
        <v>2.9780000000000001E-2</v>
      </c>
      <c r="D205" s="2">
        <f t="shared" si="210"/>
        <v>3.0378205418850612E-3</v>
      </c>
      <c r="E205" s="18">
        <f t="shared" si="215"/>
        <v>-0.32718388132058679</v>
      </c>
      <c r="F205">
        <f t="shared" si="207"/>
        <v>469</v>
      </c>
      <c r="G205">
        <v>5268</v>
      </c>
      <c r="H205">
        <f t="shared" si="216"/>
        <v>8</v>
      </c>
      <c r="I205">
        <v>2283902</v>
      </c>
      <c r="J205">
        <f t="shared" si="212"/>
        <v>14643</v>
      </c>
      <c r="K205" s="2">
        <f t="shared" si="213"/>
        <v>6.4527671808285447E-3</v>
      </c>
      <c r="L205" s="2">
        <f t="shared" si="214"/>
        <v>3.2028955815065221E-2</v>
      </c>
      <c r="W205">
        <v>149588</v>
      </c>
    </row>
    <row r="206" spans="1:23" x14ac:dyDescent="0.3">
      <c r="A206" s="1" cm="1">
        <f t="array" ref="A206">IF(OR(B206:H206=""), "", A205 + 1)</f>
        <v>44111</v>
      </c>
      <c r="B206">
        <f t="shared" si="208"/>
        <v>155673</v>
      </c>
      <c r="C206" s="11">
        <f t="shared" si="209"/>
        <v>2.9937115384615385E-2</v>
      </c>
      <c r="D206" s="2">
        <f t="shared" si="210"/>
        <v>5.2758691946066527E-3</v>
      </c>
      <c r="E206" s="18">
        <f t="shared" si="215"/>
        <v>-9.4076215222351017E-2</v>
      </c>
      <c r="F206">
        <f t="shared" si="207"/>
        <v>817</v>
      </c>
      <c r="G206">
        <v>5273</v>
      </c>
      <c r="H206">
        <f t="shared" si="216"/>
        <v>5</v>
      </c>
      <c r="I206">
        <v>2298866</v>
      </c>
      <c r="J206">
        <f t="shared" si="212"/>
        <v>14964</v>
      </c>
      <c r="K206" s="2">
        <f t="shared" si="213"/>
        <v>6.5519448732913599E-3</v>
      </c>
      <c r="L206" s="2">
        <f t="shared" si="214"/>
        <v>5.459770114942529E-2</v>
      </c>
      <c r="W206">
        <v>150400</v>
      </c>
    </row>
    <row r="207" spans="1:23" x14ac:dyDescent="0.3">
      <c r="A207" s="1" cm="1">
        <f t="array" ref="A207">IF(OR(B207:H207=""), "", A206 + 1)</f>
        <v>44112</v>
      </c>
      <c r="B207">
        <f t="shared" si="208"/>
        <v>156749</v>
      </c>
      <c r="C207" s="11">
        <f t="shared" si="209"/>
        <v>3.0144038461538462E-2</v>
      </c>
      <c r="D207" s="2">
        <f t="shared" si="210"/>
        <v>6.911924354255472E-3</v>
      </c>
      <c r="E207" s="18">
        <f t="shared" si="215"/>
        <v>-0.16428174322850522</v>
      </c>
      <c r="F207">
        <f t="shared" si="207"/>
        <v>1076</v>
      </c>
      <c r="G207">
        <v>5279</v>
      </c>
      <c r="H207">
        <f t="shared" si="216"/>
        <v>6</v>
      </c>
      <c r="I207">
        <v>2322061</v>
      </c>
      <c r="J207">
        <f t="shared" si="212"/>
        <v>23195</v>
      </c>
      <c r="K207" s="2">
        <f t="shared" si="213"/>
        <v>1.0089757297728541E-2</v>
      </c>
      <c r="L207" s="2">
        <f t="shared" si="214"/>
        <v>4.6389308040525976E-2</v>
      </c>
      <c r="W207">
        <v>151470</v>
      </c>
    </row>
    <row r="208" spans="1:23" x14ac:dyDescent="0.3">
      <c r="A208" s="1" cm="1">
        <f t="array" ref="A208">IF(OR(B208:H208=""), "", A207 + 1)</f>
        <v>44113</v>
      </c>
      <c r="B208">
        <f t="shared" si="208"/>
        <v>157676</v>
      </c>
      <c r="C208" s="11">
        <f t="shared" si="209"/>
        <v>3.0322307692307694E-2</v>
      </c>
      <c r="D208" s="2">
        <f t="shared" si="210"/>
        <v>5.9139133264007882E-3</v>
      </c>
      <c r="E208" s="18">
        <f t="shared" si="215"/>
        <v>-0.24363728637710502</v>
      </c>
      <c r="F208">
        <f t="shared" si="207"/>
        <v>927</v>
      </c>
      <c r="G208">
        <v>5289</v>
      </c>
      <c r="H208">
        <f t="shared" si="216"/>
        <v>10</v>
      </c>
      <c r="I208">
        <v>2346126</v>
      </c>
      <c r="J208">
        <f t="shared" si="212"/>
        <v>24065</v>
      </c>
      <c r="K208" s="2">
        <f t="shared" si="213"/>
        <v>1.0363638164544442E-2</v>
      </c>
      <c r="L208" s="2">
        <f t="shared" si="214"/>
        <v>3.8520673176812799E-2</v>
      </c>
      <c r="W208">
        <v>152387</v>
      </c>
    </row>
    <row r="209" spans="1:23" x14ac:dyDescent="0.3">
      <c r="A209" s="1" cm="1">
        <f t="array" ref="A209">IF(OR(B209:H209=""), "", A208 + 1)</f>
        <v>44114</v>
      </c>
      <c r="B209">
        <f t="shared" si="208"/>
        <v>158812</v>
      </c>
      <c r="C209" s="11">
        <f t="shared" si="209"/>
        <v>3.0540769230769232E-2</v>
      </c>
      <c r="D209" s="2">
        <f t="shared" si="210"/>
        <v>7.2046475050102643E-3</v>
      </c>
      <c r="E209" s="18">
        <f t="shared" si="215"/>
        <v>-0.16136152203175891</v>
      </c>
      <c r="F209">
        <f t="shared" si="207"/>
        <v>1136</v>
      </c>
      <c r="G209">
        <v>5298</v>
      </c>
      <c r="H209">
        <f t="shared" si="216"/>
        <v>9</v>
      </c>
      <c r="I209">
        <v>2370635</v>
      </c>
      <c r="J209">
        <f t="shared" si="212"/>
        <v>24509</v>
      </c>
      <c r="K209" s="2">
        <f t="shared" si="213"/>
        <v>1.0446583005345733E-2</v>
      </c>
      <c r="L209" s="2">
        <f t="shared" si="214"/>
        <v>4.635032029050553E-2</v>
      </c>
      <c r="W209">
        <v>153514</v>
      </c>
    </row>
    <row r="210" spans="1:23" x14ac:dyDescent="0.3">
      <c r="A210" s="1" cm="1">
        <f t="array" ref="A210">IF(OR(B210:H210=""), "", A209 + 1)</f>
        <v>44115</v>
      </c>
      <c r="B210">
        <f t="shared" si="208"/>
        <v>159819</v>
      </c>
      <c r="C210" s="11">
        <f t="shared" si="209"/>
        <v>3.0734423076923076E-2</v>
      </c>
      <c r="D210" s="2">
        <f t="shared" si="210"/>
        <v>6.340830667707742E-3</v>
      </c>
      <c r="E210" s="18">
        <f t="shared" si="215"/>
        <v>-0.21503505541910725</v>
      </c>
      <c r="F210">
        <f t="shared" si="207"/>
        <v>1007</v>
      </c>
      <c r="G210">
        <v>5300</v>
      </c>
      <c r="H210">
        <f t="shared" si="216"/>
        <v>2</v>
      </c>
      <c r="I210">
        <v>2395298</v>
      </c>
      <c r="J210">
        <f t="shared" ref="J210:J211" si="217">I210 - I209</f>
        <v>24663</v>
      </c>
      <c r="K210" s="2">
        <f t="shared" ref="K210:K211" si="218">I210/I209 - 1</f>
        <v>1.0403541667105998E-2</v>
      </c>
      <c r="L210" s="2">
        <f t="shared" ref="L210:L211" si="219">(B210 - B209)/(I210 - I209)</f>
        <v>4.0830393707172688E-2</v>
      </c>
      <c r="W210">
        <v>154519</v>
      </c>
    </row>
    <row r="211" spans="1:23" x14ac:dyDescent="0.3">
      <c r="A211" s="1" cm="1">
        <f t="array" ref="A211">IF(OR(B211:H211=""), "", A210 + 1)</f>
        <v>44116</v>
      </c>
      <c r="B211">
        <f t="shared" si="208"/>
        <v>160871</v>
      </c>
      <c r="C211" s="11">
        <f t="shared" si="209"/>
        <v>3.0936730769230768E-2</v>
      </c>
      <c r="D211" s="2">
        <f t="shared" si="210"/>
        <v>6.5824463924815113E-3</v>
      </c>
      <c r="E211" s="18">
        <f t="shared" si="215"/>
        <v>-8.729256460794485E-2</v>
      </c>
      <c r="F211">
        <f t="shared" si="207"/>
        <v>1052</v>
      </c>
      <c r="G211">
        <v>5304</v>
      </c>
      <c r="H211">
        <f t="shared" si="216"/>
        <v>4</v>
      </c>
      <c r="I211">
        <v>2414575</v>
      </c>
      <c r="J211">
        <f t="shared" si="217"/>
        <v>19277</v>
      </c>
      <c r="K211" s="2">
        <f t="shared" si="218"/>
        <v>8.047850413601898E-3</v>
      </c>
      <c r="L211" s="2">
        <f t="shared" si="219"/>
        <v>5.4572806972039214E-2</v>
      </c>
      <c r="W211">
        <v>155567</v>
      </c>
    </row>
    <row r="212" spans="1:23" x14ac:dyDescent="0.3">
      <c r="A212" s="1" cm="1">
        <f t="array" ref="A212">IF(OR(B212:H212=""), "", A211 + 1)</f>
        <v>44117</v>
      </c>
      <c r="B212">
        <f t="shared" si="208"/>
        <v>162041</v>
      </c>
      <c r="C212" s="11">
        <f t="shared" si="209"/>
        <v>3.1161730769230768E-2</v>
      </c>
      <c r="D212" s="2">
        <f t="shared" si="210"/>
        <v>7.2729081064952794E-3</v>
      </c>
      <c r="E212" s="18">
        <f t="shared" si="215"/>
        <v>-4.9741027097830785E-2</v>
      </c>
      <c r="F212">
        <f t="shared" si="207"/>
        <v>1170</v>
      </c>
      <c r="G212">
        <v>5315</v>
      </c>
      <c r="H212">
        <f t="shared" si="216"/>
        <v>11</v>
      </c>
      <c r="I212">
        <v>2434267</v>
      </c>
      <c r="J212">
        <f t="shared" si="212"/>
        <v>19692</v>
      </c>
      <c r="K212" s="2">
        <f t="shared" si="213"/>
        <v>8.155472495159577E-3</v>
      </c>
      <c r="L212" s="2">
        <f t="shared" si="214"/>
        <v>5.9414990859232172E-2</v>
      </c>
      <c r="W212">
        <v>156726</v>
      </c>
    </row>
    <row r="213" spans="1:23" x14ac:dyDescent="0.3">
      <c r="A213" s="1" cm="1">
        <f t="array" ref="A213">IF(OR(B213:H213=""), "", A212 + 1)</f>
        <v>44118</v>
      </c>
      <c r="B213">
        <f t="shared" si="208"/>
        <v>162894</v>
      </c>
      <c r="C213" s="11">
        <f t="shared" si="209"/>
        <v>3.1325769230769233E-2</v>
      </c>
      <c r="D213" s="2">
        <f t="shared" si="210"/>
        <v>5.2640998265871541E-3</v>
      </c>
      <c r="E213" s="18">
        <f t="shared" si="215"/>
        <v>-0.10622368151081146</v>
      </c>
      <c r="F213">
        <f t="shared" si="207"/>
        <v>853</v>
      </c>
      <c r="G213">
        <v>5321</v>
      </c>
      <c r="H213">
        <f t="shared" si="216"/>
        <v>6</v>
      </c>
      <c r="I213">
        <v>2450632</v>
      </c>
      <c r="J213">
        <f t="shared" si="212"/>
        <v>16365</v>
      </c>
      <c r="K213" s="2">
        <f t="shared" si="213"/>
        <v>6.7227629508184172E-3</v>
      </c>
      <c r="L213" s="2">
        <f t="shared" si="214"/>
        <v>5.2123434158264592E-2</v>
      </c>
      <c r="W213">
        <v>157573</v>
      </c>
    </row>
    <row r="214" spans="1:23" x14ac:dyDescent="0.3">
      <c r="A214" s="1" cm="1">
        <f t="array" ref="A214">IF(OR(B214:H214=""), "", A213 + 1)</f>
        <v>44119</v>
      </c>
      <c r="B214">
        <f t="shared" si="208"/>
        <v>164367</v>
      </c>
      <c r="C214" s="11">
        <f t="shared" si="209"/>
        <v>3.1609038461538459E-2</v>
      </c>
      <c r="D214" s="2">
        <f t="shared" si="210"/>
        <v>9.0426903385023572E-3</v>
      </c>
      <c r="E214" s="18">
        <f t="shared" si="215"/>
        <v>8.1655776053880857E-2</v>
      </c>
      <c r="F214">
        <f t="shared" si="207"/>
        <v>1473</v>
      </c>
      <c r="G214">
        <v>5332</v>
      </c>
      <c r="H214">
        <f t="shared" si="216"/>
        <v>11</v>
      </c>
      <c r="I214">
        <v>2468994</v>
      </c>
      <c r="J214">
        <f t="shared" si="212"/>
        <v>18362</v>
      </c>
      <c r="K214" s="2">
        <f t="shared" si="213"/>
        <v>7.4927610510269194E-3</v>
      </c>
      <c r="L214" s="2">
        <f t="shared" si="214"/>
        <v>8.0220019605707446E-2</v>
      </c>
      <c r="W214">
        <v>159035</v>
      </c>
    </row>
    <row r="215" spans="1:23" x14ac:dyDescent="0.3">
      <c r="A215" s="1" cm="1">
        <f t="array" ref="A215">IF(OR(B215:H215=""), "", A214 + 1)</f>
        <v>44120</v>
      </c>
      <c r="B215">
        <f t="shared" si="208"/>
        <v>165984</v>
      </c>
      <c r="C215" s="11">
        <f t="shared" si="209"/>
        <v>3.1919999999999997E-2</v>
      </c>
      <c r="D215" s="2">
        <f t="shared" si="210"/>
        <v>9.8377411524210867E-3</v>
      </c>
      <c r="E215" s="18">
        <f t="shared" si="215"/>
        <v>-8.056194239621009E-2</v>
      </c>
      <c r="F215">
        <f t="shared" si="207"/>
        <v>1617</v>
      </c>
      <c r="G215">
        <v>5339</v>
      </c>
      <c r="H215">
        <f t="shared" si="216"/>
        <v>7</v>
      </c>
      <c r="I215">
        <v>2498234</v>
      </c>
      <c r="J215">
        <f t="shared" si="212"/>
        <v>29240</v>
      </c>
      <c r="K215" s="2">
        <f t="shared" si="213"/>
        <v>1.1842880136606171E-2</v>
      </c>
      <c r="L215" s="2">
        <f t="shared" si="214"/>
        <v>5.5300957592339259E-2</v>
      </c>
      <c r="W215">
        <v>160645</v>
      </c>
    </row>
    <row r="216" spans="1:23" x14ac:dyDescent="0.3">
      <c r="A216" s="1" cm="1">
        <f t="array" ref="A216">IF(OR(B216:H216=""), "", A215 + 1)</f>
        <v>44121</v>
      </c>
      <c r="B216">
        <f t="shared" si="208"/>
        <v>167570</v>
      </c>
      <c r="C216" s="11">
        <f t="shared" si="209"/>
        <v>3.2224999999999997E-2</v>
      </c>
      <c r="D216" s="2">
        <f t="shared" si="210"/>
        <v>9.5551378446114832E-3</v>
      </c>
      <c r="E216" s="18">
        <f t="shared" si="215"/>
        <v>-9.3377621185226217E-2</v>
      </c>
      <c r="F216">
        <f t="shared" si="207"/>
        <v>1586</v>
      </c>
      <c r="G216">
        <v>5350</v>
      </c>
      <c r="H216">
        <f t="shared" si="216"/>
        <v>11</v>
      </c>
      <c r="I216">
        <v>2527831</v>
      </c>
      <c r="J216">
        <f t="shared" si="212"/>
        <v>29597</v>
      </c>
      <c r="K216" s="2">
        <f t="shared" si="213"/>
        <v>1.1847168840068534E-2</v>
      </c>
      <c r="L216" s="2">
        <f t="shared" si="214"/>
        <v>5.3586512146501335E-2</v>
      </c>
      <c r="W216">
        <v>162220</v>
      </c>
    </row>
    <row r="217" spans="1:23" x14ac:dyDescent="0.3">
      <c r="A217" s="1" cm="1">
        <f t="array" ref="A217">IF(OR(B217:H217=""), "", A216 + 1)</f>
        <v>44122</v>
      </c>
      <c r="B217">
        <f t="shared" si="208"/>
        <v>169269</v>
      </c>
      <c r="C217" s="11">
        <f t="shared" si="209"/>
        <v>3.255173076923077E-2</v>
      </c>
      <c r="D217" s="2">
        <f t="shared" si="210"/>
        <v>1.0139046368681681E-2</v>
      </c>
      <c r="E217" s="18">
        <f t="shared" si="215"/>
        <v>-8.8336618096677061E-2</v>
      </c>
      <c r="F217">
        <f t="shared" si="207"/>
        <v>1699</v>
      </c>
      <c r="G217">
        <v>5357</v>
      </c>
      <c r="H217">
        <f t="shared" si="216"/>
        <v>7</v>
      </c>
      <c r="I217">
        <v>2559242</v>
      </c>
      <c r="J217">
        <f t="shared" si="212"/>
        <v>31411</v>
      </c>
      <c r="K217" s="2">
        <f t="shared" si="213"/>
        <v>1.2426068040149785E-2</v>
      </c>
      <c r="L217" s="2">
        <f t="shared" si="214"/>
        <v>5.4089331762758271E-2</v>
      </c>
      <c r="W217">
        <v>163912</v>
      </c>
    </row>
    <row r="218" spans="1:23" x14ac:dyDescent="0.3">
      <c r="A218" s="1" cm="1">
        <f t="array" ref="A218">IF(OR(B218:H218=""), "", A217 + 1)</f>
        <v>44123</v>
      </c>
      <c r="B218">
        <f t="shared" si="208"/>
        <v>170562</v>
      </c>
      <c r="C218" s="11">
        <f t="shared" si="209"/>
        <v>3.2800384615384613E-2</v>
      </c>
      <c r="D218" s="2">
        <f t="shared" si="210"/>
        <v>7.6387288871559988E-3</v>
      </c>
      <c r="E218" s="18">
        <f t="shared" si="215"/>
        <v>-9.7889577069700928E-3</v>
      </c>
      <c r="F218">
        <f t="shared" si="207"/>
        <v>1293</v>
      </c>
      <c r="G218">
        <v>5364</v>
      </c>
      <c r="H218">
        <f t="shared" si="216"/>
        <v>7</v>
      </c>
      <c r="I218">
        <v>2579237</v>
      </c>
      <c r="J218">
        <f t="shared" si="212"/>
        <v>19995</v>
      </c>
      <c r="K218" s="2">
        <f t="shared" si="213"/>
        <v>7.8128602140790093E-3</v>
      </c>
      <c r="L218" s="2">
        <f t="shared" si="214"/>
        <v>6.4666166541635414E-2</v>
      </c>
      <c r="W218">
        <v>165198</v>
      </c>
    </row>
    <row r="219" spans="1:23" x14ac:dyDescent="0.3">
      <c r="A219" s="1" cm="1">
        <f t="array" ref="A219">IF(OR(B219:H219=""), "", A218 + 1)</f>
        <v>44124</v>
      </c>
      <c r="B219">
        <f t="shared" si="208"/>
        <v>171826</v>
      </c>
      <c r="C219" s="11">
        <f t="shared" si="209"/>
        <v>3.3043461538461535E-2</v>
      </c>
      <c r="D219" s="2">
        <f t="shared" si="210"/>
        <v>7.4107949015607133E-3</v>
      </c>
      <c r="E219" s="18">
        <f t="shared" si="215"/>
        <v>-1.92829103106196E-2</v>
      </c>
      <c r="F219">
        <f t="shared" si="207"/>
        <v>1264</v>
      </c>
      <c r="G219">
        <v>5369</v>
      </c>
      <c r="H219">
        <f t="shared" si="216"/>
        <v>5</v>
      </c>
      <c r="I219">
        <v>2599219</v>
      </c>
      <c r="J219">
        <f t="shared" si="212"/>
        <v>19982</v>
      </c>
      <c r="K219" s="2">
        <f t="shared" si="213"/>
        <v>7.7472523851045416E-3</v>
      </c>
      <c r="L219" s="2">
        <f t="shared" si="214"/>
        <v>6.3256931238114308E-2</v>
      </c>
      <c r="W219">
        <v>166457</v>
      </c>
    </row>
    <row r="220" spans="1:23" x14ac:dyDescent="0.3">
      <c r="A220" s="1" cm="1">
        <f t="array" ref="A220">IF(OR(B220:H220=""), "", A219 + 1)</f>
        <v>44125</v>
      </c>
      <c r="B220">
        <f t="shared" si="208"/>
        <v>173521</v>
      </c>
      <c r="C220" s="11">
        <f t="shared" si="209"/>
        <v>3.3369423076923074E-2</v>
      </c>
      <c r="D220" s="2">
        <f t="shared" si="210"/>
        <v>9.8646304982947797E-3</v>
      </c>
      <c r="E220" s="18">
        <f t="shared" si="215"/>
        <v>0.10219851863591015</v>
      </c>
      <c r="F220">
        <f t="shared" si="207"/>
        <v>1695</v>
      </c>
      <c r="G220">
        <v>5382</v>
      </c>
      <c r="H220">
        <f t="shared" si="216"/>
        <v>13</v>
      </c>
      <c r="I220">
        <v>2619483</v>
      </c>
      <c r="J220">
        <f t="shared" si="212"/>
        <v>20264</v>
      </c>
      <c r="K220" s="2">
        <f t="shared" si="213"/>
        <v>7.7961880087826785E-3</v>
      </c>
      <c r="L220" s="2">
        <f t="shared" si="214"/>
        <v>8.3645874457165412E-2</v>
      </c>
      <c r="W220">
        <v>168139</v>
      </c>
    </row>
    <row r="221" spans="1:23" x14ac:dyDescent="0.3">
      <c r="A221" s="1" cm="1">
        <f t="array" ref="A221">IF(OR(B221:H221=""), "", A220 + 1)</f>
        <v>44126</v>
      </c>
      <c r="B221">
        <f t="shared" si="208"/>
        <v>175429</v>
      </c>
      <c r="C221" s="11">
        <f t="shared" si="209"/>
        <v>3.3736346153846151E-2</v>
      </c>
      <c r="D221" s="2">
        <f t="shared" si="210"/>
        <v>1.0995787253416101E-2</v>
      </c>
      <c r="E221" s="18">
        <f t="shared" si="215"/>
        <v>2.2452825026548304E-2</v>
      </c>
      <c r="F221">
        <f t="shared" si="207"/>
        <v>1908</v>
      </c>
      <c r="G221">
        <v>5390</v>
      </c>
      <c r="H221">
        <f t="shared" si="216"/>
        <v>8</v>
      </c>
      <c r="I221">
        <v>2646835</v>
      </c>
      <c r="J221">
        <f t="shared" si="212"/>
        <v>27352</v>
      </c>
      <c r="K221" s="2">
        <f t="shared" si="213"/>
        <v>1.0441755109691586E-2</v>
      </c>
      <c r="L221" s="2">
        <f t="shared" si="214"/>
        <v>6.9757238958759876E-2</v>
      </c>
      <c r="W221">
        <v>170039</v>
      </c>
    </row>
    <row r="222" spans="1:23" x14ac:dyDescent="0.3">
      <c r="A222" s="1" cm="1">
        <f t="array" ref="A222">IF(OR(B222:H222=""), "", A221 + 1)</f>
        <v>44127</v>
      </c>
      <c r="B222">
        <f t="shared" si="208"/>
        <v>176829</v>
      </c>
      <c r="C222" s="11">
        <f t="shared" si="209"/>
        <v>3.4005576923076923E-2</v>
      </c>
      <c r="D222" s="2">
        <f t="shared" si="210"/>
        <v>7.980436529878121E-3</v>
      </c>
      <c r="E222" s="18">
        <f t="shared" si="215"/>
        <v>-0.11086791363295737</v>
      </c>
      <c r="F222">
        <f t="shared" si="207"/>
        <v>1400</v>
      </c>
      <c r="G222">
        <v>5392</v>
      </c>
      <c r="H222">
        <f t="shared" si="216"/>
        <v>2</v>
      </c>
      <c r="I222">
        <v>2674101</v>
      </c>
      <c r="J222">
        <f t="shared" si="212"/>
        <v>27266</v>
      </c>
      <c r="K222" s="2">
        <f t="shared" si="213"/>
        <v>1.0301359926100373E-2</v>
      </c>
      <c r="L222" s="2">
        <f t="shared" si="214"/>
        <v>5.1345998679674321E-2</v>
      </c>
      <c r="W222">
        <v>171437</v>
      </c>
    </row>
    <row r="223" spans="1:23" x14ac:dyDescent="0.3">
      <c r="A223" s="1" cm="1">
        <f t="array" ref="A223">IF(OR(B223:H223=""), "", A222 + 1)</f>
        <v>44128</v>
      </c>
      <c r="B223">
        <f t="shared" si="208"/>
        <v>179226</v>
      </c>
      <c r="C223" s="11">
        <f t="shared" si="209"/>
        <v>3.4466538461538458E-2</v>
      </c>
      <c r="D223" s="2">
        <f t="shared" si="210"/>
        <v>1.355546884278036E-2</v>
      </c>
      <c r="E223" s="18">
        <f t="shared" si="215"/>
        <v>8.9956426422577271E-2</v>
      </c>
      <c r="F223">
        <f t="shared" si="207"/>
        <v>2397</v>
      </c>
      <c r="G223">
        <v>5409</v>
      </c>
      <c r="H223">
        <f t="shared" si="216"/>
        <v>17</v>
      </c>
      <c r="I223">
        <v>2703568</v>
      </c>
      <c r="J223">
        <f t="shared" si="212"/>
        <v>29467</v>
      </c>
      <c r="K223" s="2">
        <f t="shared" si="213"/>
        <v>1.1019404278297618E-2</v>
      </c>
      <c r="L223" s="2">
        <f t="shared" si="214"/>
        <v>8.1345233651203039E-2</v>
      </c>
      <c r="W223">
        <v>173817</v>
      </c>
    </row>
    <row r="224" spans="1:23" x14ac:dyDescent="0.3">
      <c r="A224" s="1" cm="1">
        <f t="array" ref="A224">IF(OR(B224:H224=""), "", A223 + 1)</f>
        <v>44129</v>
      </c>
      <c r="B224">
        <f t="shared" si="208"/>
        <v>181007</v>
      </c>
      <c r="C224" s="11">
        <f t="shared" si="209"/>
        <v>3.4809038461538461E-2</v>
      </c>
      <c r="D224" s="2">
        <f t="shared" si="210"/>
        <v>9.9371742939082797E-3</v>
      </c>
      <c r="E224" s="18">
        <f t="shared" si="215"/>
        <v>-1.6030251215229399E-2</v>
      </c>
      <c r="F224">
        <f t="shared" si="207"/>
        <v>1781</v>
      </c>
      <c r="G224">
        <v>5421</v>
      </c>
      <c r="H224">
        <f t="shared" si="216"/>
        <v>12</v>
      </c>
      <c r="I224">
        <v>2731444</v>
      </c>
      <c r="J224">
        <f t="shared" si="212"/>
        <v>27876</v>
      </c>
      <c r="K224" s="2">
        <f t="shared" si="213"/>
        <v>1.0310818888224826E-2</v>
      </c>
      <c r="L224" s="2">
        <f t="shared" si="214"/>
        <v>6.3890084660639973E-2</v>
      </c>
      <c r="W224">
        <v>175586</v>
      </c>
    </row>
    <row r="225" spans="1:23" x14ac:dyDescent="0.3">
      <c r="A225" s="1" cm="1">
        <f t="array" ref="A225">IF(OR(B225:H225=""), "", A224 + 1)</f>
        <v>44130</v>
      </c>
      <c r="B225">
        <f t="shared" si="208"/>
        <v>182898</v>
      </c>
      <c r="C225" s="11">
        <f t="shared" si="209"/>
        <v>3.5172692307692308E-2</v>
      </c>
      <c r="D225" s="2">
        <f t="shared" si="210"/>
        <v>1.0447109780284736E-2</v>
      </c>
      <c r="E225" s="18">
        <f t="shared" si="215"/>
        <v>8.3840366744309919E-2</v>
      </c>
      <c r="F225">
        <f t="shared" si="207"/>
        <v>1891</v>
      </c>
      <c r="G225">
        <v>5433</v>
      </c>
      <c r="H225">
        <f t="shared" si="216"/>
        <v>12</v>
      </c>
      <c r="I225">
        <v>2754970</v>
      </c>
      <c r="J225">
        <f t="shared" si="212"/>
        <v>23526</v>
      </c>
      <c r="K225" s="2">
        <f t="shared" si="213"/>
        <v>8.6130266628201557E-3</v>
      </c>
      <c r="L225" s="2">
        <f t="shared" si="214"/>
        <v>8.0379154977471737E-2</v>
      </c>
      <c r="W225">
        <v>177465</v>
      </c>
    </row>
    <row r="226" spans="1:23" x14ac:dyDescent="0.3">
      <c r="A226" s="1" cm="1">
        <f t="array" ref="A226">IF(OR(B226:H226=""), "", A225 + 1)</f>
        <v>44131</v>
      </c>
      <c r="B226">
        <f t="shared" si="208"/>
        <v>184271</v>
      </c>
      <c r="C226" s="11">
        <f t="shared" si="209"/>
        <v>3.5436730769230769E-2</v>
      </c>
      <c r="D226" s="2">
        <f t="shared" si="210"/>
        <v>7.5069164233616537E-3</v>
      </c>
      <c r="E226" s="18">
        <f t="shared" si="215"/>
        <v>-7.446638846744626E-3</v>
      </c>
      <c r="F226">
        <f t="shared" si="207"/>
        <v>1373</v>
      </c>
      <c r="G226">
        <v>5439</v>
      </c>
      <c r="H226">
        <f t="shared" si="216"/>
        <v>6</v>
      </c>
      <c r="I226">
        <v>2776009</v>
      </c>
      <c r="J226">
        <f t="shared" si="212"/>
        <v>21039</v>
      </c>
      <c r="K226" s="2">
        <f t="shared" si="213"/>
        <v>7.6367437757942636E-3</v>
      </c>
      <c r="L226" s="2">
        <f t="shared" si="214"/>
        <v>6.5259755691810445E-2</v>
      </c>
      <c r="W226">
        <v>178832</v>
      </c>
    </row>
    <row r="227" spans="1:23" x14ac:dyDescent="0.3">
      <c r="A227" s="1" cm="1">
        <f t="array" ref="A227">IF(OR(B227:H227=""), "", A226 + 1)</f>
        <v>44132</v>
      </c>
      <c r="B227">
        <f t="shared" si="208"/>
        <v>186558</v>
      </c>
      <c r="C227" s="11">
        <f t="shared" si="209"/>
        <v>3.587653846153846E-2</v>
      </c>
      <c r="D227" s="2">
        <f t="shared" si="210"/>
        <v>1.2411068480661536E-2</v>
      </c>
      <c r="E227" s="18">
        <f t="shared" si="215"/>
        <v>0.21914582772478197</v>
      </c>
      <c r="F227">
        <f t="shared" si="207"/>
        <v>2287</v>
      </c>
      <c r="G227">
        <v>5450</v>
      </c>
      <c r="H227">
        <f t="shared" si="216"/>
        <v>11</v>
      </c>
      <c r="I227">
        <v>2796810</v>
      </c>
      <c r="J227">
        <f t="shared" si="212"/>
        <v>20801</v>
      </c>
      <c r="K227" s="2">
        <f t="shared" si="213"/>
        <v>7.4931313263033594E-3</v>
      </c>
      <c r="L227" s="2">
        <f t="shared" si="214"/>
        <v>0.10994663718090476</v>
      </c>
      <c r="W227">
        <v>181108</v>
      </c>
    </row>
    <row r="228" spans="1:23" x14ac:dyDescent="0.3">
      <c r="A228" s="1" cm="1">
        <f t="array" ref="A228">IF(OR(B228:H228=""), "", A227 + 1)</f>
        <v>44133</v>
      </c>
      <c r="B228">
        <f t="shared" si="208"/>
        <v>189112</v>
      </c>
      <c r="C228" s="11">
        <f t="shared" si="209"/>
        <v>3.6367692307692309E-2</v>
      </c>
      <c r="D228" s="2">
        <f t="shared" si="210"/>
        <v>1.3690112458323966E-2</v>
      </c>
      <c r="E228" s="18">
        <f t="shared" si="215"/>
        <v>0.1803272699564861</v>
      </c>
      <c r="F228">
        <f t="shared" si="207"/>
        <v>2554</v>
      </c>
      <c r="G228">
        <v>5463</v>
      </c>
      <c r="H228">
        <f t="shared" si="216"/>
        <v>13</v>
      </c>
      <c r="I228">
        <v>2822088</v>
      </c>
      <c r="J228">
        <f t="shared" si="212"/>
        <v>25278</v>
      </c>
      <c r="K228" s="2">
        <f t="shared" si="213"/>
        <v>9.0381541828010725E-3</v>
      </c>
      <c r="L228" s="2">
        <f t="shared" si="214"/>
        <v>0.10103647440462062</v>
      </c>
      <c r="W228">
        <v>183649</v>
      </c>
    </row>
    <row r="229" spans="1:23" x14ac:dyDescent="0.3">
      <c r="A229" s="1" cm="1">
        <f t="array" ref="A229">IF(OR(B229:H229=""), "", A228 + 1)</f>
        <v>44134</v>
      </c>
      <c r="B229">
        <f t="shared" si="208"/>
        <v>191874</v>
      </c>
      <c r="C229" s="11">
        <f t="shared" si="209"/>
        <v>3.6898846153846157E-2</v>
      </c>
      <c r="D229" s="2">
        <f t="shared" si="210"/>
        <v>1.4605101738652149E-2</v>
      </c>
      <c r="E229" s="18">
        <f t="shared" si="215"/>
        <v>9.0640068120188336E-2</v>
      </c>
      <c r="F229">
        <f t="shared" si="207"/>
        <v>2762</v>
      </c>
      <c r="G229">
        <v>5469</v>
      </c>
      <c r="H229">
        <f t="shared" si="216"/>
        <v>6</v>
      </c>
      <c r="I229">
        <v>2855541</v>
      </c>
      <c r="J229">
        <f t="shared" si="212"/>
        <v>33453</v>
      </c>
      <c r="K229" s="2">
        <f t="shared" si="213"/>
        <v>1.1853988961364692E-2</v>
      </c>
      <c r="L229" s="2">
        <f t="shared" si="214"/>
        <v>8.256359668789047E-2</v>
      </c>
      <c r="W229">
        <v>186405</v>
      </c>
    </row>
    <row r="230" spans="1:23" x14ac:dyDescent="0.3">
      <c r="A230" s="1" cm="1">
        <f t="array" ref="A230">IF(OR(B230:H230=""), "", A229 + 1)</f>
        <v>44135</v>
      </c>
      <c r="B230">
        <f t="shared" si="208"/>
        <v>195145</v>
      </c>
      <c r="C230" s="11">
        <f t="shared" si="209"/>
        <v>3.7527884615384616E-2</v>
      </c>
      <c r="D230" s="2">
        <f t="shared" si="210"/>
        <v>1.7047645850922999E-2</v>
      </c>
      <c r="E230" s="18">
        <f t="shared" si="215"/>
        <v>0.14974777274922768</v>
      </c>
      <c r="F230">
        <f t="shared" si="207"/>
        <v>3271</v>
      </c>
      <c r="G230">
        <v>5485</v>
      </c>
      <c r="H230">
        <f t="shared" si="216"/>
        <v>16</v>
      </c>
      <c r="I230">
        <v>2890024</v>
      </c>
      <c r="J230">
        <f t="shared" si="212"/>
        <v>34483</v>
      </c>
      <c r="K230" s="2">
        <f t="shared" si="213"/>
        <v>1.2075820308655949E-2</v>
      </c>
      <c r="L230" s="2">
        <f t="shared" si="214"/>
        <v>9.4858335991648057E-2</v>
      </c>
      <c r="W230">
        <v>189660</v>
      </c>
    </row>
    <row r="231" spans="1:23" x14ac:dyDescent="0.3">
      <c r="A231" s="1" cm="1">
        <f t="array" ref="A231">IF(OR(B231:H231=""), "", A230 + 1)</f>
        <v>44136</v>
      </c>
      <c r="B231">
        <f t="shared" ref="B231:B276" si="220">W231 + G231</f>
        <v>198602</v>
      </c>
      <c r="C231" s="11">
        <f t="shared" ref="C231:C276" si="221">B231/$A$1</f>
        <v>3.8192692307692309E-2</v>
      </c>
      <c r="D231" s="2">
        <f t="shared" ref="D231:D276" si="222">B231/B230 - 1</f>
        <v>1.7715032411796283E-2</v>
      </c>
      <c r="E231" s="18">
        <f t="shared" ref="E231:E276" si="223">IFERROR(LOG(D231/K231), FALSE)</f>
        <v>0.16103830495285495</v>
      </c>
      <c r="F231">
        <f t="shared" ref="F231:F276" si="224">B231 - B230</f>
        <v>3457</v>
      </c>
      <c r="G231">
        <v>5500</v>
      </c>
      <c r="H231">
        <f t="shared" si="216"/>
        <v>15</v>
      </c>
      <c r="I231">
        <v>2925359</v>
      </c>
      <c r="J231">
        <f t="shared" ref="J231:J276" si="225">I231 - I230</f>
        <v>35335</v>
      </c>
      <c r="K231" s="2">
        <f t="shared" ref="K231:K276" si="226">I231/I230 - 1</f>
        <v>1.2226542063318524E-2</v>
      </c>
      <c r="L231" s="2">
        <f t="shared" ref="L231:L276" si="227">(B231 - B230)/(I231 - I230)</f>
        <v>9.7835007782651764E-2</v>
      </c>
      <c r="W231">
        <v>193102</v>
      </c>
    </row>
    <row r="232" spans="1:23" x14ac:dyDescent="0.3">
      <c r="A232" s="1" cm="1">
        <f t="array" ref="A232">IF(OR(B232:H232=""), "", A231 + 1)</f>
        <v>44137</v>
      </c>
      <c r="B232">
        <f t="shared" si="220"/>
        <v>201250</v>
      </c>
      <c r="C232" s="11">
        <f t="shared" si="221"/>
        <v>3.8701923076923078E-2</v>
      </c>
      <c r="D232" s="2">
        <f t="shared" si="222"/>
        <v>1.3333199061439371E-2</v>
      </c>
      <c r="E232" s="18">
        <f t="shared" si="223"/>
        <v>0.15577890275123871</v>
      </c>
      <c r="F232">
        <f t="shared" si="224"/>
        <v>2648</v>
      </c>
      <c r="G232">
        <v>5510</v>
      </c>
      <c r="H232">
        <f t="shared" si="216"/>
        <v>10</v>
      </c>
      <c r="I232">
        <v>2952607</v>
      </c>
      <c r="J232">
        <f t="shared" si="225"/>
        <v>27248</v>
      </c>
      <c r="K232" s="2">
        <f t="shared" si="226"/>
        <v>9.3144123507575838E-3</v>
      </c>
      <c r="L232" s="2">
        <f t="shared" si="227"/>
        <v>9.7181444509688783E-2</v>
      </c>
      <c r="W232">
        <v>195740</v>
      </c>
    </row>
    <row r="233" spans="1:23" x14ac:dyDescent="0.3">
      <c r="A233" s="1" cm="1">
        <f t="array" ref="A233">IF(OR(B233:H233=""), "", A232 + 1)</f>
        <v>44138</v>
      </c>
      <c r="B233">
        <f t="shared" si="220"/>
        <v>203701</v>
      </c>
      <c r="C233" s="11">
        <f t="shared" si="221"/>
        <v>3.9173269230769234E-2</v>
      </c>
      <c r="D233" s="2">
        <f t="shared" si="222"/>
        <v>1.2178881987577661E-2</v>
      </c>
      <c r="E233" s="18">
        <f t="shared" si="223"/>
        <v>0.10003965802314248</v>
      </c>
      <c r="F233">
        <f t="shared" si="224"/>
        <v>2451</v>
      </c>
      <c r="G233">
        <v>5517</v>
      </c>
      <c r="H233">
        <f t="shared" si="216"/>
        <v>7</v>
      </c>
      <c r="I233">
        <v>2981168</v>
      </c>
      <c r="J233">
        <f t="shared" si="225"/>
        <v>28561</v>
      </c>
      <c r="K233" s="2">
        <f t="shared" si="226"/>
        <v>9.6731464769947983E-3</v>
      </c>
      <c r="L233" s="2">
        <f t="shared" si="227"/>
        <v>8.5816322957879623E-2</v>
      </c>
      <c r="W233">
        <v>198184</v>
      </c>
    </row>
    <row r="234" spans="1:23" x14ac:dyDescent="0.3">
      <c r="A234" s="1" cm="1">
        <f t="array" ref="A234">IF(OR(B234:H234=""), "", A233 + 1)</f>
        <v>44139</v>
      </c>
      <c r="B234">
        <f t="shared" si="220"/>
        <v>206717</v>
      </c>
      <c r="C234" s="11">
        <f t="shared" si="221"/>
        <v>3.9753269230769231E-2</v>
      </c>
      <c r="D234" s="2">
        <f t="shared" si="222"/>
        <v>1.4806014698013348E-2</v>
      </c>
      <c r="E234" s="18">
        <f t="shared" si="223"/>
        <v>0.27946769902820129</v>
      </c>
      <c r="F234">
        <f t="shared" si="224"/>
        <v>3016</v>
      </c>
      <c r="G234">
        <v>5541</v>
      </c>
      <c r="H234">
        <f t="shared" si="216"/>
        <v>24</v>
      </c>
      <c r="I234">
        <v>3004361</v>
      </c>
      <c r="J234">
        <f t="shared" si="225"/>
        <v>23193</v>
      </c>
      <c r="K234" s="2">
        <f t="shared" si="226"/>
        <v>7.7798366277914699E-3</v>
      </c>
      <c r="L234" s="2">
        <f t="shared" si="227"/>
        <v>0.13003923597637218</v>
      </c>
      <c r="W234">
        <v>201176</v>
      </c>
    </row>
    <row r="235" spans="1:23" x14ac:dyDescent="0.3">
      <c r="A235" s="1" cm="1">
        <f t="array" ref="A235">IF(OR(B235:H235=""), "", A234 + 1)</f>
        <v>44140</v>
      </c>
      <c r="B235">
        <f t="shared" si="220"/>
        <v>210551</v>
      </c>
      <c r="C235" s="11">
        <f t="shared" si="221"/>
        <v>4.0490576923076921E-2</v>
      </c>
      <c r="D235" s="2">
        <f t="shared" si="222"/>
        <v>1.854709578796121E-2</v>
      </c>
      <c r="E235" s="18">
        <f t="shared" si="223"/>
        <v>0.28376483469855041</v>
      </c>
      <c r="F235">
        <f t="shared" si="224"/>
        <v>3834</v>
      </c>
      <c r="G235">
        <v>5574</v>
      </c>
      <c r="H235">
        <f t="shared" si="216"/>
        <v>33</v>
      </c>
      <c r="I235">
        <v>3033352</v>
      </c>
      <c r="J235">
        <f t="shared" si="225"/>
        <v>28991</v>
      </c>
      <c r="K235" s="2">
        <f t="shared" si="226"/>
        <v>9.6496393076597187E-3</v>
      </c>
      <c r="L235" s="2">
        <f t="shared" si="227"/>
        <v>0.13224793901555656</v>
      </c>
      <c r="W235">
        <v>204977</v>
      </c>
    </row>
    <row r="236" spans="1:23" x14ac:dyDescent="0.3">
      <c r="A236" s="1" cm="1">
        <f t="array" ref="A236">IF(OR(B236:H236=""), "", A235 + 1)</f>
        <v>44141</v>
      </c>
      <c r="B236">
        <f t="shared" si="220"/>
        <v>215852</v>
      </c>
      <c r="C236" s="11">
        <f t="shared" si="221"/>
        <v>4.1509999999999998E-2</v>
      </c>
      <c r="D236" s="2">
        <f t="shared" si="222"/>
        <v>2.5176798020432045E-2</v>
      </c>
      <c r="E236" s="18">
        <f t="shared" si="223"/>
        <v>0.38732347109031373</v>
      </c>
      <c r="F236">
        <f t="shared" si="224"/>
        <v>5301</v>
      </c>
      <c r="G236">
        <v>5586</v>
      </c>
      <c r="H236">
        <f t="shared" si="216"/>
        <v>12</v>
      </c>
      <c r="I236">
        <v>3064656</v>
      </c>
      <c r="J236">
        <f t="shared" si="225"/>
        <v>31304</v>
      </c>
      <c r="K236" s="2">
        <f t="shared" si="226"/>
        <v>1.0319936492698467E-2</v>
      </c>
      <c r="L236" s="2">
        <f t="shared" si="227"/>
        <v>0.16933938154868389</v>
      </c>
      <c r="W236">
        <v>210266</v>
      </c>
    </row>
    <row r="237" spans="1:23" x14ac:dyDescent="0.3">
      <c r="A237" s="1" cm="1">
        <f t="array" ref="A237">IF(OR(B237:H237=""), "", A236 + 1)</f>
        <v>44142</v>
      </c>
      <c r="B237">
        <f t="shared" si="220"/>
        <v>220536</v>
      </c>
      <c r="C237" s="11">
        <f t="shared" si="221"/>
        <v>4.2410769230769231E-2</v>
      </c>
      <c r="D237" s="2">
        <f t="shared" si="222"/>
        <v>2.170005374052586E-2</v>
      </c>
      <c r="E237" s="18">
        <f t="shared" si="223"/>
        <v>0.2761271826064764</v>
      </c>
      <c r="F237">
        <f t="shared" si="224"/>
        <v>4684</v>
      </c>
      <c r="G237">
        <v>5612</v>
      </c>
      <c r="H237">
        <f t="shared" si="216"/>
        <v>26</v>
      </c>
      <c r="I237">
        <v>3099870</v>
      </c>
      <c r="J237">
        <f t="shared" si="225"/>
        <v>35214</v>
      </c>
      <c r="K237" s="2">
        <f t="shared" si="226"/>
        <v>1.1490359766316294E-2</v>
      </c>
      <c r="L237" s="2">
        <f t="shared" si="227"/>
        <v>0.13301527801442609</v>
      </c>
      <c r="W237">
        <v>214924</v>
      </c>
    </row>
    <row r="238" spans="1:23" x14ac:dyDescent="0.3">
      <c r="A238" s="1" cm="1">
        <f t="array" ref="A238">IF(OR(B238:H238=""), "", A237 + 1)</f>
        <v>44143</v>
      </c>
      <c r="B238">
        <f t="shared" si="220"/>
        <v>224301</v>
      </c>
      <c r="C238" s="11">
        <f t="shared" si="221"/>
        <v>4.3134807692307695E-2</v>
      </c>
      <c r="D238" s="2">
        <f t="shared" si="222"/>
        <v>1.7072042659701747E-2</v>
      </c>
      <c r="E238" s="18">
        <f t="shared" si="223"/>
        <v>0.19036545162331009</v>
      </c>
      <c r="F238">
        <f t="shared" si="224"/>
        <v>3765</v>
      </c>
      <c r="G238">
        <v>5639</v>
      </c>
      <c r="H238">
        <f t="shared" si="216"/>
        <v>27</v>
      </c>
      <c r="I238">
        <v>3134010</v>
      </c>
      <c r="J238">
        <f t="shared" si="225"/>
        <v>34140</v>
      </c>
      <c r="K238" s="2">
        <f t="shared" si="226"/>
        <v>1.1013365076600001E-2</v>
      </c>
      <c r="L238" s="2">
        <f t="shared" si="227"/>
        <v>0.11028119507908611</v>
      </c>
      <c r="W238">
        <v>218662</v>
      </c>
    </row>
    <row r="239" spans="1:23" x14ac:dyDescent="0.3">
      <c r="A239" s="1" cm="1">
        <f t="array" ref="A239">IF(OR(B239:H239=""), "", A238 + 1)</f>
        <v>44144</v>
      </c>
      <c r="B239">
        <f t="shared" si="220"/>
        <v>228755</v>
      </c>
      <c r="C239" s="11">
        <f t="shared" si="221"/>
        <v>4.3991346153846152E-2</v>
      </c>
      <c r="D239" s="2">
        <f t="shared" si="222"/>
        <v>1.9857245397925105E-2</v>
      </c>
      <c r="E239" s="18">
        <f t="shared" si="223"/>
        <v>0.37480735815653804</v>
      </c>
      <c r="F239">
        <f t="shared" si="224"/>
        <v>4454</v>
      </c>
      <c r="G239">
        <v>5645</v>
      </c>
      <c r="H239">
        <f t="shared" si="216"/>
        <v>6</v>
      </c>
      <c r="I239">
        <v>3160265</v>
      </c>
      <c r="J239">
        <f t="shared" si="225"/>
        <v>26255</v>
      </c>
      <c r="K239" s="2">
        <f t="shared" si="226"/>
        <v>8.3774461472680972E-3</v>
      </c>
      <c r="L239" s="2">
        <f t="shared" si="227"/>
        <v>0.16964387735669395</v>
      </c>
      <c r="W239">
        <v>223110</v>
      </c>
    </row>
    <row r="240" spans="1:23" x14ac:dyDescent="0.3">
      <c r="A240" s="1" cm="1">
        <f t="array" ref="A240">IF(OR(B240:H240=""), "", A239 + 1)</f>
        <v>44145</v>
      </c>
      <c r="B240">
        <f t="shared" si="220"/>
        <v>233092</v>
      </c>
      <c r="C240" s="11">
        <f t="shared" si="221"/>
        <v>4.4825384615384614E-2</v>
      </c>
      <c r="D240" s="2">
        <f t="shared" si="222"/>
        <v>1.8959148433913997E-2</v>
      </c>
      <c r="E240" s="18">
        <f t="shared" si="223"/>
        <v>0.22492277515516376</v>
      </c>
      <c r="F240">
        <f t="shared" si="224"/>
        <v>4337</v>
      </c>
      <c r="G240">
        <v>5667</v>
      </c>
      <c r="H240">
        <f t="shared" si="216"/>
        <v>22</v>
      </c>
      <c r="I240">
        <v>3195961</v>
      </c>
      <c r="J240">
        <f t="shared" si="225"/>
        <v>35696</v>
      </c>
      <c r="K240" s="2">
        <f t="shared" si="226"/>
        <v>1.1295255302957274E-2</v>
      </c>
      <c r="L240" s="2">
        <f t="shared" si="227"/>
        <v>0.12149820708202599</v>
      </c>
      <c r="W240">
        <v>227425</v>
      </c>
    </row>
    <row r="241" spans="1:23" x14ac:dyDescent="0.3">
      <c r="A241" s="1" cm="1">
        <f t="array" ref="A241">IF(OR(B241:H241=""), "", A240 + 1)</f>
        <v>44146</v>
      </c>
      <c r="B241">
        <f t="shared" si="220"/>
        <v>237179</v>
      </c>
      <c r="C241" s="11">
        <f t="shared" si="221"/>
        <v>4.5611346153846155E-2</v>
      </c>
      <c r="D241" s="2">
        <f t="shared" si="222"/>
        <v>1.7533849295557014E-2</v>
      </c>
      <c r="E241" s="18">
        <f t="shared" si="223"/>
        <v>0.27809765431304845</v>
      </c>
      <c r="F241">
        <f t="shared" si="224"/>
        <v>4087</v>
      </c>
      <c r="G241">
        <v>5717</v>
      </c>
      <c r="H241">
        <f t="shared" si="216"/>
        <v>50</v>
      </c>
      <c r="I241">
        <v>3225499</v>
      </c>
      <c r="J241">
        <f t="shared" si="225"/>
        <v>29538</v>
      </c>
      <c r="K241" s="2">
        <f t="shared" si="226"/>
        <v>9.2422905035449698E-3</v>
      </c>
      <c r="L241" s="2">
        <f t="shared" si="227"/>
        <v>0.13836414110637146</v>
      </c>
      <c r="W241">
        <v>231462</v>
      </c>
    </row>
    <row r="242" spans="1:23" x14ac:dyDescent="0.3">
      <c r="A242" s="1" cm="1">
        <f t="array" ref="A242">IF(OR(B242:H242=""), "", A241 + 1)</f>
        <v>44147</v>
      </c>
      <c r="B242">
        <f t="shared" si="220"/>
        <v>242442</v>
      </c>
      <c r="C242" s="11">
        <f t="shared" si="221"/>
        <v>4.6623461538461537E-2</v>
      </c>
      <c r="D242" s="2">
        <f t="shared" si="222"/>
        <v>2.2189991525388031E-2</v>
      </c>
      <c r="E242" s="18">
        <f t="shared" si="223"/>
        <v>0.33771658418367284</v>
      </c>
      <c r="F242">
        <f t="shared" si="224"/>
        <v>5263</v>
      </c>
      <c r="G242">
        <v>5725</v>
      </c>
      <c r="H242">
        <f t="shared" si="216"/>
        <v>8</v>
      </c>
      <c r="I242">
        <v>3258387</v>
      </c>
      <c r="J242">
        <f t="shared" si="225"/>
        <v>32888</v>
      </c>
      <c r="K242" s="2">
        <f t="shared" si="226"/>
        <v>1.0196251804759582E-2</v>
      </c>
      <c r="L242" s="2">
        <f t="shared" si="227"/>
        <v>0.1600279737290197</v>
      </c>
      <c r="W242">
        <v>236717</v>
      </c>
    </row>
    <row r="243" spans="1:23" x14ac:dyDescent="0.3">
      <c r="A243" s="1" cm="1">
        <f t="array" ref="A243">IF(OR(B243:H243=""), "", A242 + 1)</f>
        <v>44148</v>
      </c>
      <c r="B243">
        <f t="shared" si="220"/>
        <v>248391</v>
      </c>
      <c r="C243" s="11">
        <f t="shared" si="221"/>
        <v>4.7767499999999997E-2</v>
      </c>
      <c r="D243" s="2">
        <f t="shared" si="222"/>
        <v>2.4537827604127926E-2</v>
      </c>
      <c r="E243" s="18">
        <f t="shared" si="223"/>
        <v>0.34545189322058101</v>
      </c>
      <c r="F243">
        <f t="shared" si="224"/>
        <v>5949</v>
      </c>
      <c r="G243">
        <v>5729</v>
      </c>
      <c r="H243">
        <f t="shared" si="216"/>
        <v>4</v>
      </c>
      <c r="I243">
        <v>3294477</v>
      </c>
      <c r="J243">
        <f t="shared" si="225"/>
        <v>36090</v>
      </c>
      <c r="K243" s="2">
        <f t="shared" si="226"/>
        <v>1.1076032404990555E-2</v>
      </c>
      <c r="L243" s="2">
        <f t="shared" si="227"/>
        <v>0.16483790523690772</v>
      </c>
      <c r="W243">
        <v>242662</v>
      </c>
    </row>
    <row r="244" spans="1:23" x14ac:dyDescent="0.3">
      <c r="A244" s="1" cm="1">
        <f t="array" ref="A244">IF(OR(B244:H244=""), "", A243 + 1)</f>
        <v>44149</v>
      </c>
      <c r="B244">
        <f t="shared" si="220"/>
        <v>252189</v>
      </c>
      <c r="C244" s="11">
        <f t="shared" si="221"/>
        <v>4.8497884615384616E-2</v>
      </c>
      <c r="D244" s="2">
        <f t="shared" si="222"/>
        <v>1.5290409072792555E-2</v>
      </c>
      <c r="E244" s="18">
        <f t="shared" si="223"/>
        <v>7.0386536091572235E-2</v>
      </c>
      <c r="F244">
        <f t="shared" si="224"/>
        <v>3798</v>
      </c>
      <c r="G244">
        <v>5797</v>
      </c>
      <c r="H244">
        <f t="shared" si="216"/>
        <v>68</v>
      </c>
      <c r="I244">
        <v>3337314</v>
      </c>
      <c r="J244">
        <f t="shared" si="225"/>
        <v>42837</v>
      </c>
      <c r="K244" s="2">
        <f t="shared" si="226"/>
        <v>1.3002670833640595E-2</v>
      </c>
      <c r="L244" s="2">
        <f t="shared" si="227"/>
        <v>8.8661670985363122E-2</v>
      </c>
      <c r="W244">
        <v>246392</v>
      </c>
    </row>
    <row r="245" spans="1:23" x14ac:dyDescent="0.3">
      <c r="A245" s="1" cm="1">
        <f t="array" ref="A245">IF(OR(B245:H245=""), "", A244 + 1)</f>
        <v>44150</v>
      </c>
      <c r="B245">
        <f t="shared" si="220"/>
        <v>256918</v>
      </c>
      <c r="C245" s="11">
        <f t="shared" si="221"/>
        <v>4.9407307692307695E-2</v>
      </c>
      <c r="D245" s="2">
        <f t="shared" si="222"/>
        <v>1.8751809159003763E-2</v>
      </c>
      <c r="E245" s="18">
        <f t="shared" si="223"/>
        <v>0.23408789200023913</v>
      </c>
      <c r="F245">
        <f t="shared" si="224"/>
        <v>4729</v>
      </c>
      <c r="G245">
        <v>5817</v>
      </c>
      <c r="H245">
        <f t="shared" si="216"/>
        <v>20</v>
      </c>
      <c r="I245">
        <v>3373819</v>
      </c>
      <c r="J245">
        <f t="shared" si="225"/>
        <v>36505</v>
      </c>
      <c r="K245" s="2">
        <f t="shared" si="226"/>
        <v>1.0938437318154692E-2</v>
      </c>
      <c r="L245" s="2">
        <f t="shared" si="227"/>
        <v>0.12954389809615122</v>
      </c>
      <c r="W245">
        <v>251101</v>
      </c>
    </row>
    <row r="246" spans="1:23" x14ac:dyDescent="0.3">
      <c r="A246" s="1" cm="1">
        <f t="array" ref="A246">IF(OR(B246:H246=""), "", A245 + 1)</f>
        <v>44151</v>
      </c>
      <c r="B246">
        <f t="shared" si="220"/>
        <v>261444</v>
      </c>
      <c r="C246" s="11">
        <f t="shared" si="221"/>
        <v>5.0277692307692308E-2</v>
      </c>
      <c r="D246" s="2">
        <f t="shared" si="222"/>
        <v>1.7616515775461528E-2</v>
      </c>
      <c r="E246" s="18">
        <f t="shared" si="223"/>
        <v>0.26526974846770973</v>
      </c>
      <c r="F246">
        <f t="shared" si="224"/>
        <v>4526</v>
      </c>
      <c r="G246">
        <v>5836</v>
      </c>
      <c r="H246">
        <f t="shared" si="216"/>
        <v>19</v>
      </c>
      <c r="I246">
        <v>3406087</v>
      </c>
      <c r="J246">
        <f t="shared" si="225"/>
        <v>32268</v>
      </c>
      <c r="K246" s="2">
        <f t="shared" si="226"/>
        <v>9.564235662909093E-3</v>
      </c>
      <c r="L246" s="2">
        <f t="shared" si="227"/>
        <v>0.14026279905789016</v>
      </c>
      <c r="W246">
        <v>255608</v>
      </c>
    </row>
    <row r="247" spans="1:23" x14ac:dyDescent="0.3">
      <c r="A247" s="1" cm="1">
        <f t="array" ref="A247">IF(OR(B247:H247=""), "", A246 + 1)</f>
        <v>44152</v>
      </c>
      <c r="B247">
        <f t="shared" si="220"/>
        <v>265859</v>
      </c>
      <c r="C247" s="11">
        <f t="shared" si="221"/>
        <v>5.1126730769230772E-2</v>
      </c>
      <c r="D247" s="2">
        <f t="shared" si="222"/>
        <v>1.6886981533330347E-2</v>
      </c>
      <c r="E247" s="18">
        <f t="shared" si="223"/>
        <v>0.20865064875677364</v>
      </c>
      <c r="F247">
        <f t="shared" si="224"/>
        <v>4415</v>
      </c>
      <c r="G247">
        <v>5855</v>
      </c>
      <c r="H247">
        <f t="shared" si="216"/>
        <v>19</v>
      </c>
      <c r="I247">
        <v>3441663</v>
      </c>
      <c r="J247">
        <f t="shared" si="225"/>
        <v>35576</v>
      </c>
      <c r="K247" s="2">
        <f t="shared" si="226"/>
        <v>1.0444830093887747E-2</v>
      </c>
      <c r="L247" s="2">
        <f t="shared" si="227"/>
        <v>0.12410051720260851</v>
      </c>
      <c r="W247">
        <v>260004</v>
      </c>
    </row>
    <row r="248" spans="1:23" x14ac:dyDescent="0.3">
      <c r="A248" s="1" cm="1">
        <f t="array" ref="A248">IF(OR(B248:H248=""), "", A247 + 1)</f>
        <v>44153</v>
      </c>
      <c r="B248">
        <f t="shared" si="220"/>
        <v>268364</v>
      </c>
      <c r="C248" s="11">
        <f t="shared" si="221"/>
        <v>5.1608461538461541E-2</v>
      </c>
      <c r="D248" s="2">
        <f t="shared" si="222"/>
        <v>9.4222877540350858E-3</v>
      </c>
      <c r="E248" s="18">
        <f t="shared" si="223"/>
        <v>-2.4546640671532512E-2</v>
      </c>
      <c r="F248">
        <f t="shared" si="224"/>
        <v>2505</v>
      </c>
      <c r="G248">
        <v>5935</v>
      </c>
      <c r="H248">
        <f t="shared" si="216"/>
        <v>80</v>
      </c>
      <c r="I248">
        <v>3475977</v>
      </c>
      <c r="J248">
        <f t="shared" si="225"/>
        <v>34314</v>
      </c>
      <c r="K248" s="2">
        <f t="shared" si="226"/>
        <v>9.9701801135090307E-3</v>
      </c>
      <c r="L248" s="2">
        <f t="shared" si="227"/>
        <v>7.300227312467214E-2</v>
      </c>
      <c r="W248">
        <v>262429</v>
      </c>
    </row>
    <row r="249" spans="1:23" x14ac:dyDescent="0.3">
      <c r="A249" s="1" cm="1">
        <f t="array" ref="A249">IF(OR(B249:H249=""), "", A248 + 1)</f>
        <v>44154</v>
      </c>
      <c r="B249">
        <f t="shared" si="220"/>
        <v>274251</v>
      </c>
      <c r="C249" s="11">
        <f t="shared" si="221"/>
        <v>5.2740576923076925E-2</v>
      </c>
      <c r="D249" s="2">
        <f t="shared" si="222"/>
        <v>2.1936623392109222E-2</v>
      </c>
      <c r="E249" s="18">
        <f t="shared" si="223"/>
        <v>0.29974014708958768</v>
      </c>
      <c r="F249">
        <f t="shared" si="224"/>
        <v>5887</v>
      </c>
      <c r="G249">
        <v>5967</v>
      </c>
      <c r="H249">
        <f t="shared" si="216"/>
        <v>32</v>
      </c>
      <c r="I249">
        <v>3514216</v>
      </c>
      <c r="J249">
        <f t="shared" si="225"/>
        <v>38239</v>
      </c>
      <c r="K249" s="2">
        <f t="shared" si="226"/>
        <v>1.1000935851992022E-2</v>
      </c>
      <c r="L249" s="2">
        <f t="shared" si="227"/>
        <v>0.15395277073145219</v>
      </c>
      <c r="W249">
        <v>268284</v>
      </c>
    </row>
    <row r="250" spans="1:23" x14ac:dyDescent="0.3">
      <c r="A250" s="1" cm="1">
        <f t="array" ref="A250">IF(OR(B250:H250=""), "", A249 + 1)</f>
        <v>44155</v>
      </c>
      <c r="B250">
        <f t="shared" si="220"/>
        <v>278750</v>
      </c>
      <c r="C250" s="11">
        <f t="shared" si="221"/>
        <v>5.3605769230769228E-2</v>
      </c>
      <c r="D250" s="2">
        <f t="shared" si="222"/>
        <v>1.640468038402787E-2</v>
      </c>
      <c r="E250" s="18">
        <f t="shared" si="223"/>
        <v>0.16579630834899067</v>
      </c>
      <c r="F250">
        <f t="shared" si="224"/>
        <v>4499</v>
      </c>
      <c r="G250">
        <v>6017</v>
      </c>
      <c r="H250">
        <f t="shared" si="216"/>
        <v>50</v>
      </c>
      <c r="I250">
        <v>3553571</v>
      </c>
      <c r="J250">
        <f t="shared" si="225"/>
        <v>39355</v>
      </c>
      <c r="K250" s="2">
        <f t="shared" si="226"/>
        <v>1.1198799390817138E-2</v>
      </c>
      <c r="L250" s="2">
        <f t="shared" si="227"/>
        <v>0.11431838394104943</v>
      </c>
      <c r="W250">
        <v>272733</v>
      </c>
    </row>
    <row r="251" spans="1:23" x14ac:dyDescent="0.3">
      <c r="A251" s="1" cm="1">
        <f t="array" ref="A251">IF(OR(B251:H251=""), "", A250 + 1)</f>
        <v>44156</v>
      </c>
      <c r="B251">
        <f t="shared" si="220"/>
        <v>283092</v>
      </c>
      <c r="C251" s="11">
        <f t="shared" si="221"/>
        <v>5.444076923076923E-2</v>
      </c>
      <c r="D251" s="2">
        <f t="shared" si="222"/>
        <v>1.5576681614349885E-2</v>
      </c>
      <c r="E251" s="18">
        <f t="shared" si="223"/>
        <v>0.1217039904540325</v>
      </c>
      <c r="F251">
        <f t="shared" si="224"/>
        <v>4342</v>
      </c>
      <c r="G251">
        <v>6066</v>
      </c>
      <c r="H251">
        <f t="shared" si="216"/>
        <v>49</v>
      </c>
      <c r="I251">
        <v>3595396</v>
      </c>
      <c r="J251">
        <f t="shared" si="225"/>
        <v>41825</v>
      </c>
      <c r="K251" s="2">
        <f t="shared" si="226"/>
        <v>1.1769850665710679E-2</v>
      </c>
      <c r="L251" s="2">
        <f t="shared" si="227"/>
        <v>0.10381350866706515</v>
      </c>
      <c r="W251">
        <v>277026</v>
      </c>
    </row>
    <row r="252" spans="1:23" x14ac:dyDescent="0.3">
      <c r="A252" s="1" cm="1">
        <f t="array" ref="A252">IF(OR(B252:H252=""), "", A251 + 1)</f>
        <v>44157</v>
      </c>
      <c r="B252">
        <f t="shared" si="220"/>
        <v>287002</v>
      </c>
      <c r="C252" s="11">
        <f t="shared" si="221"/>
        <v>5.5192692307692311E-2</v>
      </c>
      <c r="D252" s="2">
        <f t="shared" si="222"/>
        <v>1.3811764373419244E-2</v>
      </c>
      <c r="E252" s="18">
        <f t="shared" si="223"/>
        <v>0.17343429712910016</v>
      </c>
      <c r="F252">
        <f t="shared" si="224"/>
        <v>3910</v>
      </c>
      <c r="G252">
        <v>6106</v>
      </c>
      <c r="H252">
        <f t="shared" si="216"/>
        <v>40</v>
      </c>
      <c r="I252">
        <v>3628705</v>
      </c>
      <c r="J252">
        <f t="shared" si="225"/>
        <v>33309</v>
      </c>
      <c r="K252" s="2">
        <f t="shared" si="226"/>
        <v>9.2643480718117566E-3</v>
      </c>
      <c r="L252" s="2">
        <f t="shared" si="227"/>
        <v>0.11738569155483503</v>
      </c>
      <c r="W252">
        <v>280896</v>
      </c>
    </row>
    <row r="253" spans="1:23" x14ac:dyDescent="0.3">
      <c r="A253" s="1" cm="1">
        <f t="array" ref="A253">IF(OR(B253:H253=""), "", A252 + 1)</f>
        <v>44158</v>
      </c>
      <c r="B253">
        <f t="shared" si="220"/>
        <v>290356</v>
      </c>
      <c r="C253" s="11">
        <f t="shared" si="221"/>
        <v>5.583769230769231E-2</v>
      </c>
      <c r="D253" s="2">
        <f t="shared" si="222"/>
        <v>1.1686329711988019E-2</v>
      </c>
      <c r="E253" s="18">
        <f t="shared" si="223"/>
        <v>3.6409736521809025E-2</v>
      </c>
      <c r="F253">
        <f t="shared" si="224"/>
        <v>3354</v>
      </c>
      <c r="G253">
        <v>6139</v>
      </c>
      <c r="H253">
        <f t="shared" si="216"/>
        <v>33</v>
      </c>
      <c r="I253">
        <v>3667701</v>
      </c>
      <c r="J253">
        <f t="shared" si="225"/>
        <v>38996</v>
      </c>
      <c r="K253" s="2">
        <f t="shared" si="226"/>
        <v>1.0746533542958181E-2</v>
      </c>
      <c r="L253" s="2">
        <f t="shared" si="227"/>
        <v>8.6008821417581288E-2</v>
      </c>
      <c r="W253">
        <v>284217</v>
      </c>
    </row>
    <row r="254" spans="1:23" x14ac:dyDescent="0.3">
      <c r="A254" s="1" cm="1">
        <f t="array" ref="A254">IF(OR(B254:H254=""), "", A253 + 1)</f>
        <v>44159</v>
      </c>
      <c r="B254">
        <f t="shared" si="220"/>
        <v>293307</v>
      </c>
      <c r="C254" s="11">
        <f t="shared" si="221"/>
        <v>5.6405192307692309E-2</v>
      </c>
      <c r="D254" s="2">
        <f t="shared" si="222"/>
        <v>1.0163385636942301E-2</v>
      </c>
      <c r="E254" s="18">
        <f t="shared" si="223"/>
        <v>3.4180074088412983E-2</v>
      </c>
      <c r="F254">
        <f t="shared" si="224"/>
        <v>2951</v>
      </c>
      <c r="G254">
        <v>6183</v>
      </c>
      <c r="H254">
        <f t="shared" si="216"/>
        <v>44</v>
      </c>
      <c r="I254">
        <v>3702156</v>
      </c>
      <c r="J254">
        <f t="shared" si="225"/>
        <v>34455</v>
      </c>
      <c r="K254" s="2">
        <f t="shared" si="226"/>
        <v>9.3941681723783699E-3</v>
      </c>
      <c r="L254" s="2">
        <f t="shared" si="227"/>
        <v>8.5647946597010596E-2</v>
      </c>
      <c r="W254">
        <v>287124</v>
      </c>
    </row>
    <row r="255" spans="1:23" x14ac:dyDescent="0.3">
      <c r="A255" s="1" cm="1">
        <f t="array" ref="A255">IF(OR(B255:H255=""), "", A254 + 1)</f>
        <v>44160</v>
      </c>
      <c r="B255">
        <f t="shared" si="220"/>
        <v>297520</v>
      </c>
      <c r="C255" s="11">
        <f t="shared" si="221"/>
        <v>5.7215384615384612E-2</v>
      </c>
      <c r="D255" s="2">
        <f t="shared" si="222"/>
        <v>1.4363789476555366E-2</v>
      </c>
      <c r="E255" s="18">
        <f t="shared" si="223"/>
        <v>8.7314366820047132E-2</v>
      </c>
      <c r="F255">
        <f t="shared" si="224"/>
        <v>4213</v>
      </c>
      <c r="G255">
        <v>6208</v>
      </c>
      <c r="H255">
        <f t="shared" si="216"/>
        <v>25</v>
      </c>
      <c r="I255">
        <v>3745648</v>
      </c>
      <c r="J255">
        <f t="shared" si="225"/>
        <v>43492</v>
      </c>
      <c r="K255" s="2">
        <f t="shared" si="226"/>
        <v>1.1747749149414455E-2</v>
      </c>
      <c r="L255" s="2">
        <f t="shared" si="227"/>
        <v>9.6868389588889908E-2</v>
      </c>
      <c r="W255">
        <v>291312</v>
      </c>
    </row>
    <row r="256" spans="1:23" x14ac:dyDescent="0.3">
      <c r="A256" s="1" cm="1">
        <f t="array" ref="A256">IF(OR(B256:H256=""), "", A255 + 1)</f>
        <v>44161</v>
      </c>
      <c r="B256">
        <f t="shared" si="220"/>
        <v>302366</v>
      </c>
      <c r="C256" s="11">
        <f t="shared" si="221"/>
        <v>5.8147307692307693E-2</v>
      </c>
      <c r="D256" s="2">
        <f t="shared" si="222"/>
        <v>1.6287980639956956E-2</v>
      </c>
      <c r="E256" s="18">
        <f t="shared" si="223"/>
        <v>0.17808933549368572</v>
      </c>
      <c r="F256">
        <f t="shared" si="224"/>
        <v>4846</v>
      </c>
      <c r="G256">
        <v>6237</v>
      </c>
      <c r="H256">
        <f t="shared" si="216"/>
        <v>29</v>
      </c>
      <c r="I256">
        <v>3786134</v>
      </c>
      <c r="J256">
        <f t="shared" si="225"/>
        <v>40486</v>
      </c>
      <c r="K256" s="2">
        <f t="shared" si="226"/>
        <v>1.0808810651721679E-2</v>
      </c>
      <c r="L256" s="2">
        <f t="shared" si="227"/>
        <v>0.11969569727807143</v>
      </c>
      <c r="W256">
        <v>296129</v>
      </c>
    </row>
    <row r="257" spans="1:23" x14ac:dyDescent="0.3">
      <c r="A257" s="1" cm="1">
        <f t="array" ref="A257">IF(OR(B257:H257=""), "", A256 + 1)</f>
        <v>44162</v>
      </c>
      <c r="B257">
        <f t="shared" si="220"/>
        <v>305133</v>
      </c>
      <c r="C257" s="11">
        <f t="shared" si="221"/>
        <v>5.8679423076923073E-2</v>
      </c>
      <c r="D257" s="2">
        <f t="shared" si="222"/>
        <v>9.1511611755290545E-3</v>
      </c>
      <c r="E257" s="18">
        <f t="shared" si="223"/>
        <v>2.1026660714231961E-2</v>
      </c>
      <c r="F257">
        <f t="shared" si="224"/>
        <v>2767</v>
      </c>
      <c r="G257">
        <v>6263</v>
      </c>
      <c r="H257">
        <f t="shared" si="216"/>
        <v>26</v>
      </c>
      <c r="I257">
        <v>3819144</v>
      </c>
      <c r="J257">
        <f t="shared" si="225"/>
        <v>33010</v>
      </c>
      <c r="K257" s="2">
        <f t="shared" si="226"/>
        <v>8.7186560222116682E-3</v>
      </c>
      <c r="L257" s="2">
        <f t="shared" si="227"/>
        <v>8.3823083913965465E-2</v>
      </c>
      <c r="W257">
        <v>298870</v>
      </c>
    </row>
    <row r="258" spans="1:23" x14ac:dyDescent="0.3">
      <c r="A258" s="1" cm="1">
        <f t="array" ref="A258">IF(OR(B258:H258=""), "", A257 + 1)</f>
        <v>44163</v>
      </c>
      <c r="B258">
        <f t="shared" si="220"/>
        <v>307920</v>
      </c>
      <c r="C258" s="11">
        <f t="shared" si="221"/>
        <v>5.9215384615384614E-2</v>
      </c>
      <c r="D258" s="2">
        <f t="shared" si="222"/>
        <v>9.1337220163010269E-3</v>
      </c>
      <c r="E258" s="18">
        <f t="shared" si="223"/>
        <v>9.6169862603172035E-2</v>
      </c>
      <c r="F258">
        <f t="shared" si="224"/>
        <v>2787</v>
      </c>
      <c r="G258">
        <v>6338</v>
      </c>
      <c r="H258">
        <f t="shared" si="216"/>
        <v>75</v>
      </c>
      <c r="I258">
        <v>3847098</v>
      </c>
      <c r="J258">
        <f t="shared" si="225"/>
        <v>27954</v>
      </c>
      <c r="K258" s="2">
        <f t="shared" si="226"/>
        <v>7.3194412150994204E-3</v>
      </c>
      <c r="L258" s="2">
        <f t="shared" si="227"/>
        <v>9.9699506331830862E-2</v>
      </c>
      <c r="W258">
        <v>301582</v>
      </c>
    </row>
    <row r="259" spans="1:23" x14ac:dyDescent="0.3">
      <c r="A259" s="1" cm="1">
        <f t="array" ref="A259">IF(OR(B259:H259=""), "", A258 + 1)</f>
        <v>44164</v>
      </c>
      <c r="B259">
        <f t="shared" si="220"/>
        <v>310591</v>
      </c>
      <c r="C259" s="11">
        <f t="shared" si="221"/>
        <v>5.9729038461538458E-2</v>
      </c>
      <c r="D259" s="2">
        <f t="shared" si="222"/>
        <v>8.6743309950636505E-3</v>
      </c>
      <c r="E259" s="18">
        <f t="shared" si="223"/>
        <v>0.17750561098642234</v>
      </c>
      <c r="F259">
        <f t="shared" si="224"/>
        <v>2671</v>
      </c>
      <c r="G259">
        <v>6371</v>
      </c>
      <c r="H259">
        <f t="shared" si="216"/>
        <v>33</v>
      </c>
      <c r="I259">
        <v>3869273</v>
      </c>
      <c r="J259">
        <f t="shared" si="225"/>
        <v>22175</v>
      </c>
      <c r="K259" s="2">
        <f t="shared" si="226"/>
        <v>5.7640850324063297E-3</v>
      </c>
      <c r="L259" s="2">
        <f t="shared" si="227"/>
        <v>0.12045095828635852</v>
      </c>
      <c r="W259">
        <v>304220</v>
      </c>
    </row>
    <row r="260" spans="1:23" x14ac:dyDescent="0.3">
      <c r="A260" s="1" cm="1">
        <f t="array" ref="A260">IF(OR(B260:H260=""), "", A259 + 1)</f>
        <v>44165</v>
      </c>
      <c r="B260">
        <f t="shared" si="220"/>
        <v>312805</v>
      </c>
      <c r="C260" s="11">
        <f t="shared" si="221"/>
        <v>6.0154807692307695E-2</v>
      </c>
      <c r="D260" s="2">
        <f t="shared" si="222"/>
        <v>7.1283456378323784E-3</v>
      </c>
      <c r="E260" s="18">
        <f t="shared" si="223"/>
        <v>7.4568912561181908E-2</v>
      </c>
      <c r="F260">
        <f t="shared" si="224"/>
        <v>2214</v>
      </c>
      <c r="G260">
        <v>6436</v>
      </c>
      <c r="H260">
        <f t="shared" si="216"/>
        <v>65</v>
      </c>
      <c r="I260">
        <v>3892503</v>
      </c>
      <c r="J260">
        <f t="shared" si="225"/>
        <v>23230</v>
      </c>
      <c r="K260" s="2">
        <f t="shared" si="226"/>
        <v>6.0037118083939855E-3</v>
      </c>
      <c r="L260" s="2">
        <f t="shared" si="227"/>
        <v>9.5307791648730086E-2</v>
      </c>
      <c r="W260">
        <v>306369</v>
      </c>
    </row>
    <row r="261" spans="1:23" x14ac:dyDescent="0.3">
      <c r="A261" s="1" cm="1">
        <f t="array" ref="A261">IF(OR(B261:H261=""), "", A260 + 1)</f>
        <v>44166</v>
      </c>
      <c r="B261">
        <f t="shared" si="220"/>
        <v>317179</v>
      </c>
      <c r="C261" s="11">
        <f t="shared" si="221"/>
        <v>6.0995961538461541E-2</v>
      </c>
      <c r="D261" s="2">
        <f t="shared" si="222"/>
        <v>1.3983152443215463E-2</v>
      </c>
      <c r="E261" s="18">
        <f t="shared" si="223"/>
        <v>0.11218167155122842</v>
      </c>
      <c r="F261">
        <f t="shared" si="224"/>
        <v>4374</v>
      </c>
      <c r="G261">
        <v>6457</v>
      </c>
      <c r="H261">
        <f t="shared" si="216"/>
        <v>21</v>
      </c>
      <c r="I261">
        <v>3934542</v>
      </c>
      <c r="J261">
        <f t="shared" si="225"/>
        <v>42039</v>
      </c>
      <c r="K261" s="2">
        <f t="shared" si="226"/>
        <v>1.0799991676307075E-2</v>
      </c>
      <c r="L261" s="2">
        <f t="shared" si="227"/>
        <v>0.10404624277456648</v>
      </c>
      <c r="W261">
        <v>310722</v>
      </c>
    </row>
    <row r="262" spans="1:23" x14ac:dyDescent="0.3">
      <c r="A262" s="1" cm="1">
        <f t="array" ref="A262">IF(OR(B262:H262=""), "", A261 + 1)</f>
        <v>44167</v>
      </c>
      <c r="B262">
        <f t="shared" si="220"/>
        <v>320662</v>
      </c>
      <c r="C262" s="11">
        <f t="shared" si="221"/>
        <v>6.1665769230769232E-2</v>
      </c>
      <c r="D262" s="2">
        <f t="shared" si="222"/>
        <v>1.0981180973519633E-2</v>
      </c>
      <c r="E262" s="18">
        <f t="shared" si="223"/>
        <v>0.18632718834288017</v>
      </c>
      <c r="F262">
        <f t="shared" si="224"/>
        <v>3483</v>
      </c>
      <c r="G262">
        <v>6528</v>
      </c>
      <c r="H262">
        <f t="shared" si="216"/>
        <v>71</v>
      </c>
      <c r="I262">
        <v>3962675</v>
      </c>
      <c r="J262">
        <f t="shared" si="225"/>
        <v>28133</v>
      </c>
      <c r="K262" s="2">
        <f t="shared" si="226"/>
        <v>7.1502604369200196E-3</v>
      </c>
      <c r="L262" s="2">
        <f t="shared" si="227"/>
        <v>0.12380478441687698</v>
      </c>
      <c r="W262">
        <v>314134</v>
      </c>
    </row>
    <row r="263" spans="1:23" x14ac:dyDescent="0.3">
      <c r="A263" s="1" cm="1">
        <f t="array" ref="A263">IF(OR(B263:H263=""), "", A262 + 1)</f>
        <v>44168</v>
      </c>
      <c r="B263">
        <f t="shared" si="220"/>
        <v>324898</v>
      </c>
      <c r="C263" s="11">
        <f t="shared" si="221"/>
        <v>6.2480384615384618E-2</v>
      </c>
      <c r="D263" s="2">
        <f t="shared" si="222"/>
        <v>1.3210171457796793E-2</v>
      </c>
      <c r="E263" s="18">
        <f t="shared" si="223"/>
        <v>0.16797179772188581</v>
      </c>
      <c r="F263">
        <f t="shared" si="224"/>
        <v>4236</v>
      </c>
      <c r="G263">
        <v>6574</v>
      </c>
      <c r="H263">
        <f t="shared" si="216"/>
        <v>46</v>
      </c>
      <c r="I263">
        <v>3998232</v>
      </c>
      <c r="J263">
        <f t="shared" si="225"/>
        <v>35557</v>
      </c>
      <c r="K263" s="2">
        <f t="shared" si="226"/>
        <v>8.9729791113326574E-3</v>
      </c>
      <c r="L263" s="2">
        <f t="shared" si="227"/>
        <v>0.11913266023567792</v>
      </c>
      <c r="W263">
        <v>318324</v>
      </c>
    </row>
    <row r="264" spans="1:23" x14ac:dyDescent="0.3">
      <c r="A264" s="1" cm="1">
        <f t="array" ref="A264">IF(OR(B264:H264=""), "", A263 + 1)</f>
        <v>44169</v>
      </c>
      <c r="B264">
        <f t="shared" si="220"/>
        <v>328719</v>
      </c>
      <c r="C264" s="11">
        <f t="shared" si="221"/>
        <v>6.3215192307692306E-2</v>
      </c>
      <c r="D264" s="2">
        <f t="shared" si="222"/>
        <v>1.1760614100425393E-2</v>
      </c>
      <c r="E264" s="18">
        <f t="shared" si="223"/>
        <v>9.2125988331754866E-2</v>
      </c>
      <c r="F264">
        <f t="shared" si="224"/>
        <v>3821</v>
      </c>
      <c r="G264">
        <v>6597</v>
      </c>
      <c r="H264">
        <f t="shared" si="216"/>
        <v>23</v>
      </c>
      <c r="I264">
        <v>4036266</v>
      </c>
      <c r="J264">
        <f t="shared" si="225"/>
        <v>38034</v>
      </c>
      <c r="K264" s="2">
        <f t="shared" si="226"/>
        <v>9.5127046154399597E-3</v>
      </c>
      <c r="L264" s="2">
        <f t="shared" si="227"/>
        <v>0.10046274386075617</v>
      </c>
      <c r="W264">
        <v>322122</v>
      </c>
    </row>
    <row r="265" spans="1:23" x14ac:dyDescent="0.3">
      <c r="A265" s="1" cm="1">
        <f t="array" ref="A265">IF(OR(B265:H265=""), "", A264 + 1)</f>
        <v>44170</v>
      </c>
      <c r="B265">
        <f t="shared" si="220"/>
        <v>332474</v>
      </c>
      <c r="C265" s="11">
        <f t="shared" si="221"/>
        <v>6.3937307692307696E-2</v>
      </c>
      <c r="D265" s="2">
        <f t="shared" si="222"/>
        <v>1.1423130394044856E-2</v>
      </c>
      <c r="E265" s="18">
        <f t="shared" si="223"/>
        <v>0.10469657982021448</v>
      </c>
      <c r="F265">
        <f t="shared" si="224"/>
        <v>3755</v>
      </c>
      <c r="G265">
        <v>6661</v>
      </c>
      <c r="H265">
        <f t="shared" si="216"/>
        <v>64</v>
      </c>
      <c r="I265">
        <v>4072496</v>
      </c>
      <c r="J265">
        <f t="shared" si="225"/>
        <v>36230</v>
      </c>
      <c r="K265" s="2">
        <f t="shared" si="226"/>
        <v>8.9761180259180229E-3</v>
      </c>
      <c r="L265" s="2">
        <f t="shared" si="227"/>
        <v>0.10364338945625172</v>
      </c>
      <c r="W265">
        <v>325813</v>
      </c>
    </row>
    <row r="266" spans="1:23" x14ac:dyDescent="0.3">
      <c r="A266" s="1" cm="1">
        <f t="array" ref="A266">IF(OR(B266:H266=""), "", A265 + 1)</f>
        <v>44171</v>
      </c>
      <c r="B266">
        <f t="shared" si="220"/>
        <v>335687</v>
      </c>
      <c r="C266" s="11">
        <f t="shared" si="221"/>
        <v>6.4555192307692313E-2</v>
      </c>
      <c r="D266" s="2">
        <f t="shared" si="222"/>
        <v>9.6639135691813927E-3</v>
      </c>
      <c r="E266" s="18">
        <f t="shared" si="223"/>
        <v>0.11990935602492675</v>
      </c>
      <c r="F266">
        <f t="shared" si="224"/>
        <v>3213</v>
      </c>
      <c r="G266">
        <v>6684</v>
      </c>
      <c r="H266">
        <f t="shared" si="216"/>
        <v>23</v>
      </c>
      <c r="I266">
        <v>4102357</v>
      </c>
      <c r="J266">
        <f t="shared" si="225"/>
        <v>29861</v>
      </c>
      <c r="K266" s="2">
        <f t="shared" si="226"/>
        <v>7.3323583374913515E-3</v>
      </c>
      <c r="L266" s="2">
        <f t="shared" si="227"/>
        <v>0.10759853990154382</v>
      </c>
      <c r="W266">
        <v>329003</v>
      </c>
    </row>
    <row r="267" spans="1:23" x14ac:dyDescent="0.3">
      <c r="A267" s="1" cm="1">
        <f t="array" ref="A267">IF(OR(B267:H267=""), "", A266 + 1)</f>
        <v>44172</v>
      </c>
      <c r="B267">
        <f t="shared" si="220"/>
        <v>339438</v>
      </c>
      <c r="C267" s="11">
        <f t="shared" si="221"/>
        <v>6.5276538461538455E-2</v>
      </c>
      <c r="D267" s="2">
        <f t="shared" si="222"/>
        <v>1.1174099682144334E-2</v>
      </c>
      <c r="E267" s="18">
        <f t="shared" si="223"/>
        <v>0.16413657834158152</v>
      </c>
      <c r="F267">
        <f t="shared" si="224"/>
        <v>3751</v>
      </c>
      <c r="G267">
        <v>6745</v>
      </c>
      <c r="H267">
        <f t="shared" si="216"/>
        <v>61</v>
      </c>
      <c r="I267">
        <v>4133770</v>
      </c>
      <c r="J267">
        <f t="shared" si="225"/>
        <v>31413</v>
      </c>
      <c r="K267" s="2">
        <f t="shared" si="226"/>
        <v>7.6573053003432534E-3</v>
      </c>
      <c r="L267" s="2">
        <f t="shared" si="227"/>
        <v>0.11940916181198867</v>
      </c>
      <c r="W267">
        <v>332693</v>
      </c>
    </row>
    <row r="268" spans="1:23" x14ac:dyDescent="0.3">
      <c r="A268" s="1" cm="1">
        <f t="array" ref="A268">IF(OR(B268:H268=""), "", A267 + 1)</f>
        <v>44173</v>
      </c>
      <c r="B268">
        <f t="shared" si="220"/>
        <v>341981</v>
      </c>
      <c r="C268" s="11">
        <f t="shared" si="221"/>
        <v>6.5765576923076927E-2</v>
      </c>
      <c r="D268" s="2">
        <f t="shared" si="222"/>
        <v>7.4917952615793926E-3</v>
      </c>
      <c r="E268" s="18">
        <f t="shared" si="223"/>
        <v>-1.2899314435518984E-2</v>
      </c>
      <c r="F268">
        <f t="shared" si="224"/>
        <v>2543</v>
      </c>
      <c r="G268">
        <v>6777</v>
      </c>
      <c r="H268">
        <f t="shared" si="216"/>
        <v>32</v>
      </c>
      <c r="I268">
        <v>4165673</v>
      </c>
      <c r="J268">
        <f t="shared" si="225"/>
        <v>31903</v>
      </c>
      <c r="K268" s="2">
        <f t="shared" si="226"/>
        <v>7.7176524093018894E-3</v>
      </c>
      <c r="L268" s="2">
        <f t="shared" si="227"/>
        <v>7.9710372065323012E-2</v>
      </c>
      <c r="W268">
        <v>335204</v>
      </c>
    </row>
    <row r="269" spans="1:23" x14ac:dyDescent="0.3">
      <c r="A269" s="1" cm="1">
        <f t="array" ref="A269">IF(OR(B269:H269=""), "", A268 + 1)</f>
        <v>44174</v>
      </c>
      <c r="B269">
        <f t="shared" si="220"/>
        <v>344934</v>
      </c>
      <c r="C269" s="11">
        <f t="shared" si="221"/>
        <v>6.6333461538461536E-2</v>
      </c>
      <c r="D269" s="2">
        <f t="shared" si="222"/>
        <v>8.6349826452347678E-3</v>
      </c>
      <c r="E269" s="18">
        <f t="shared" si="223"/>
        <v>0.14587835320067111</v>
      </c>
      <c r="F269">
        <f t="shared" si="224"/>
        <v>2953</v>
      </c>
      <c r="G269">
        <v>6841</v>
      </c>
      <c r="H269">
        <f t="shared" si="216"/>
        <v>64</v>
      </c>
      <c r="I269">
        <v>4191381</v>
      </c>
      <c r="J269">
        <f t="shared" si="225"/>
        <v>25708</v>
      </c>
      <c r="K269" s="2">
        <f t="shared" si="226"/>
        <v>6.1713917535053398E-3</v>
      </c>
      <c r="L269" s="2">
        <f t="shared" si="227"/>
        <v>0.11486696748093979</v>
      </c>
      <c r="W269">
        <v>338093</v>
      </c>
    </row>
    <row r="270" spans="1:23" x14ac:dyDescent="0.3">
      <c r="A270" s="1" cm="1">
        <f t="array" ref="A270">IF(OR(B270:H270=""), "", A269 + 1)</f>
        <v>44175</v>
      </c>
      <c r="B270">
        <f t="shared" si="220"/>
        <v>349554</v>
      </c>
      <c r="C270" s="11">
        <f t="shared" si="221"/>
        <v>6.7221923076923082E-2</v>
      </c>
      <c r="D270" s="2">
        <f t="shared" si="222"/>
        <v>1.3393866652750885E-2</v>
      </c>
      <c r="E270" s="18">
        <f t="shared" si="223"/>
        <v>0.16524867541144997</v>
      </c>
      <c r="F270">
        <f t="shared" si="224"/>
        <v>4620</v>
      </c>
      <c r="G270">
        <v>6900</v>
      </c>
      <c r="H270">
        <f t="shared" si="216"/>
        <v>59</v>
      </c>
      <c r="I270">
        <v>4229753</v>
      </c>
      <c r="J270">
        <f t="shared" si="225"/>
        <v>38372</v>
      </c>
      <c r="K270" s="2">
        <f t="shared" si="226"/>
        <v>9.1549777984869518E-3</v>
      </c>
      <c r="L270" s="2">
        <f t="shared" si="227"/>
        <v>0.12040029187949547</v>
      </c>
      <c r="W270">
        <v>342654</v>
      </c>
    </row>
    <row r="271" spans="1:23" x14ac:dyDescent="0.3">
      <c r="A271" s="1" cm="1">
        <f t="array" ref="A271">IF(OR(B271:H271=""), "", A270 + 1)</f>
        <v>44176</v>
      </c>
      <c r="B271">
        <f t="shared" si="220"/>
        <v>352974</v>
      </c>
      <c r="C271" s="11">
        <f t="shared" si="221"/>
        <v>6.7879615384615385E-2</v>
      </c>
      <c r="D271" s="2">
        <f t="shared" si="222"/>
        <v>9.7838960503957573E-3</v>
      </c>
      <c r="E271" s="18">
        <f t="shared" si="223"/>
        <v>9.4565228141277227E-2</v>
      </c>
      <c r="F271">
        <f t="shared" si="224"/>
        <v>3420</v>
      </c>
      <c r="G271">
        <v>6970</v>
      </c>
      <c r="H271">
        <f t="shared" si="216"/>
        <v>70</v>
      </c>
      <c r="I271">
        <v>4263039</v>
      </c>
      <c r="J271">
        <f t="shared" si="225"/>
        <v>33286</v>
      </c>
      <c r="K271" s="2">
        <f t="shared" si="226"/>
        <v>7.8694902515583642E-3</v>
      </c>
      <c r="L271" s="2">
        <f t="shared" si="227"/>
        <v>0.10274589917683111</v>
      </c>
      <c r="W271">
        <v>346004</v>
      </c>
    </row>
    <row r="272" spans="1:23" x14ac:dyDescent="0.3">
      <c r="A272" s="1" cm="1">
        <f t="array" ref="A272">IF(OR(B272:H272=""), "", A271 + 1)</f>
        <v>44177</v>
      </c>
      <c r="B272">
        <f t="shared" si="220"/>
        <v>356462</v>
      </c>
      <c r="C272" s="11">
        <f t="shared" si="221"/>
        <v>6.855038461538461E-2</v>
      </c>
      <c r="D272" s="2">
        <f t="shared" si="222"/>
        <v>9.8817476641339663E-3</v>
      </c>
      <c r="E272" s="18">
        <f t="shared" si="223"/>
        <v>3.9092336004206391E-2</v>
      </c>
      <c r="F272">
        <f t="shared" si="224"/>
        <v>3488</v>
      </c>
      <c r="G272">
        <v>7001</v>
      </c>
      <c r="H272">
        <f t="shared" si="216"/>
        <v>31</v>
      </c>
      <c r="I272">
        <v>4301539</v>
      </c>
      <c r="J272">
        <f t="shared" si="225"/>
        <v>38500</v>
      </c>
      <c r="K272" s="2">
        <f t="shared" si="226"/>
        <v>9.0311160653233635E-3</v>
      </c>
      <c r="L272" s="2">
        <f t="shared" si="227"/>
        <v>9.0597402597402593E-2</v>
      </c>
      <c r="W272">
        <v>349461</v>
      </c>
    </row>
    <row r="273" spans="1:23" x14ac:dyDescent="0.3">
      <c r="A273" s="1" cm="1">
        <f t="array" ref="A273">IF(OR(B273:H273=""), "", A272 + 1)</f>
        <v>44178</v>
      </c>
      <c r="B273">
        <f t="shared" si="220"/>
        <v>359438</v>
      </c>
      <c r="C273" s="11">
        <f t="shared" si="221"/>
        <v>6.9122692307692302E-2</v>
      </c>
      <c r="D273" s="2">
        <f t="shared" si="222"/>
        <v>8.3487159921675769E-3</v>
      </c>
      <c r="E273" s="18">
        <f t="shared" si="223"/>
        <v>0.21485893383737831</v>
      </c>
      <c r="F273">
        <f t="shared" si="224"/>
        <v>2976</v>
      </c>
      <c r="G273">
        <v>7029</v>
      </c>
      <c r="H273">
        <f t="shared" si="216"/>
        <v>28</v>
      </c>
      <c r="I273">
        <v>4323436</v>
      </c>
      <c r="J273">
        <f t="shared" si="225"/>
        <v>21897</v>
      </c>
      <c r="K273" s="2">
        <f t="shared" si="226"/>
        <v>5.0905036546222693E-3</v>
      </c>
      <c r="L273" s="2">
        <f t="shared" si="227"/>
        <v>0.13590902863405946</v>
      </c>
      <c r="W273">
        <v>352409</v>
      </c>
    </row>
    <row r="274" spans="1:23" x14ac:dyDescent="0.3">
      <c r="A274" s="1" cm="1">
        <f t="array" ref="A274">IF(OR(B274:H274=""), "", A273 + 1)</f>
        <v>44179</v>
      </c>
      <c r="B274">
        <f t="shared" si="220"/>
        <v>362584</v>
      </c>
      <c r="C274" s="11">
        <f t="shared" si="221"/>
        <v>6.972769230769231E-2</v>
      </c>
      <c r="D274" s="2">
        <f t="shared" si="222"/>
        <v>8.752552595997054E-3</v>
      </c>
      <c r="E274" s="18">
        <f t="shared" si="223"/>
        <v>2.4590543651324102E-2</v>
      </c>
      <c r="F274">
        <f t="shared" si="224"/>
        <v>3146</v>
      </c>
      <c r="G274">
        <v>7117</v>
      </c>
      <c r="H274">
        <f t="shared" si="216"/>
        <v>88</v>
      </c>
      <c r="I274">
        <v>4359194</v>
      </c>
      <c r="J274">
        <f t="shared" si="225"/>
        <v>35758</v>
      </c>
      <c r="K274" s="2">
        <f t="shared" si="226"/>
        <v>8.2707365160488155E-3</v>
      </c>
      <c r="L274" s="2">
        <f t="shared" si="227"/>
        <v>8.7980312097992064E-2</v>
      </c>
      <c r="W274">
        <v>355467</v>
      </c>
    </row>
    <row r="275" spans="1:23" x14ac:dyDescent="0.3">
      <c r="A275" s="1" cm="1">
        <f t="array" ref="A275">IF(OR(B275:H275=""), "", A274 + 1)</f>
        <v>44180</v>
      </c>
      <c r="B275">
        <f t="shared" si="220"/>
        <v>365144</v>
      </c>
      <c r="C275" s="11">
        <f t="shared" si="221"/>
        <v>7.0220000000000005E-2</v>
      </c>
      <c r="D275" s="2">
        <f t="shared" si="222"/>
        <v>7.0604328927916793E-3</v>
      </c>
      <c r="E275" s="18">
        <f t="shared" si="223"/>
        <v>-6.3483636494682371E-3</v>
      </c>
      <c r="F275">
        <f t="shared" si="224"/>
        <v>2560</v>
      </c>
      <c r="G275">
        <v>7130</v>
      </c>
      <c r="H275">
        <f t="shared" si="216"/>
        <v>13</v>
      </c>
      <c r="I275">
        <v>4390425</v>
      </c>
      <c r="J275">
        <f t="shared" si="225"/>
        <v>31231</v>
      </c>
      <c r="K275" s="2">
        <f t="shared" si="226"/>
        <v>7.1643978221662685E-3</v>
      </c>
      <c r="L275" s="2">
        <f t="shared" si="227"/>
        <v>8.1969837661298076E-2</v>
      </c>
      <c r="W275">
        <v>358014</v>
      </c>
    </row>
    <row r="276" spans="1:23" x14ac:dyDescent="0.3">
      <c r="A276" s="1" cm="1">
        <f t="array" ref="A276">IF(OR(B276:H276=""), "", A275 + 1)</f>
        <v>44181</v>
      </c>
      <c r="B276">
        <f t="shared" si="220"/>
        <v>367285</v>
      </c>
      <c r="C276" s="11">
        <f t="shared" si="221"/>
        <v>7.0631730769230766E-2</v>
      </c>
      <c r="D276" s="2">
        <f t="shared" si="222"/>
        <v>5.8634401770261135E-3</v>
      </c>
      <c r="E276" s="18">
        <f t="shared" si="223"/>
        <v>-8.231074412870755E-2</v>
      </c>
      <c r="F276">
        <f t="shared" si="224"/>
        <v>2141</v>
      </c>
      <c r="G276">
        <v>7168</v>
      </c>
      <c r="H276">
        <f t="shared" si="216"/>
        <v>38</v>
      </c>
      <c r="I276">
        <v>4421540</v>
      </c>
      <c r="J276">
        <f t="shared" si="225"/>
        <v>31115</v>
      </c>
      <c r="K276" s="2">
        <f t="shared" si="226"/>
        <v>7.0870132162603738E-3</v>
      </c>
      <c r="L276" s="2">
        <f t="shared" si="227"/>
        <v>6.8809255985858908E-2</v>
      </c>
      <c r="W276">
        <v>360117</v>
      </c>
    </row>
  </sheetData>
  <conditionalFormatting sqref="D7:D276">
    <cfRule type="colorScale" priority="8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E1">
    <cfRule type="colorScale" priority="7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L1">
    <cfRule type="colorScale" priority="6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E5:E111">
    <cfRule type="colorScale" priority="3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E112:E276">
    <cfRule type="colorScale" priority="2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L5:L276">
    <cfRule type="colorScale" priority="1">
      <colorScale>
        <cfvo type="min"/>
        <cfvo type="num" val="0.2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63FA0-A594-4462-93B3-3F7FA402E86E}">
  <sheetPr codeName="Sheet3">
    <pageSetUpPr autoPageBreaks="0"/>
  </sheetPr>
  <dimension ref="A1:Z276"/>
  <sheetViews>
    <sheetView workbookViewId="0">
      <pane ySplit="1" topLeftCell="A245" activePane="bottomLeft" state="frozen"/>
      <selection pane="bottomLeft" activeCell="L258" sqref="L258"/>
    </sheetView>
  </sheetViews>
  <sheetFormatPr defaultRowHeight="14.4" x14ac:dyDescent="0.3"/>
  <sheetData>
    <row r="1" spans="1:23" x14ac:dyDescent="0.3">
      <c r="A1">
        <v>2700000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275</v>
      </c>
      <c r="W1" t="s">
        <v>0</v>
      </c>
    </row>
    <row r="2" spans="1:23" x14ac:dyDescent="0.3">
      <c r="A2" s="1">
        <v>43907</v>
      </c>
      <c r="C2" s="11"/>
      <c r="D2" s="2"/>
      <c r="E2" s="2"/>
      <c r="G2">
        <v>1</v>
      </c>
    </row>
    <row r="3" spans="1:23" x14ac:dyDescent="0.3">
      <c r="A3" s="1">
        <f t="shared" ref="A3:A66" si="0">A2+1</f>
        <v>43908</v>
      </c>
      <c r="C3" s="11"/>
      <c r="D3" s="2"/>
      <c r="E3" s="2"/>
      <c r="G3">
        <v>1</v>
      </c>
      <c r="H3">
        <f t="shared" ref="H3:H9" si="1">G3-G2</f>
        <v>0</v>
      </c>
    </row>
    <row r="4" spans="1:23" x14ac:dyDescent="0.3">
      <c r="A4" s="1">
        <f t="shared" si="0"/>
        <v>43909</v>
      </c>
      <c r="B4">
        <f t="shared" ref="B4:B35" si="2">W4 + G4</f>
        <v>153</v>
      </c>
      <c r="C4" s="11">
        <f t="shared" ref="C4:C107" si="3">B4/$A$1</f>
        <v>5.6666666666666664E-5</v>
      </c>
      <c r="D4" s="2"/>
      <c r="E4" s="2"/>
      <c r="G4">
        <v>2</v>
      </c>
      <c r="H4">
        <f t="shared" si="1"/>
        <v>1</v>
      </c>
      <c r="W4">
        <v>151</v>
      </c>
    </row>
    <row r="5" spans="1:23" x14ac:dyDescent="0.3">
      <c r="A5" s="1">
        <f t="shared" si="0"/>
        <v>43910</v>
      </c>
      <c r="B5">
        <f t="shared" si="2"/>
        <v>214</v>
      </c>
      <c r="C5" s="11">
        <f t="shared" si="3"/>
        <v>7.9259259259259265E-5</v>
      </c>
      <c r="D5" s="2">
        <f t="shared" ref="D5:D10" si="4">B5/B4 - 1</f>
        <v>0.39869281045751626</v>
      </c>
      <c r="E5" s="15"/>
      <c r="F5">
        <f t="shared" ref="F5:F36" si="5">B5 - B4</f>
        <v>61</v>
      </c>
      <c r="G5">
        <v>2</v>
      </c>
      <c r="H5">
        <f t="shared" si="1"/>
        <v>0</v>
      </c>
      <c r="K5" s="2"/>
      <c r="L5" s="2"/>
      <c r="W5">
        <v>212</v>
      </c>
    </row>
    <row r="6" spans="1:23" x14ac:dyDescent="0.3">
      <c r="A6" s="3">
        <f t="shared" si="0"/>
        <v>43911</v>
      </c>
      <c r="B6" s="4">
        <f t="shared" si="2"/>
        <v>347</v>
      </c>
      <c r="C6" s="12">
        <f t="shared" si="3"/>
        <v>1.2851851851851851E-4</v>
      </c>
      <c r="D6" s="5">
        <f t="shared" si="4"/>
        <v>0.62149532710280364</v>
      </c>
      <c r="E6" s="16"/>
      <c r="F6" s="4">
        <f t="shared" si="5"/>
        <v>133</v>
      </c>
      <c r="G6" s="4">
        <v>2</v>
      </c>
      <c r="H6" s="4">
        <f t="shared" si="1"/>
        <v>0</v>
      </c>
      <c r="I6" s="4"/>
      <c r="J6" s="4"/>
      <c r="K6" s="5"/>
      <c r="L6" s="5"/>
      <c r="M6" t="s">
        <v>10</v>
      </c>
      <c r="W6" s="10">
        <v>345</v>
      </c>
    </row>
    <row r="7" spans="1:23" x14ac:dyDescent="0.3">
      <c r="A7" s="1">
        <f t="shared" si="0"/>
        <v>43912</v>
      </c>
      <c r="B7">
        <f t="shared" si="2"/>
        <v>523</v>
      </c>
      <c r="C7" s="14">
        <f t="shared" si="3"/>
        <v>1.9370370370370369E-4</v>
      </c>
      <c r="D7" s="2">
        <f t="shared" si="4"/>
        <v>0.50720461095100866</v>
      </c>
      <c r="E7" s="15"/>
      <c r="F7">
        <f t="shared" si="5"/>
        <v>176</v>
      </c>
      <c r="G7">
        <v>4</v>
      </c>
      <c r="H7">
        <f t="shared" si="1"/>
        <v>2</v>
      </c>
      <c r="K7" s="2"/>
      <c r="L7" s="2"/>
      <c r="W7">
        <v>519</v>
      </c>
    </row>
    <row r="8" spans="1:23" x14ac:dyDescent="0.3">
      <c r="A8" s="1">
        <f t="shared" si="0"/>
        <v>43913</v>
      </c>
      <c r="B8" s="6">
        <f t="shared" si="2"/>
        <v>640.47213595499954</v>
      </c>
      <c r="C8" s="13">
        <f t="shared" si="3"/>
        <v>2.3721190220555538E-4</v>
      </c>
      <c r="D8" s="7">
        <f t="shared" si="4"/>
        <v>0.22461211463671038</v>
      </c>
      <c r="E8" s="15"/>
      <c r="F8" s="6">
        <f t="shared" si="5"/>
        <v>117.47213595499954</v>
      </c>
      <c r="G8" s="6">
        <f>SQRT(G7 * G9)</f>
        <v>4.4721359549995796</v>
      </c>
      <c r="H8" s="6">
        <f t="shared" si="1"/>
        <v>0.47213595499957961</v>
      </c>
      <c r="K8" s="2"/>
      <c r="L8" s="2"/>
      <c r="W8">
        <v>636</v>
      </c>
    </row>
    <row r="9" spans="1:23" x14ac:dyDescent="0.3">
      <c r="A9" s="1">
        <f t="shared" si="0"/>
        <v>43914</v>
      </c>
      <c r="B9">
        <f t="shared" si="2"/>
        <v>787</v>
      </c>
      <c r="C9" s="14">
        <f t="shared" si="3"/>
        <v>2.9148148148148149E-4</v>
      </c>
      <c r="D9" s="7">
        <f t="shared" si="4"/>
        <v>0.2287810129733665</v>
      </c>
      <c r="E9" s="15"/>
      <c r="F9" s="6">
        <f t="shared" si="5"/>
        <v>146.52786404500046</v>
      </c>
      <c r="G9">
        <v>5</v>
      </c>
      <c r="H9" s="6">
        <f t="shared" si="1"/>
        <v>0.52786404500042039</v>
      </c>
      <c r="K9" s="2"/>
      <c r="L9" s="2"/>
      <c r="W9">
        <v>782</v>
      </c>
    </row>
    <row r="10" spans="1:23" x14ac:dyDescent="0.3">
      <c r="A10" s="1">
        <f t="shared" si="0"/>
        <v>43915</v>
      </c>
      <c r="B10">
        <f t="shared" si="2"/>
        <v>920</v>
      </c>
      <c r="C10" s="14">
        <f t="shared" si="3"/>
        <v>3.4074074074074074E-4</v>
      </c>
      <c r="D10" s="2">
        <f t="shared" si="4"/>
        <v>0.16899618805590855</v>
      </c>
      <c r="E10" s="15"/>
      <c r="F10">
        <f t="shared" si="5"/>
        <v>133</v>
      </c>
      <c r="G10">
        <v>5</v>
      </c>
      <c r="H10">
        <f>G10-G9</f>
        <v>0</v>
      </c>
      <c r="K10" s="2"/>
      <c r="L10" s="2"/>
      <c r="W10">
        <v>915</v>
      </c>
    </row>
    <row r="11" spans="1:23" x14ac:dyDescent="0.3">
      <c r="A11" s="1">
        <f t="shared" si="0"/>
        <v>43916</v>
      </c>
      <c r="B11">
        <f t="shared" si="2"/>
        <v>1170</v>
      </c>
      <c r="C11" s="11">
        <f t="shared" si="3"/>
        <v>4.3333333333333331E-4</v>
      </c>
      <c r="D11" s="2">
        <f t="shared" ref="D11" si="6">B11/B10 - 1</f>
        <v>0.27173913043478271</v>
      </c>
      <c r="E11" s="15"/>
      <c r="F11">
        <f t="shared" si="5"/>
        <v>250</v>
      </c>
      <c r="G11">
        <v>9</v>
      </c>
      <c r="H11">
        <f t="shared" ref="H11:H103" si="7">G11-G10</f>
        <v>4</v>
      </c>
      <c r="K11" s="2"/>
      <c r="L11" s="2"/>
      <c r="W11">
        <v>1161</v>
      </c>
    </row>
    <row r="12" spans="1:23" x14ac:dyDescent="0.3">
      <c r="A12" s="1">
        <f t="shared" si="0"/>
        <v>43917</v>
      </c>
      <c r="B12">
        <f t="shared" si="2"/>
        <v>1373</v>
      </c>
      <c r="C12" s="11">
        <f t="shared" si="3"/>
        <v>5.085185185185185E-4</v>
      </c>
      <c r="D12" s="2">
        <f t="shared" ref="D12" si="8">B12/B11 - 1</f>
        <v>0.17350427350427355</v>
      </c>
      <c r="E12" s="15"/>
      <c r="F12">
        <f t="shared" si="5"/>
        <v>203</v>
      </c>
      <c r="G12">
        <v>9</v>
      </c>
      <c r="H12">
        <f t="shared" si="7"/>
        <v>0</v>
      </c>
      <c r="K12" s="2"/>
      <c r="L12" s="2"/>
      <c r="W12">
        <v>1364</v>
      </c>
    </row>
    <row r="13" spans="1:23" x14ac:dyDescent="0.3">
      <c r="A13" s="1">
        <f t="shared" si="0"/>
        <v>43918</v>
      </c>
      <c r="B13">
        <f t="shared" si="2"/>
        <v>1622</v>
      </c>
      <c r="C13" s="11">
        <f t="shared" si="3"/>
        <v>6.0074074074074077E-4</v>
      </c>
      <c r="D13" s="2">
        <f t="shared" ref="D13" si="9">B13/B12 - 1</f>
        <v>0.1813546977421705</v>
      </c>
      <c r="E13" s="15"/>
      <c r="F13">
        <f t="shared" si="5"/>
        <v>249</v>
      </c>
      <c r="G13">
        <v>12</v>
      </c>
      <c r="H13">
        <f t="shared" si="7"/>
        <v>3</v>
      </c>
      <c r="K13" s="2"/>
      <c r="L13" s="2"/>
      <c r="W13">
        <v>1610</v>
      </c>
    </row>
    <row r="14" spans="1:23" x14ac:dyDescent="0.3">
      <c r="A14" s="1">
        <f t="shared" si="0"/>
        <v>43919</v>
      </c>
      <c r="B14">
        <f t="shared" si="2"/>
        <v>2042</v>
      </c>
      <c r="C14" s="11">
        <f t="shared" si="3"/>
        <v>7.5629629629629625E-4</v>
      </c>
      <c r="D14" s="2">
        <f t="shared" ref="D14" si="10">B14/B13 - 1</f>
        <v>0.25893958076448831</v>
      </c>
      <c r="E14" s="15"/>
      <c r="F14">
        <f t="shared" si="5"/>
        <v>420</v>
      </c>
      <c r="G14">
        <v>16</v>
      </c>
      <c r="H14">
        <f t="shared" si="7"/>
        <v>4</v>
      </c>
      <c r="K14" s="2"/>
      <c r="L14" s="2"/>
      <c r="W14">
        <v>2026</v>
      </c>
    </row>
    <row r="15" spans="1:23" x14ac:dyDescent="0.3">
      <c r="A15" s="1">
        <f t="shared" si="0"/>
        <v>43920</v>
      </c>
      <c r="B15">
        <f t="shared" si="2"/>
        <v>2214</v>
      </c>
      <c r="C15" s="11">
        <f t="shared" si="3"/>
        <v>8.1999999999999998E-4</v>
      </c>
      <c r="D15" s="2">
        <f t="shared" ref="D15" si="11">B15/B14 - 1</f>
        <v>8.4231145935357521E-2</v>
      </c>
      <c r="E15" s="15"/>
      <c r="F15">
        <f t="shared" si="5"/>
        <v>172</v>
      </c>
      <c r="G15">
        <v>16</v>
      </c>
      <c r="H15">
        <f t="shared" si="7"/>
        <v>0</v>
      </c>
      <c r="K15" s="2"/>
      <c r="L15" s="2"/>
      <c r="W15">
        <v>2198</v>
      </c>
    </row>
    <row r="16" spans="1:23" x14ac:dyDescent="0.3">
      <c r="A16" s="1">
        <f t="shared" si="0"/>
        <v>43921</v>
      </c>
      <c r="B16">
        <f t="shared" si="2"/>
        <v>2715</v>
      </c>
      <c r="C16" s="11">
        <f t="shared" si="3"/>
        <v>1.0055555555555555E-3</v>
      </c>
      <c r="D16" s="2">
        <f t="shared" ref="D16:D22" si="12">B16/B15 - 1</f>
        <v>0.22628726287262868</v>
      </c>
      <c r="E16" s="15"/>
      <c r="F16">
        <f t="shared" si="5"/>
        <v>501</v>
      </c>
      <c r="G16">
        <v>22</v>
      </c>
      <c r="H16">
        <f t="shared" si="7"/>
        <v>6</v>
      </c>
      <c r="K16" s="2"/>
      <c r="L16" s="2"/>
      <c r="W16">
        <v>2693</v>
      </c>
    </row>
    <row r="17" spans="1:23" x14ac:dyDescent="0.3">
      <c r="A17" s="1">
        <f t="shared" si="0"/>
        <v>43922</v>
      </c>
      <c r="B17">
        <f t="shared" si="2"/>
        <v>3126</v>
      </c>
      <c r="C17" s="11">
        <f t="shared" si="3"/>
        <v>1.1577777777777778E-3</v>
      </c>
      <c r="D17" s="2">
        <f t="shared" si="12"/>
        <v>0.15138121546961325</v>
      </c>
      <c r="E17" s="15"/>
      <c r="F17">
        <f t="shared" si="5"/>
        <v>411</v>
      </c>
      <c r="G17">
        <v>39</v>
      </c>
      <c r="H17">
        <f t="shared" si="7"/>
        <v>17</v>
      </c>
      <c r="K17" s="2"/>
      <c r="L17" s="2"/>
      <c r="W17">
        <v>3087</v>
      </c>
    </row>
    <row r="18" spans="1:23" x14ac:dyDescent="0.3">
      <c r="A18" s="1">
        <f t="shared" si="0"/>
        <v>43923</v>
      </c>
      <c r="B18">
        <f t="shared" si="2"/>
        <v>3320</v>
      </c>
      <c r="C18" s="11">
        <f t="shared" si="3"/>
        <v>1.2296296296296296E-3</v>
      </c>
      <c r="D18" s="2">
        <f t="shared" si="12"/>
        <v>6.2060140754958359E-2</v>
      </c>
      <c r="E18" s="15"/>
      <c r="F18">
        <f t="shared" si="5"/>
        <v>194</v>
      </c>
      <c r="G18">
        <v>41</v>
      </c>
      <c r="H18">
        <f t="shared" si="7"/>
        <v>2</v>
      </c>
      <c r="K18" s="2"/>
      <c r="L18" s="2"/>
      <c r="W18">
        <v>3279</v>
      </c>
    </row>
    <row r="19" spans="1:23" x14ac:dyDescent="0.3">
      <c r="A19" s="1">
        <f t="shared" si="0"/>
        <v>43924</v>
      </c>
      <c r="B19">
        <f t="shared" si="2"/>
        <v>3872</v>
      </c>
      <c r="C19" s="11">
        <f t="shared" si="3"/>
        <v>1.4340740740740742E-3</v>
      </c>
      <c r="D19" s="2">
        <f t="shared" si="12"/>
        <v>0.16626506024096388</v>
      </c>
      <c r="E19" s="15"/>
      <c r="F19">
        <f t="shared" si="5"/>
        <v>552</v>
      </c>
      <c r="G19">
        <v>57</v>
      </c>
      <c r="H19">
        <f t="shared" si="7"/>
        <v>16</v>
      </c>
      <c r="K19" s="2"/>
      <c r="L19" s="2"/>
      <c r="W19">
        <v>3815</v>
      </c>
    </row>
    <row r="20" spans="1:23" x14ac:dyDescent="0.3">
      <c r="A20" s="1">
        <f t="shared" si="0"/>
        <v>43925</v>
      </c>
      <c r="B20">
        <f t="shared" si="2"/>
        <v>4372</v>
      </c>
      <c r="C20" s="11">
        <f t="shared" si="3"/>
        <v>1.6192592592592593E-3</v>
      </c>
      <c r="D20" s="2">
        <f t="shared" si="12"/>
        <v>0.12913223140495877</v>
      </c>
      <c r="E20" s="15"/>
      <c r="F20">
        <f t="shared" si="5"/>
        <v>500</v>
      </c>
      <c r="G20">
        <v>76</v>
      </c>
      <c r="H20">
        <f t="shared" si="7"/>
        <v>19</v>
      </c>
      <c r="K20" s="2"/>
      <c r="L20" s="2"/>
      <c r="W20">
        <v>4296</v>
      </c>
    </row>
    <row r="21" spans="1:23" x14ac:dyDescent="0.3">
      <c r="A21" s="1">
        <f t="shared" si="0"/>
        <v>43926</v>
      </c>
      <c r="B21">
        <f t="shared" si="2"/>
        <v>4704</v>
      </c>
      <c r="C21" s="11">
        <f t="shared" si="3"/>
        <v>1.7422222222222223E-3</v>
      </c>
      <c r="D21" s="2">
        <f t="shared" si="12"/>
        <v>7.5937785910338507E-2</v>
      </c>
      <c r="E21" s="15"/>
      <c r="F21">
        <f t="shared" si="5"/>
        <v>332</v>
      </c>
      <c r="G21">
        <v>90</v>
      </c>
      <c r="H21">
        <f t="shared" si="7"/>
        <v>14</v>
      </c>
      <c r="K21" s="2"/>
      <c r="L21" s="2"/>
      <c r="W21">
        <v>4614</v>
      </c>
    </row>
    <row r="22" spans="1:23" x14ac:dyDescent="0.3">
      <c r="A22" s="1">
        <f t="shared" si="0"/>
        <v>43927</v>
      </c>
      <c r="B22">
        <f t="shared" si="2"/>
        <v>5175</v>
      </c>
      <c r="C22" s="11">
        <f t="shared" si="3"/>
        <v>1.9166666666666666E-3</v>
      </c>
      <c r="D22" s="2">
        <f t="shared" si="12"/>
        <v>0.10012755102040827</v>
      </c>
      <c r="E22" s="15"/>
      <c r="F22">
        <f t="shared" si="5"/>
        <v>471</v>
      </c>
      <c r="G22">
        <v>108</v>
      </c>
      <c r="H22">
        <f t="shared" si="7"/>
        <v>18</v>
      </c>
      <c r="K22" s="2"/>
      <c r="L22" s="2"/>
      <c r="W22">
        <v>5067</v>
      </c>
    </row>
    <row r="23" spans="1:23" x14ac:dyDescent="0.3">
      <c r="A23" s="1">
        <f t="shared" si="0"/>
        <v>43928</v>
      </c>
      <c r="B23">
        <f t="shared" si="2"/>
        <v>5641</v>
      </c>
      <c r="C23" s="11">
        <f t="shared" si="3"/>
        <v>2.0892592592592595E-3</v>
      </c>
      <c r="D23" s="2">
        <f t="shared" ref="D23" si="13">B23/B22 - 1</f>
        <v>9.0048309178744068E-2</v>
      </c>
      <c r="E23" s="15"/>
      <c r="F23">
        <f t="shared" si="5"/>
        <v>466</v>
      </c>
      <c r="G23">
        <v>135</v>
      </c>
      <c r="H23">
        <f t="shared" si="7"/>
        <v>27</v>
      </c>
      <c r="K23" s="2"/>
      <c r="L23" s="2"/>
      <c r="W23">
        <v>5506</v>
      </c>
    </row>
    <row r="24" spans="1:23" x14ac:dyDescent="0.3">
      <c r="A24" s="1">
        <f t="shared" si="0"/>
        <v>43929</v>
      </c>
      <c r="B24">
        <f t="shared" si="2"/>
        <v>6269</v>
      </c>
      <c r="C24" s="11">
        <f t="shared" si="3"/>
        <v>2.3218518518518519E-3</v>
      </c>
      <c r="D24" s="2">
        <f t="shared" ref="D24" si="14">B24/B23 - 1</f>
        <v>0.11132777876263078</v>
      </c>
      <c r="E24" s="15"/>
      <c r="F24">
        <f t="shared" si="5"/>
        <v>628</v>
      </c>
      <c r="G24">
        <v>177</v>
      </c>
      <c r="H24">
        <f t="shared" si="7"/>
        <v>42</v>
      </c>
      <c r="K24" s="2"/>
      <c r="L24" s="2"/>
      <c r="W24">
        <v>6092</v>
      </c>
    </row>
    <row r="25" spans="1:23" x14ac:dyDescent="0.3">
      <c r="A25" s="1">
        <f t="shared" si="0"/>
        <v>43930</v>
      </c>
      <c r="B25">
        <f t="shared" si="2"/>
        <v>6846</v>
      </c>
      <c r="C25" s="11">
        <f t="shared" si="3"/>
        <v>2.5355555555555557E-3</v>
      </c>
      <c r="D25" s="2">
        <f t="shared" ref="D25" si="15">B25/B24 - 1</f>
        <v>9.2040197798691992E-2</v>
      </c>
      <c r="E25" s="15"/>
      <c r="F25">
        <f t="shared" si="5"/>
        <v>577</v>
      </c>
      <c r="G25">
        <v>198</v>
      </c>
      <c r="H25">
        <f t="shared" si="7"/>
        <v>21</v>
      </c>
      <c r="K25" s="2"/>
      <c r="L25" s="2"/>
      <c r="W25">
        <v>6648</v>
      </c>
    </row>
    <row r="26" spans="1:23" x14ac:dyDescent="0.3">
      <c r="A26" s="1">
        <f t="shared" si="0"/>
        <v>43931</v>
      </c>
      <c r="B26">
        <f t="shared" si="2"/>
        <v>7448</v>
      </c>
      <c r="C26" s="11">
        <f t="shared" si="3"/>
        <v>2.7585185185185187E-3</v>
      </c>
      <c r="D26" s="2">
        <f t="shared" ref="D26" si="16">B26/B25 - 1</f>
        <v>8.7934560327198374E-2</v>
      </c>
      <c r="E26" s="15"/>
      <c r="F26">
        <f t="shared" si="5"/>
        <v>602</v>
      </c>
      <c r="G26">
        <v>218</v>
      </c>
      <c r="H26">
        <f t="shared" si="7"/>
        <v>20</v>
      </c>
      <c r="K26" s="2"/>
      <c r="L26" s="2"/>
      <c r="W26">
        <v>7230</v>
      </c>
    </row>
    <row r="27" spans="1:23" x14ac:dyDescent="0.3">
      <c r="A27" s="1">
        <f t="shared" si="0"/>
        <v>43932</v>
      </c>
      <c r="B27">
        <f t="shared" si="2"/>
        <v>8033</v>
      </c>
      <c r="C27" s="11">
        <f t="shared" si="3"/>
        <v>2.9751851851851853E-3</v>
      </c>
      <c r="D27" s="2">
        <f t="shared" ref="D27" si="17">B27/B26 - 1</f>
        <v>7.8544575725026933E-2</v>
      </c>
      <c r="E27" s="15"/>
      <c r="F27">
        <f t="shared" si="5"/>
        <v>585</v>
      </c>
      <c r="G27">
        <v>249</v>
      </c>
      <c r="H27">
        <f t="shared" si="7"/>
        <v>31</v>
      </c>
      <c r="K27" s="2"/>
      <c r="L27" s="2"/>
      <c r="W27">
        <v>7784</v>
      </c>
    </row>
    <row r="28" spans="1:23" x14ac:dyDescent="0.3">
      <c r="A28" s="1">
        <f t="shared" si="0"/>
        <v>43933</v>
      </c>
      <c r="B28">
        <f t="shared" si="2"/>
        <v>8770</v>
      </c>
      <c r="C28" s="11">
        <f t="shared" si="3"/>
        <v>3.248148148148148E-3</v>
      </c>
      <c r="D28" s="2">
        <f t="shared" ref="D28" si="18">B28/B27 - 1</f>
        <v>9.1746545499813204E-2</v>
      </c>
      <c r="E28" s="15"/>
      <c r="F28">
        <f t="shared" si="5"/>
        <v>737</v>
      </c>
      <c r="G28">
        <v>267</v>
      </c>
      <c r="H28">
        <f t="shared" si="7"/>
        <v>18</v>
      </c>
      <c r="K28" s="2"/>
      <c r="L28" s="2"/>
      <c r="W28">
        <v>8503</v>
      </c>
    </row>
    <row r="29" spans="1:23" x14ac:dyDescent="0.3">
      <c r="A29" s="1">
        <f t="shared" si="0"/>
        <v>43934</v>
      </c>
      <c r="B29">
        <f t="shared" si="2"/>
        <v>9392</v>
      </c>
      <c r="C29" s="11">
        <f t="shared" si="3"/>
        <v>3.4785185185185184E-3</v>
      </c>
      <c r="D29" s="2">
        <f t="shared" ref="D29" si="19">B29/B28 - 1</f>
        <v>7.09236031927023E-2</v>
      </c>
      <c r="E29" s="15"/>
      <c r="F29">
        <f t="shared" si="5"/>
        <v>622</v>
      </c>
      <c r="G29">
        <v>308</v>
      </c>
      <c r="H29">
        <f t="shared" si="7"/>
        <v>41</v>
      </c>
      <c r="K29" s="2"/>
      <c r="L29" s="2"/>
      <c r="W29">
        <v>9084</v>
      </c>
    </row>
    <row r="30" spans="1:23" x14ac:dyDescent="0.3">
      <c r="A30" s="1">
        <f t="shared" si="0"/>
        <v>43935</v>
      </c>
      <c r="B30">
        <f t="shared" si="2"/>
        <v>9944</v>
      </c>
      <c r="C30" s="11">
        <f t="shared" si="3"/>
        <v>3.682962962962963E-3</v>
      </c>
      <c r="D30" s="2">
        <f t="shared" ref="D30" si="20">B30/B29 - 1</f>
        <v>5.8773424190800672E-2</v>
      </c>
      <c r="E30" s="15"/>
      <c r="F30">
        <f t="shared" si="5"/>
        <v>552</v>
      </c>
      <c r="G30">
        <v>328</v>
      </c>
      <c r="H30">
        <f t="shared" si="7"/>
        <v>20</v>
      </c>
      <c r="K30" s="2"/>
      <c r="L30" s="2"/>
      <c r="W30">
        <v>9616</v>
      </c>
    </row>
    <row r="31" spans="1:23" x14ac:dyDescent="0.3">
      <c r="A31" s="1">
        <f t="shared" si="0"/>
        <v>43936</v>
      </c>
      <c r="B31">
        <f t="shared" si="2"/>
        <v>10553</v>
      </c>
      <c r="C31" s="11">
        <f t="shared" si="3"/>
        <v>3.9085185185185186E-3</v>
      </c>
      <c r="D31" s="2">
        <f t="shared" ref="D31" si="21">B31/B30 - 1</f>
        <v>6.1242960579243721E-2</v>
      </c>
      <c r="E31" s="15"/>
      <c r="F31">
        <f t="shared" si="5"/>
        <v>609</v>
      </c>
      <c r="G31">
        <v>361</v>
      </c>
      <c r="H31">
        <f t="shared" si="7"/>
        <v>33</v>
      </c>
      <c r="K31" s="2"/>
      <c r="L31" s="2"/>
      <c r="W31">
        <v>10192</v>
      </c>
    </row>
    <row r="32" spans="1:23" x14ac:dyDescent="0.3">
      <c r="A32" s="1">
        <f t="shared" si="0"/>
        <v>43937</v>
      </c>
      <c r="B32">
        <f t="shared" si="2"/>
        <v>11056</v>
      </c>
      <c r="C32" s="11">
        <f t="shared" si="3"/>
        <v>4.094814814814815E-3</v>
      </c>
      <c r="D32" s="2">
        <f t="shared" ref="D32" si="22">B32/B31 - 1</f>
        <v>4.7664171325689342E-2</v>
      </c>
      <c r="E32" s="15"/>
      <c r="F32">
        <f t="shared" si="5"/>
        <v>503</v>
      </c>
      <c r="G32">
        <v>414</v>
      </c>
      <c r="H32">
        <f t="shared" si="7"/>
        <v>53</v>
      </c>
      <c r="K32" s="2"/>
      <c r="L32" s="2"/>
      <c r="W32">
        <v>10642</v>
      </c>
    </row>
    <row r="33" spans="1:23" x14ac:dyDescent="0.3">
      <c r="A33" s="1">
        <f t="shared" si="0"/>
        <v>43938</v>
      </c>
      <c r="B33">
        <f t="shared" si="2"/>
        <v>11836</v>
      </c>
      <c r="C33" s="11">
        <f t="shared" si="3"/>
        <v>4.3837037037037039E-3</v>
      </c>
      <c r="D33" s="2">
        <f t="shared" ref="D33" si="23">B33/B32 - 1</f>
        <v>7.0549927641099908E-2</v>
      </c>
      <c r="E33" s="15"/>
      <c r="F33">
        <f t="shared" si="5"/>
        <v>780</v>
      </c>
      <c r="G33">
        <v>427</v>
      </c>
      <c r="H33">
        <f t="shared" si="7"/>
        <v>13</v>
      </c>
      <c r="K33" s="2"/>
      <c r="L33" s="2"/>
      <c r="W33">
        <v>11409</v>
      </c>
    </row>
    <row r="34" spans="1:23" x14ac:dyDescent="0.3">
      <c r="A34" s="1">
        <f t="shared" si="0"/>
        <v>43939</v>
      </c>
      <c r="B34">
        <f t="shared" si="2"/>
        <v>12498</v>
      </c>
      <c r="C34" s="11">
        <f t="shared" si="3"/>
        <v>4.628888888888889E-3</v>
      </c>
      <c r="D34" s="2">
        <f t="shared" ref="D34" si="24">B34/B33 - 1</f>
        <v>5.5931057789793792E-2</v>
      </c>
      <c r="E34" s="15"/>
      <c r="F34">
        <f t="shared" si="5"/>
        <v>662</v>
      </c>
      <c r="G34">
        <v>491</v>
      </c>
      <c r="H34">
        <f t="shared" si="7"/>
        <v>64</v>
      </c>
      <c r="K34" s="2"/>
      <c r="L34" s="2"/>
      <c r="W34">
        <v>12007</v>
      </c>
    </row>
    <row r="35" spans="1:23" x14ac:dyDescent="0.3">
      <c r="A35" s="1">
        <f t="shared" si="0"/>
        <v>43940</v>
      </c>
      <c r="B35">
        <f t="shared" si="2"/>
        <v>13025</v>
      </c>
      <c r="C35" s="11">
        <f t="shared" si="3"/>
        <v>4.8240740740740744E-3</v>
      </c>
      <c r="D35" s="2">
        <f t="shared" ref="D35" si="25">B35/B34 - 1</f>
        <v>4.2166746679468625E-2</v>
      </c>
      <c r="E35" s="15"/>
      <c r="F35">
        <f t="shared" si="5"/>
        <v>527</v>
      </c>
      <c r="G35">
        <v>492</v>
      </c>
      <c r="H35">
        <f t="shared" si="7"/>
        <v>1</v>
      </c>
      <c r="K35" s="2"/>
      <c r="L35" s="2"/>
      <c r="W35">
        <v>12533</v>
      </c>
    </row>
    <row r="36" spans="1:23" x14ac:dyDescent="0.3">
      <c r="A36" s="1">
        <f t="shared" si="0"/>
        <v>43941</v>
      </c>
      <c r="B36">
        <f t="shared" ref="B36:B67" si="26">W36 + G36</f>
        <v>13527</v>
      </c>
      <c r="C36" s="11">
        <f t="shared" si="3"/>
        <v>5.0099999999999997E-3</v>
      </c>
      <c r="D36" s="2">
        <f t="shared" ref="D36" si="27">B36/B35 - 1</f>
        <v>3.8541266794625662E-2</v>
      </c>
      <c r="E36" s="15"/>
      <c r="F36">
        <f t="shared" si="5"/>
        <v>502</v>
      </c>
      <c r="G36">
        <v>514</v>
      </c>
      <c r="H36">
        <f t="shared" si="7"/>
        <v>22</v>
      </c>
      <c r="K36" s="2"/>
      <c r="L36" s="2"/>
      <c r="W36">
        <v>13013</v>
      </c>
    </row>
    <row r="37" spans="1:23" x14ac:dyDescent="0.3">
      <c r="A37" s="1">
        <f t="shared" si="0"/>
        <v>43942</v>
      </c>
      <c r="B37">
        <f t="shared" si="26"/>
        <v>14123</v>
      </c>
      <c r="C37" s="11">
        <f t="shared" si="3"/>
        <v>5.2307407407407407E-3</v>
      </c>
      <c r="D37" s="2">
        <f t="shared" ref="D37" si="28">B37/B36 - 1</f>
        <v>4.4060028091964298E-2</v>
      </c>
      <c r="E37" s="15"/>
      <c r="F37">
        <f t="shared" ref="F37:F68" si="29">B37 - B36</f>
        <v>596</v>
      </c>
      <c r="G37">
        <v>569</v>
      </c>
      <c r="H37">
        <f t="shared" si="7"/>
        <v>55</v>
      </c>
      <c r="K37" s="2"/>
      <c r="L37" s="2"/>
      <c r="W37">
        <v>13554</v>
      </c>
    </row>
    <row r="38" spans="1:23" x14ac:dyDescent="0.3">
      <c r="A38" s="1">
        <f t="shared" si="0"/>
        <v>43943</v>
      </c>
      <c r="B38">
        <f t="shared" si="26"/>
        <v>14998</v>
      </c>
      <c r="C38" s="11">
        <f t="shared" si="3"/>
        <v>5.5548148148148145E-3</v>
      </c>
      <c r="D38" s="2">
        <f t="shared" ref="D38" si="30">B38/B37 - 1</f>
        <v>6.1955675139842903E-2</v>
      </c>
      <c r="E38" s="15"/>
      <c r="F38">
        <f t="shared" si="29"/>
        <v>875</v>
      </c>
      <c r="G38">
        <v>604</v>
      </c>
      <c r="H38">
        <f t="shared" si="7"/>
        <v>35</v>
      </c>
      <c r="K38" s="2"/>
      <c r="L38" s="2"/>
      <c r="W38">
        <v>14394</v>
      </c>
    </row>
    <row r="39" spans="1:23" x14ac:dyDescent="0.3">
      <c r="A39" s="1">
        <f t="shared" si="0"/>
        <v>43944</v>
      </c>
      <c r="B39">
        <f t="shared" si="26"/>
        <v>15714</v>
      </c>
      <c r="C39" s="11">
        <f t="shared" si="3"/>
        <v>5.8199999999999997E-3</v>
      </c>
      <c r="D39" s="2">
        <f t="shared" ref="D39" si="31">B39/B38 - 1</f>
        <v>4.7739698626483529E-2</v>
      </c>
      <c r="E39" s="15"/>
      <c r="F39">
        <f t="shared" si="29"/>
        <v>716</v>
      </c>
      <c r="G39">
        <v>641</v>
      </c>
      <c r="H39">
        <f t="shared" si="7"/>
        <v>37</v>
      </c>
      <c r="K39" s="2"/>
      <c r="L39" s="2"/>
      <c r="W39">
        <v>15073</v>
      </c>
    </row>
    <row r="40" spans="1:23" x14ac:dyDescent="0.3">
      <c r="A40" s="1">
        <f t="shared" si="0"/>
        <v>43945</v>
      </c>
      <c r="B40">
        <f t="shared" si="26"/>
        <v>16790</v>
      </c>
      <c r="C40" s="11">
        <f t="shared" si="3"/>
        <v>6.2185185185185182E-3</v>
      </c>
      <c r="D40" s="2">
        <f t="shared" ref="D40" si="32">B40/B39 - 1</f>
        <v>6.847397225404106E-2</v>
      </c>
      <c r="E40" s="15"/>
      <c r="F40">
        <f t="shared" si="29"/>
        <v>1076</v>
      </c>
      <c r="G40">
        <v>678</v>
      </c>
      <c r="H40">
        <f t="shared" si="7"/>
        <v>37</v>
      </c>
      <c r="K40" s="2"/>
      <c r="L40" s="2"/>
      <c r="W40">
        <v>16112</v>
      </c>
    </row>
    <row r="41" spans="1:23" x14ac:dyDescent="0.3">
      <c r="A41" s="1">
        <f t="shared" si="0"/>
        <v>43946</v>
      </c>
      <c r="B41">
        <f t="shared" si="26"/>
        <v>17817</v>
      </c>
      <c r="C41" s="11">
        <f t="shared" si="3"/>
        <v>6.5988888888888885E-3</v>
      </c>
      <c r="D41" s="2">
        <f t="shared" ref="D41" si="33">B41/B40 - 1</f>
        <v>6.1167361524717023E-2</v>
      </c>
      <c r="E41" s="15"/>
      <c r="F41">
        <f t="shared" si="29"/>
        <v>1027</v>
      </c>
      <c r="G41">
        <v>708</v>
      </c>
      <c r="H41">
        <f t="shared" si="7"/>
        <v>30</v>
      </c>
      <c r="K41" s="2"/>
      <c r="L41" s="2"/>
      <c r="W41">
        <v>17109</v>
      </c>
    </row>
    <row r="42" spans="1:23" x14ac:dyDescent="0.3">
      <c r="A42" s="1">
        <f t="shared" si="0"/>
        <v>43947</v>
      </c>
      <c r="B42">
        <f t="shared" si="26"/>
        <v>18605</v>
      </c>
      <c r="C42" s="11">
        <f t="shared" si="3"/>
        <v>6.8907407407407407E-3</v>
      </c>
      <c r="D42" s="2">
        <f t="shared" ref="D42" si="34">B42/B41 - 1</f>
        <v>4.4227423247460207E-2</v>
      </c>
      <c r="E42" s="15"/>
      <c r="F42">
        <f t="shared" si="29"/>
        <v>788</v>
      </c>
      <c r="G42">
        <v>740</v>
      </c>
      <c r="H42">
        <f t="shared" si="7"/>
        <v>32</v>
      </c>
      <c r="K42" s="2"/>
      <c r="L42" s="2"/>
      <c r="W42">
        <v>17865</v>
      </c>
    </row>
    <row r="43" spans="1:23" x14ac:dyDescent="0.3">
      <c r="A43" s="1">
        <f t="shared" si="0"/>
        <v>43948</v>
      </c>
      <c r="B43">
        <f t="shared" si="26"/>
        <v>19454</v>
      </c>
      <c r="C43" s="11">
        <f t="shared" si="3"/>
        <v>7.2051851851851851E-3</v>
      </c>
      <c r="D43" s="2">
        <f t="shared" ref="D43" si="35">B43/B42 - 1</f>
        <v>4.563289438323026E-2</v>
      </c>
      <c r="E43" s="15"/>
      <c r="F43">
        <f t="shared" si="29"/>
        <v>849</v>
      </c>
      <c r="G43">
        <v>772</v>
      </c>
      <c r="H43">
        <f t="shared" si="7"/>
        <v>32</v>
      </c>
      <c r="K43" s="2"/>
      <c r="L43" s="2"/>
      <c r="W43">
        <v>18682</v>
      </c>
    </row>
    <row r="44" spans="1:23" x14ac:dyDescent="0.3">
      <c r="A44" s="1">
        <f t="shared" si="0"/>
        <v>43949</v>
      </c>
      <c r="B44">
        <f t="shared" si="26"/>
        <v>20397</v>
      </c>
      <c r="C44" s="11">
        <f t="shared" si="3"/>
        <v>7.5544444444444444E-3</v>
      </c>
      <c r="D44" s="2">
        <f t="shared" ref="D44" si="36">B44/B43 - 1</f>
        <v>4.8473321681916426E-2</v>
      </c>
      <c r="E44" s="15"/>
      <c r="F44">
        <f t="shared" si="29"/>
        <v>943</v>
      </c>
      <c r="G44">
        <v>803</v>
      </c>
      <c r="H44">
        <f t="shared" si="7"/>
        <v>31</v>
      </c>
      <c r="K44" s="2"/>
      <c r="L44" s="2"/>
      <c r="W44">
        <v>19594</v>
      </c>
    </row>
    <row r="45" spans="1:23" x14ac:dyDescent="0.3">
      <c r="A45" s="1">
        <f t="shared" si="0"/>
        <v>43950</v>
      </c>
      <c r="B45">
        <f t="shared" si="26"/>
        <v>21264</v>
      </c>
      <c r="C45" s="11">
        <f t="shared" si="3"/>
        <v>7.8755555555555558E-3</v>
      </c>
      <c r="D45" s="2">
        <f t="shared" ref="D45" si="37">B45/B44 - 1</f>
        <v>4.2506250919252864E-2</v>
      </c>
      <c r="E45" s="15"/>
      <c r="F45">
        <f t="shared" si="29"/>
        <v>867</v>
      </c>
      <c r="G45">
        <v>851</v>
      </c>
      <c r="H45">
        <f t="shared" si="7"/>
        <v>48</v>
      </c>
      <c r="K45" s="2"/>
      <c r="L45" s="2"/>
      <c r="W45">
        <v>20413</v>
      </c>
    </row>
    <row r="46" spans="1:23" x14ac:dyDescent="0.3">
      <c r="A46" s="1">
        <f t="shared" si="0"/>
        <v>43951</v>
      </c>
      <c r="B46">
        <f t="shared" si="26"/>
        <v>22385</v>
      </c>
      <c r="C46" s="11">
        <f t="shared" si="3"/>
        <v>8.2907407407407409E-3</v>
      </c>
      <c r="D46" s="2">
        <f t="shared" ref="D46" si="38">B46/B45 - 1</f>
        <v>5.2718209179834385E-2</v>
      </c>
      <c r="E46" s="15"/>
      <c r="F46">
        <f t="shared" si="29"/>
        <v>1121</v>
      </c>
      <c r="G46">
        <v>894</v>
      </c>
      <c r="H46">
        <f t="shared" si="7"/>
        <v>43</v>
      </c>
      <c r="K46" s="2"/>
      <c r="L46" s="2"/>
      <c r="W46">
        <v>21491</v>
      </c>
    </row>
    <row r="47" spans="1:23" x14ac:dyDescent="0.3">
      <c r="A47" s="1">
        <f t="shared" si="0"/>
        <v>43952</v>
      </c>
      <c r="B47">
        <f t="shared" si="26"/>
        <v>23663</v>
      </c>
      <c r="C47" s="11">
        <f t="shared" si="3"/>
        <v>8.7640740740740734E-3</v>
      </c>
      <c r="D47" s="2">
        <f t="shared" ref="D47" si="39">B47/B46 - 1</f>
        <v>5.7091802546348047E-2</v>
      </c>
      <c r="E47" s="15"/>
      <c r="F47">
        <f t="shared" si="29"/>
        <v>1278</v>
      </c>
      <c r="G47">
        <v>945</v>
      </c>
      <c r="H47">
        <f t="shared" si="7"/>
        <v>51</v>
      </c>
      <c r="K47" s="2"/>
      <c r="L47" s="2"/>
      <c r="W47">
        <v>22718</v>
      </c>
    </row>
    <row r="48" spans="1:23" x14ac:dyDescent="0.3">
      <c r="A48" s="1">
        <f t="shared" si="0"/>
        <v>43953</v>
      </c>
      <c r="B48">
        <f t="shared" si="26"/>
        <v>24594</v>
      </c>
      <c r="C48" s="11">
        <f t="shared" si="3"/>
        <v>9.1088888888888886E-3</v>
      </c>
      <c r="D48" s="2">
        <f t="shared" ref="D48" si="40">B48/B47 - 1</f>
        <v>3.934412373748053E-2</v>
      </c>
      <c r="E48" s="15"/>
      <c r="F48">
        <f t="shared" si="29"/>
        <v>931</v>
      </c>
      <c r="G48">
        <v>978</v>
      </c>
      <c r="H48">
        <f t="shared" si="7"/>
        <v>33</v>
      </c>
      <c r="K48" s="2"/>
      <c r="L48" s="2"/>
      <c r="W48">
        <v>23616</v>
      </c>
    </row>
    <row r="49" spans="1:23" x14ac:dyDescent="0.3">
      <c r="A49" s="1">
        <f t="shared" si="0"/>
        <v>43954</v>
      </c>
      <c r="B49">
        <f t="shared" si="26"/>
        <v>25873</v>
      </c>
      <c r="C49" s="11">
        <f t="shared" si="3"/>
        <v>9.5825925925925922E-3</v>
      </c>
      <c r="D49" s="2">
        <f t="shared" ref="D49" si="41">B49/B48 - 1</f>
        <v>5.2004553956249477E-2</v>
      </c>
      <c r="E49" s="15"/>
      <c r="F49">
        <f t="shared" si="29"/>
        <v>1279</v>
      </c>
      <c r="G49">
        <v>1009</v>
      </c>
      <c r="H49">
        <f t="shared" si="7"/>
        <v>31</v>
      </c>
      <c r="K49" s="2"/>
      <c r="L49" s="2"/>
      <c r="W49">
        <v>24864</v>
      </c>
    </row>
    <row r="50" spans="1:23" x14ac:dyDescent="0.3">
      <c r="A50" s="1">
        <f t="shared" si="0"/>
        <v>43955</v>
      </c>
      <c r="B50">
        <f t="shared" si="26"/>
        <v>26826</v>
      </c>
      <c r="C50" s="11">
        <f t="shared" si="3"/>
        <v>9.9355555555555551E-3</v>
      </c>
      <c r="D50" s="2">
        <f t="shared" ref="D50" si="42">B50/B49 - 1</f>
        <v>3.683376492869006E-2</v>
      </c>
      <c r="E50" s="15"/>
      <c r="F50">
        <f t="shared" si="29"/>
        <v>953</v>
      </c>
      <c r="G50">
        <v>1021</v>
      </c>
      <c r="H50">
        <f t="shared" si="7"/>
        <v>12</v>
      </c>
      <c r="I50">
        <v>104885</v>
      </c>
      <c r="K50" s="2"/>
      <c r="L50" s="2"/>
      <c r="W50">
        <v>25805</v>
      </c>
    </row>
    <row r="51" spans="1:23" x14ac:dyDescent="0.3">
      <c r="A51" s="1">
        <f t="shared" si="0"/>
        <v>43956</v>
      </c>
      <c r="B51">
        <f t="shared" si="26"/>
        <v>27674</v>
      </c>
      <c r="C51" s="11">
        <f t="shared" si="3"/>
        <v>1.0249629629629629E-2</v>
      </c>
      <c r="D51" s="2">
        <f t="shared" ref="D51" si="43">B51/B50 - 1</f>
        <v>3.1611123536867236E-2</v>
      </c>
      <c r="E51" s="15">
        <f t="shared" ref="E51:E68" si="44">LOG(D51/K51)</f>
        <v>-8.0092921117106475E-2</v>
      </c>
      <c r="F51">
        <f t="shared" si="29"/>
        <v>848</v>
      </c>
      <c r="G51">
        <v>1068</v>
      </c>
      <c r="H51">
        <f t="shared" si="7"/>
        <v>47</v>
      </c>
      <c r="I51">
        <v>108872</v>
      </c>
      <c r="J51">
        <f t="shared" ref="J51:J68" si="45">I51 - I50</f>
        <v>3987</v>
      </c>
      <c r="K51" s="2">
        <f t="shared" ref="K51:K68" si="46">I51/I50 - 1</f>
        <v>3.8013061924965452E-2</v>
      </c>
      <c r="L51" s="2">
        <f t="shared" ref="L51:L68" si="47">(B51 - B50)/(I51 - I50)</f>
        <v>0.21269124655129171</v>
      </c>
      <c r="W51">
        <v>26606</v>
      </c>
    </row>
    <row r="52" spans="1:23" x14ac:dyDescent="0.3">
      <c r="A52" s="1">
        <f t="shared" si="0"/>
        <v>43957</v>
      </c>
      <c r="B52">
        <f t="shared" si="26"/>
        <v>28552</v>
      </c>
      <c r="C52" s="11">
        <f t="shared" si="3"/>
        <v>1.0574814814814815E-2</v>
      </c>
      <c r="D52" s="2">
        <f t="shared" ref="D52" si="48">B52/B51 - 1</f>
        <v>3.1726530317265356E-2</v>
      </c>
      <c r="E52" s="15">
        <f t="shared" si="44"/>
        <v>-3.1736924950192757E-2</v>
      </c>
      <c r="F52">
        <f t="shared" si="29"/>
        <v>878</v>
      </c>
      <c r="G52">
        <v>1112</v>
      </c>
      <c r="H52">
        <f t="shared" si="7"/>
        <v>44</v>
      </c>
      <c r="I52">
        <v>112588</v>
      </c>
      <c r="J52">
        <f t="shared" si="45"/>
        <v>3716</v>
      </c>
      <c r="K52" s="2">
        <f t="shared" si="46"/>
        <v>3.4131824527885879E-2</v>
      </c>
      <c r="L52" s="2">
        <f t="shared" si="47"/>
        <v>0.23627556512378903</v>
      </c>
      <c r="W52">
        <v>27440</v>
      </c>
    </row>
    <row r="53" spans="1:23" x14ac:dyDescent="0.3">
      <c r="A53" s="1">
        <f t="shared" si="0"/>
        <v>43958</v>
      </c>
      <c r="B53">
        <f t="shared" si="26"/>
        <v>29625</v>
      </c>
      <c r="C53" s="11">
        <f t="shared" si="3"/>
        <v>1.0972222222222222E-2</v>
      </c>
      <c r="D53" s="2">
        <f t="shared" ref="D53" si="49">B53/B52 - 1</f>
        <v>3.7580554777248532E-2</v>
      </c>
      <c r="E53" s="15">
        <f t="shared" si="44"/>
        <v>-4.6288906843122278E-2</v>
      </c>
      <c r="F53">
        <f t="shared" si="29"/>
        <v>1073</v>
      </c>
      <c r="G53">
        <v>1184</v>
      </c>
      <c r="H53">
        <f t="shared" si="7"/>
        <v>72</v>
      </c>
      <c r="I53">
        <v>117295</v>
      </c>
      <c r="J53">
        <f t="shared" si="45"/>
        <v>4707</v>
      </c>
      <c r="K53" s="2">
        <f t="shared" si="46"/>
        <v>4.180729740292044E-2</v>
      </c>
      <c r="L53" s="2">
        <f t="shared" si="47"/>
        <v>0.22795835988952623</v>
      </c>
      <c r="W53">
        <v>28441</v>
      </c>
    </row>
    <row r="54" spans="1:23" x14ac:dyDescent="0.3">
      <c r="A54" s="1">
        <f t="shared" si="0"/>
        <v>43959</v>
      </c>
      <c r="B54">
        <f t="shared" si="26"/>
        <v>30783</v>
      </c>
      <c r="C54" s="11">
        <f t="shared" si="3"/>
        <v>1.1401111111111112E-2</v>
      </c>
      <c r="D54" s="2">
        <f t="shared" ref="D54" si="50">B54/B53 - 1</f>
        <v>3.9088607594936819E-2</v>
      </c>
      <c r="E54" s="15">
        <f t="shared" si="44"/>
        <v>-7.1465998321353072E-2</v>
      </c>
      <c r="F54">
        <f t="shared" si="29"/>
        <v>1158</v>
      </c>
      <c r="G54">
        <v>1248</v>
      </c>
      <c r="H54">
        <f t="shared" si="7"/>
        <v>64</v>
      </c>
      <c r="I54">
        <v>122700</v>
      </c>
      <c r="J54">
        <f t="shared" si="45"/>
        <v>5405</v>
      </c>
      <c r="K54" s="2">
        <f t="shared" si="46"/>
        <v>4.6080395583784517E-2</v>
      </c>
      <c r="L54" s="2">
        <f t="shared" si="47"/>
        <v>0.21424606845513414</v>
      </c>
      <c r="W54">
        <v>29535</v>
      </c>
    </row>
    <row r="55" spans="1:23" x14ac:dyDescent="0.3">
      <c r="A55" s="1">
        <f t="shared" si="0"/>
        <v>43960</v>
      </c>
      <c r="B55">
        <f t="shared" si="26"/>
        <v>31682</v>
      </c>
      <c r="C55" s="11">
        <f t="shared" si="3"/>
        <v>1.1734074074074074E-2</v>
      </c>
      <c r="D55" s="2">
        <f t="shared" ref="D55" si="51">B55/B54 - 1</f>
        <v>2.9204431017119781E-2</v>
      </c>
      <c r="E55" s="15">
        <f t="shared" si="44"/>
        <v>-0.11147523858880048</v>
      </c>
      <c r="F55">
        <f t="shared" si="29"/>
        <v>899</v>
      </c>
      <c r="G55">
        <v>1289</v>
      </c>
      <c r="H55">
        <f t="shared" si="7"/>
        <v>41</v>
      </c>
      <c r="I55">
        <v>127332</v>
      </c>
      <c r="J55">
        <f t="shared" si="45"/>
        <v>4632</v>
      </c>
      <c r="K55" s="2">
        <f t="shared" si="46"/>
        <v>3.7750611246943677E-2</v>
      </c>
      <c r="L55" s="2">
        <f t="shared" si="47"/>
        <v>0.19408462867012088</v>
      </c>
      <c r="W55">
        <v>30393</v>
      </c>
    </row>
    <row r="56" spans="1:23" x14ac:dyDescent="0.3">
      <c r="A56" s="1">
        <f t="shared" si="0"/>
        <v>43961</v>
      </c>
      <c r="B56">
        <f t="shared" si="26"/>
        <v>32287</v>
      </c>
      <c r="C56" s="11">
        <f t="shared" si="3"/>
        <v>1.1958148148148148E-2</v>
      </c>
      <c r="D56" s="2">
        <f t="shared" ref="D56" si="52">B56/B55 - 1</f>
        <v>1.9096016665614446E-2</v>
      </c>
      <c r="E56" s="15">
        <f t="shared" si="44"/>
        <v>-0.16263191073949701</v>
      </c>
      <c r="F56">
        <f t="shared" si="29"/>
        <v>605</v>
      </c>
      <c r="G56">
        <v>1337</v>
      </c>
      <c r="H56">
        <f t="shared" si="7"/>
        <v>48</v>
      </c>
      <c r="I56">
        <v>130868</v>
      </c>
      <c r="J56">
        <f t="shared" si="45"/>
        <v>3536</v>
      </c>
      <c r="K56" s="2">
        <f t="shared" si="46"/>
        <v>2.7769924292400994E-2</v>
      </c>
      <c r="L56" s="2">
        <f t="shared" si="47"/>
        <v>0.17109728506787331</v>
      </c>
      <c r="W56">
        <v>30950</v>
      </c>
    </row>
    <row r="57" spans="1:23" x14ac:dyDescent="0.3">
      <c r="A57" s="1">
        <f t="shared" si="0"/>
        <v>43962</v>
      </c>
      <c r="B57">
        <f t="shared" si="26"/>
        <v>32703</v>
      </c>
      <c r="C57" s="11">
        <f t="shared" si="3"/>
        <v>1.2112222222222222E-2</v>
      </c>
      <c r="D57" s="2">
        <f t="shared" ref="D57" si="53">B57/B56 - 1</f>
        <v>1.2884442654938599E-2</v>
      </c>
      <c r="E57" s="15">
        <f t="shared" si="44"/>
        <v>-0.21994860790537596</v>
      </c>
      <c r="F57">
        <f t="shared" si="29"/>
        <v>416</v>
      </c>
      <c r="G57">
        <v>1376</v>
      </c>
      <c r="H57">
        <f t="shared" si="7"/>
        <v>39</v>
      </c>
      <c r="I57">
        <v>133666</v>
      </c>
      <c r="J57">
        <f t="shared" si="45"/>
        <v>2798</v>
      </c>
      <c r="K57" s="2">
        <f t="shared" si="46"/>
        <v>2.1380322156677067E-2</v>
      </c>
      <c r="L57" s="2">
        <f t="shared" si="47"/>
        <v>0.14867762687634023</v>
      </c>
      <c r="W57">
        <v>31327</v>
      </c>
    </row>
    <row r="58" spans="1:23" x14ac:dyDescent="0.3">
      <c r="A58" s="1">
        <f t="shared" si="0"/>
        <v>43963</v>
      </c>
      <c r="B58">
        <f t="shared" si="26"/>
        <v>33998</v>
      </c>
      <c r="C58" s="11">
        <f t="shared" si="3"/>
        <v>1.2591851851851852E-2</v>
      </c>
      <c r="D58" s="2">
        <f t="shared" ref="D58" si="54">B58/B57 - 1</f>
        <v>3.9598813564504676E-2</v>
      </c>
      <c r="E58" s="15">
        <f t="shared" si="44"/>
        <v>-0.1024364920439569</v>
      </c>
      <c r="F58">
        <f t="shared" si="29"/>
        <v>1295</v>
      </c>
      <c r="G58">
        <v>1441</v>
      </c>
      <c r="H58">
        <f t="shared" si="7"/>
        <v>65</v>
      </c>
      <c r="I58">
        <v>140367</v>
      </c>
      <c r="J58">
        <f t="shared" si="45"/>
        <v>6701</v>
      </c>
      <c r="K58" s="2">
        <f t="shared" si="46"/>
        <v>5.0132419613065471E-2</v>
      </c>
      <c r="L58" s="2">
        <f t="shared" si="47"/>
        <v>0.19325473809879123</v>
      </c>
      <c r="W58">
        <v>32557</v>
      </c>
    </row>
    <row r="59" spans="1:23" x14ac:dyDescent="0.3">
      <c r="A59" s="1">
        <f t="shared" si="0"/>
        <v>43964</v>
      </c>
      <c r="B59">
        <f t="shared" si="26"/>
        <v>34567</v>
      </c>
      <c r="C59" s="11">
        <f t="shared" si="3"/>
        <v>1.2802592592592593E-2</v>
      </c>
      <c r="D59" s="2">
        <f t="shared" ref="D59" si="55">B59/B58 - 1</f>
        <v>1.67362786046239E-2</v>
      </c>
      <c r="E59" s="15">
        <f t="shared" si="44"/>
        <v>-0.19622013032445745</v>
      </c>
      <c r="F59">
        <f t="shared" si="29"/>
        <v>569</v>
      </c>
      <c r="G59">
        <v>1493</v>
      </c>
      <c r="H59">
        <f t="shared" si="7"/>
        <v>52</v>
      </c>
      <c r="I59">
        <v>144058</v>
      </c>
      <c r="J59">
        <f t="shared" si="45"/>
        <v>3691</v>
      </c>
      <c r="K59" s="2">
        <f t="shared" si="46"/>
        <v>2.6295354321172359E-2</v>
      </c>
      <c r="L59" s="2">
        <f t="shared" si="47"/>
        <v>0.1541587645624492</v>
      </c>
      <c r="W59">
        <v>33074</v>
      </c>
    </row>
    <row r="60" spans="1:23" x14ac:dyDescent="0.3">
      <c r="A60" s="1">
        <f t="shared" si="0"/>
        <v>43965</v>
      </c>
      <c r="B60">
        <f t="shared" si="26"/>
        <v>35893</v>
      </c>
      <c r="C60" s="11">
        <f t="shared" si="3"/>
        <v>1.3293703703703703E-2</v>
      </c>
      <c r="D60" s="2">
        <f t="shared" ref="D60" si="56">B60/B59 - 1</f>
        <v>3.8360285821737561E-2</v>
      </c>
      <c r="E60" s="15">
        <f t="shared" si="44"/>
        <v>8.6992627727676283E-2</v>
      </c>
      <c r="F60">
        <f t="shared" si="29"/>
        <v>1326</v>
      </c>
      <c r="G60">
        <v>1552</v>
      </c>
      <c r="H60">
        <f t="shared" si="7"/>
        <v>59</v>
      </c>
      <c r="I60">
        <v>148581</v>
      </c>
      <c r="J60">
        <f t="shared" si="45"/>
        <v>4523</v>
      </c>
      <c r="K60" s="2">
        <f t="shared" si="46"/>
        <v>3.1397076177650751E-2</v>
      </c>
      <c r="L60" s="2">
        <f t="shared" si="47"/>
        <v>0.29316825116073403</v>
      </c>
      <c r="W60">
        <v>34341</v>
      </c>
    </row>
    <row r="61" spans="1:23" x14ac:dyDescent="0.3">
      <c r="A61" s="1">
        <f t="shared" si="0"/>
        <v>43966</v>
      </c>
      <c r="B61">
        <f t="shared" si="26"/>
        <v>36789</v>
      </c>
      <c r="C61" s="11">
        <f t="shared" si="3"/>
        <v>1.3625555555555556E-2</v>
      </c>
      <c r="D61" s="2">
        <f t="shared" ref="D61" si="57">B61/B60 - 1</f>
        <v>2.4963084724040963E-2</v>
      </c>
      <c r="E61" s="15">
        <f t="shared" si="44"/>
        <v>-0.28467991819432042</v>
      </c>
      <c r="F61">
        <f t="shared" si="29"/>
        <v>896</v>
      </c>
      <c r="G61">
        <v>1606</v>
      </c>
      <c r="H61">
        <f t="shared" si="7"/>
        <v>54</v>
      </c>
      <c r="I61">
        <v>155725</v>
      </c>
      <c r="J61">
        <f t="shared" si="45"/>
        <v>7144</v>
      </c>
      <c r="K61" s="2">
        <f t="shared" si="46"/>
        <v>4.8081517825294018E-2</v>
      </c>
      <c r="L61" s="2">
        <f t="shared" si="47"/>
        <v>0.12541993281075028</v>
      </c>
      <c r="W61">
        <v>35183</v>
      </c>
    </row>
    <row r="62" spans="1:23" x14ac:dyDescent="0.3">
      <c r="A62" s="1">
        <f t="shared" si="0"/>
        <v>43967</v>
      </c>
      <c r="B62">
        <f t="shared" si="26"/>
        <v>37626</v>
      </c>
      <c r="C62" s="11">
        <f t="shared" si="3"/>
        <v>1.3935555555555555E-2</v>
      </c>
      <c r="D62" s="2">
        <f t="shared" ref="D62" si="58">B62/B61 - 1</f>
        <v>2.2751365897414999E-2</v>
      </c>
      <c r="E62" s="15">
        <f t="shared" si="44"/>
        <v>-0.22813350503333515</v>
      </c>
      <c r="F62">
        <f t="shared" si="29"/>
        <v>837</v>
      </c>
      <c r="G62">
        <v>1620</v>
      </c>
      <c r="H62">
        <f t="shared" si="7"/>
        <v>14</v>
      </c>
      <c r="I62">
        <v>161716</v>
      </c>
      <c r="J62">
        <f t="shared" si="45"/>
        <v>5991</v>
      </c>
      <c r="K62" s="2">
        <f t="shared" si="46"/>
        <v>3.8471664793706895E-2</v>
      </c>
      <c r="L62" s="2">
        <f t="shared" si="47"/>
        <v>0.13970956434651979</v>
      </c>
      <c r="W62">
        <v>36006</v>
      </c>
    </row>
    <row r="63" spans="1:23" x14ac:dyDescent="0.3">
      <c r="A63" s="1">
        <f t="shared" si="0"/>
        <v>43968</v>
      </c>
      <c r="B63">
        <f t="shared" si="26"/>
        <v>38257</v>
      </c>
      <c r="C63" s="11">
        <f t="shared" si="3"/>
        <v>1.416925925925926E-2</v>
      </c>
      <c r="D63" s="2">
        <f t="shared" ref="D63" si="59">B63/B62 - 1</f>
        <v>1.6770318396853279E-2</v>
      </c>
      <c r="E63" s="15">
        <f t="shared" si="44"/>
        <v>-0.21369723874995566</v>
      </c>
      <c r="F63">
        <f t="shared" si="29"/>
        <v>631</v>
      </c>
      <c r="G63">
        <v>1636</v>
      </c>
      <c r="H63">
        <f t="shared" si="7"/>
        <v>16</v>
      </c>
      <c r="I63">
        <v>166152</v>
      </c>
      <c r="J63">
        <f t="shared" si="45"/>
        <v>4436</v>
      </c>
      <c r="K63" s="2">
        <f t="shared" si="46"/>
        <v>2.743080462044567E-2</v>
      </c>
      <c r="L63" s="2">
        <f t="shared" si="47"/>
        <v>0.14224526600541029</v>
      </c>
      <c r="W63">
        <v>36621</v>
      </c>
    </row>
    <row r="64" spans="1:23" x14ac:dyDescent="0.3">
      <c r="A64" s="1">
        <f t="shared" si="0"/>
        <v>43969</v>
      </c>
      <c r="B64">
        <f t="shared" si="26"/>
        <v>39115</v>
      </c>
      <c r="C64" s="11">
        <f t="shared" si="3"/>
        <v>1.4487037037037038E-2</v>
      </c>
      <c r="D64" s="2">
        <f t="shared" ref="D64" si="60">B64/B63 - 1</f>
        <v>2.2427268212353191E-2</v>
      </c>
      <c r="E64" s="15">
        <f t="shared" si="44"/>
        <v>-0.15812584673799607</v>
      </c>
      <c r="F64">
        <f t="shared" si="29"/>
        <v>858</v>
      </c>
      <c r="G64">
        <v>1681</v>
      </c>
      <c r="H64">
        <f t="shared" si="7"/>
        <v>45</v>
      </c>
      <c r="I64">
        <v>171515</v>
      </c>
      <c r="J64">
        <f t="shared" si="45"/>
        <v>5363</v>
      </c>
      <c r="K64" s="2">
        <f t="shared" si="46"/>
        <v>3.2277673455630929E-2</v>
      </c>
      <c r="L64" s="2">
        <f t="shared" si="47"/>
        <v>0.1599850829759463</v>
      </c>
      <c r="W64">
        <v>37434</v>
      </c>
    </row>
    <row r="65" spans="1:23" x14ac:dyDescent="0.3">
      <c r="A65" s="1">
        <f t="shared" si="0"/>
        <v>43970</v>
      </c>
      <c r="B65">
        <f t="shared" si="26"/>
        <v>39648</v>
      </c>
      <c r="C65" s="11">
        <f t="shared" si="3"/>
        <v>1.4684444444444444E-2</v>
      </c>
      <c r="D65" s="2">
        <f t="shared" ref="D65" si="61">B65/B64 - 1</f>
        <v>1.3626486002812133E-2</v>
      </c>
      <c r="E65" s="15">
        <f t="shared" si="44"/>
        <v>-0.28539425320419981</v>
      </c>
      <c r="F65">
        <f t="shared" si="29"/>
        <v>533</v>
      </c>
      <c r="G65">
        <v>1729</v>
      </c>
      <c r="H65">
        <f t="shared" si="7"/>
        <v>48</v>
      </c>
      <c r="I65">
        <v>176024</v>
      </c>
      <c r="J65">
        <f t="shared" si="45"/>
        <v>4509</v>
      </c>
      <c r="K65" s="2">
        <f t="shared" si="46"/>
        <v>2.6289245838556408E-2</v>
      </c>
      <c r="L65" s="2">
        <f t="shared" si="47"/>
        <v>0.11820802838766911</v>
      </c>
      <c r="W65">
        <v>37919</v>
      </c>
    </row>
    <row r="66" spans="1:23" x14ac:dyDescent="0.3">
      <c r="A66" s="1">
        <f t="shared" si="0"/>
        <v>43971</v>
      </c>
      <c r="B66">
        <f t="shared" si="26"/>
        <v>40626</v>
      </c>
      <c r="C66" s="11">
        <f t="shared" si="3"/>
        <v>1.5046666666666667E-2</v>
      </c>
      <c r="D66" s="2">
        <f t="shared" ref="D66" si="62">B66/B65 - 1</f>
        <v>2.4667070217917697E-2</v>
      </c>
      <c r="E66" s="15">
        <f t="shared" si="44"/>
        <v>-0.27288159263816714</v>
      </c>
      <c r="F66">
        <f t="shared" si="29"/>
        <v>978</v>
      </c>
      <c r="G66">
        <v>1787</v>
      </c>
      <c r="H66">
        <f t="shared" si="7"/>
        <v>58</v>
      </c>
      <c r="I66">
        <v>184163</v>
      </c>
      <c r="J66">
        <f t="shared" si="45"/>
        <v>8139</v>
      </c>
      <c r="K66" s="2">
        <f t="shared" si="46"/>
        <v>4.6238012998227607E-2</v>
      </c>
      <c r="L66" s="2">
        <f t="shared" si="47"/>
        <v>0.12016218208625139</v>
      </c>
      <c r="W66">
        <v>38839</v>
      </c>
    </row>
    <row r="67" spans="1:23" x14ac:dyDescent="0.3">
      <c r="A67" s="1">
        <f t="shared" ref="A67:A73" si="63">A66+1</f>
        <v>43972</v>
      </c>
      <c r="B67">
        <f t="shared" si="26"/>
        <v>41569</v>
      </c>
      <c r="C67" s="11">
        <f t="shared" si="3"/>
        <v>1.5395925925925926E-2</v>
      </c>
      <c r="D67" s="2">
        <f t="shared" ref="D67" si="64">B67/B66 - 1</f>
        <v>2.3211736326490318E-2</v>
      </c>
      <c r="E67" s="15">
        <f t="shared" si="44"/>
        <v>-0.26262983404396195</v>
      </c>
      <c r="F67">
        <f t="shared" si="29"/>
        <v>943</v>
      </c>
      <c r="G67">
        <v>1814</v>
      </c>
      <c r="H67">
        <f t="shared" si="7"/>
        <v>27</v>
      </c>
      <c r="I67">
        <v>191989</v>
      </c>
      <c r="J67">
        <f t="shared" si="45"/>
        <v>7826</v>
      </c>
      <c r="K67" s="2">
        <f t="shared" si="46"/>
        <v>4.2494963700634658E-2</v>
      </c>
      <c r="L67" s="2">
        <f t="shared" si="47"/>
        <v>0.12049578328648096</v>
      </c>
      <c r="W67">
        <v>39755</v>
      </c>
    </row>
    <row r="68" spans="1:23" x14ac:dyDescent="0.3">
      <c r="A68" s="1">
        <f t="shared" si="63"/>
        <v>43973</v>
      </c>
      <c r="B68">
        <f t="shared" ref="B68:B99" si="65">W68 + G68</f>
        <v>42315</v>
      </c>
      <c r="C68" s="11">
        <f t="shared" si="3"/>
        <v>1.5672222222222223E-2</v>
      </c>
      <c r="D68" s="2">
        <f t="shared" ref="D68" si="66">B68/B67 - 1</f>
        <v>1.7946065577714165E-2</v>
      </c>
      <c r="E68" s="15">
        <f t="shared" si="44"/>
        <v>-0.29218683668408796</v>
      </c>
      <c r="F68">
        <f t="shared" si="29"/>
        <v>746</v>
      </c>
      <c r="G68">
        <v>1850</v>
      </c>
      <c r="H68">
        <f t="shared" si="7"/>
        <v>36</v>
      </c>
      <c r="I68">
        <v>198741</v>
      </c>
      <c r="J68">
        <f t="shared" si="45"/>
        <v>6752</v>
      </c>
      <c r="K68" s="2">
        <f t="shared" si="46"/>
        <v>3.5168681539046398E-2</v>
      </c>
      <c r="L68" s="2">
        <f t="shared" si="47"/>
        <v>0.11048578199052132</v>
      </c>
      <c r="W68">
        <v>40465</v>
      </c>
    </row>
    <row r="69" spans="1:23" x14ac:dyDescent="0.3">
      <c r="A69" s="1">
        <f t="shared" si="63"/>
        <v>43974</v>
      </c>
      <c r="B69">
        <f t="shared" si="65"/>
        <v>43296</v>
      </c>
      <c r="C69" s="11">
        <f t="shared" si="3"/>
        <v>1.6035555555555556E-2</v>
      </c>
      <c r="D69" s="2">
        <f t="shared" ref="D69" si="67">B69/B68 - 1</f>
        <v>2.318326834455875E-2</v>
      </c>
      <c r="E69" s="15">
        <f t="shared" ref="E69:E100" si="68">LOG(D69/K69)</f>
        <v>-0.31320874773790358</v>
      </c>
      <c r="F69">
        <f t="shared" ref="F69:F104" si="69">B69 - B68</f>
        <v>981</v>
      </c>
      <c r="G69">
        <v>1894</v>
      </c>
      <c r="H69">
        <f t="shared" si="7"/>
        <v>44</v>
      </c>
      <c r="I69">
        <v>208218</v>
      </c>
      <c r="J69">
        <f t="shared" ref="J69:J132" si="70">I69 - I68</f>
        <v>9477</v>
      </c>
      <c r="K69" s="2">
        <f t="shared" ref="K69:K132" si="71">I69/I68 - 1</f>
        <v>4.7685178196748446E-2</v>
      </c>
      <c r="L69" s="2">
        <f t="shared" ref="L69:L100" si="72">(B69 - B68)/(I69 - I68)</f>
        <v>0.10351377018043685</v>
      </c>
      <c r="W69">
        <v>41402</v>
      </c>
    </row>
    <row r="70" spans="1:23" x14ac:dyDescent="0.3">
      <c r="A70" s="1">
        <f t="shared" si="63"/>
        <v>43975</v>
      </c>
      <c r="B70">
        <f t="shared" si="65"/>
        <v>44312</v>
      </c>
      <c r="C70" s="11">
        <f t="shared" si="3"/>
        <v>1.6411851851851851E-2</v>
      </c>
      <c r="D70" s="2">
        <f t="shared" ref="D70" si="73">B70/B69 - 1</f>
        <v>2.3466371027346611E-2</v>
      </c>
      <c r="E70" s="15">
        <f t="shared" si="68"/>
        <v>-0.18505350020691405</v>
      </c>
      <c r="F70">
        <f t="shared" si="69"/>
        <v>1016</v>
      </c>
      <c r="G70">
        <v>1940</v>
      </c>
      <c r="H70">
        <f t="shared" si="7"/>
        <v>46</v>
      </c>
      <c r="I70">
        <v>215700</v>
      </c>
      <c r="J70">
        <f t="shared" si="70"/>
        <v>7482</v>
      </c>
      <c r="K70" s="2">
        <f t="shared" si="71"/>
        <v>3.593349278160396E-2</v>
      </c>
      <c r="L70" s="2">
        <f t="shared" si="72"/>
        <v>0.13579256883186314</v>
      </c>
      <c r="W70">
        <v>42372</v>
      </c>
    </row>
    <row r="71" spans="1:23" x14ac:dyDescent="0.3">
      <c r="A71" s="1">
        <f t="shared" si="63"/>
        <v>43976</v>
      </c>
      <c r="B71">
        <f t="shared" si="65"/>
        <v>44922</v>
      </c>
      <c r="C71" s="11">
        <f t="shared" si="3"/>
        <v>1.6637777777777779E-2</v>
      </c>
      <c r="D71" s="2">
        <f t="shared" ref="D71" si="74">B71/B70 - 1</f>
        <v>1.3766022747788487E-2</v>
      </c>
      <c r="E71" s="15">
        <f t="shared" si="68"/>
        <v>-0.33073019700892681</v>
      </c>
      <c r="F71">
        <f t="shared" si="69"/>
        <v>610</v>
      </c>
      <c r="G71">
        <v>1955</v>
      </c>
      <c r="H71">
        <f t="shared" si="7"/>
        <v>15</v>
      </c>
      <c r="I71">
        <v>222059</v>
      </c>
      <c r="J71">
        <f t="shared" si="70"/>
        <v>6359</v>
      </c>
      <c r="K71" s="2">
        <f t="shared" si="71"/>
        <v>2.9480760315252708E-2</v>
      </c>
      <c r="L71" s="2">
        <f t="shared" si="72"/>
        <v>9.59270325522881E-2</v>
      </c>
      <c r="W71">
        <v>42967</v>
      </c>
    </row>
    <row r="72" spans="1:23" x14ac:dyDescent="0.3">
      <c r="A72" s="1">
        <f t="shared" si="63"/>
        <v>43977</v>
      </c>
      <c r="B72">
        <f t="shared" si="65"/>
        <v>45352</v>
      </c>
      <c r="C72" s="11">
        <f t="shared" si="3"/>
        <v>1.6797037037037037E-2</v>
      </c>
      <c r="D72" s="2">
        <f t="shared" ref="D72" si="75">B72/B71 - 1</f>
        <v>9.5721472775032179E-3</v>
      </c>
      <c r="E72" s="15">
        <f t="shared" si="68"/>
        <v>-0.29886261558565352</v>
      </c>
      <c r="F72">
        <f t="shared" si="69"/>
        <v>430</v>
      </c>
      <c r="G72">
        <v>1980</v>
      </c>
      <c r="H72">
        <f t="shared" si="7"/>
        <v>25</v>
      </c>
      <c r="I72">
        <v>226289</v>
      </c>
      <c r="J72">
        <f t="shared" si="70"/>
        <v>4230</v>
      </c>
      <c r="K72" s="2">
        <f t="shared" si="71"/>
        <v>1.9048991484245104E-2</v>
      </c>
      <c r="L72" s="2">
        <f t="shared" si="72"/>
        <v>0.10165484633569739</v>
      </c>
      <c r="W72">
        <v>43372</v>
      </c>
    </row>
    <row r="73" spans="1:23" x14ac:dyDescent="0.3">
      <c r="A73" s="1">
        <f t="shared" si="63"/>
        <v>43978</v>
      </c>
      <c r="B73">
        <f t="shared" si="65"/>
        <v>45799</v>
      </c>
      <c r="C73" s="11">
        <f t="shared" si="3"/>
        <v>1.6962592592592592E-2</v>
      </c>
      <c r="D73" s="2">
        <f t="shared" ref="D73" si="76">B73/B72 - 1</f>
        <v>9.8562356676663576E-3</v>
      </c>
      <c r="E73" s="15">
        <f t="shared" si="68"/>
        <v>-0.27186566745975288</v>
      </c>
      <c r="F73">
        <f t="shared" si="69"/>
        <v>447</v>
      </c>
      <c r="G73">
        <v>2021</v>
      </c>
      <c r="H73">
        <f t="shared" si="7"/>
        <v>41</v>
      </c>
      <c r="I73">
        <v>230460</v>
      </c>
      <c r="J73">
        <f t="shared" si="70"/>
        <v>4171</v>
      </c>
      <c r="K73" s="2">
        <f t="shared" si="71"/>
        <v>1.8432181855945196E-2</v>
      </c>
      <c r="L73" s="2">
        <f t="shared" si="72"/>
        <v>0.10716854471349796</v>
      </c>
      <c r="W73">
        <v>43778</v>
      </c>
    </row>
    <row r="74" spans="1:23" x14ac:dyDescent="0.3">
      <c r="A74" s="1" cm="1">
        <f t="array" ref="A74">IF(OR(B74:H74=""), "", A73 + 1)</f>
        <v>43979</v>
      </c>
      <c r="B74">
        <f t="shared" si="65"/>
        <v>46219</v>
      </c>
      <c r="C74" s="11">
        <f t="shared" si="3"/>
        <v>1.711814814814815E-2</v>
      </c>
      <c r="D74" s="2">
        <f t="shared" ref="D74" si="77">B74/B73 - 1</f>
        <v>9.1705059062425764E-3</v>
      </c>
      <c r="E74" s="15">
        <f t="shared" si="68"/>
        <v>-0.42250063980002783</v>
      </c>
      <c r="F74">
        <f t="shared" si="69"/>
        <v>420</v>
      </c>
      <c r="G74">
        <v>2049</v>
      </c>
      <c r="H74">
        <f t="shared" si="7"/>
        <v>28</v>
      </c>
      <c r="I74">
        <v>236051</v>
      </c>
      <c r="J74">
        <f t="shared" si="70"/>
        <v>5591</v>
      </c>
      <c r="K74" s="2">
        <f t="shared" si="71"/>
        <v>2.4260175301570763E-2</v>
      </c>
      <c r="L74" s="2">
        <f t="shared" si="72"/>
        <v>7.5120729744231798E-2</v>
      </c>
      <c r="W74">
        <v>44170</v>
      </c>
    </row>
    <row r="75" spans="1:23" x14ac:dyDescent="0.3">
      <c r="A75" s="1" cm="1">
        <f t="array" ref="A75">IF(OR(B75:H75=""), "", A74 + 1)</f>
        <v>43980</v>
      </c>
      <c r="B75">
        <f t="shared" si="65"/>
        <v>46741</v>
      </c>
      <c r="C75" s="11">
        <f t="shared" si="3"/>
        <v>1.731148148148148E-2</v>
      </c>
      <c r="D75" s="2">
        <f t="shared" ref="D75" si="78">B75/B74 - 1</f>
        <v>1.1294056556827359E-2</v>
      </c>
      <c r="E75" s="15">
        <f t="shared" si="68"/>
        <v>-0.24336807111972392</v>
      </c>
      <c r="F75">
        <f t="shared" si="69"/>
        <v>522</v>
      </c>
      <c r="G75">
        <v>2075</v>
      </c>
      <c r="H75">
        <f t="shared" si="7"/>
        <v>26</v>
      </c>
      <c r="I75">
        <v>240720</v>
      </c>
      <c r="J75">
        <f t="shared" si="70"/>
        <v>4669</v>
      </c>
      <c r="K75" s="2">
        <f t="shared" si="71"/>
        <v>1.9779623894836229E-2</v>
      </c>
      <c r="L75" s="2">
        <f t="shared" si="72"/>
        <v>0.11180124223602485</v>
      </c>
      <c r="W75">
        <v>44666</v>
      </c>
    </row>
    <row r="76" spans="1:23" x14ac:dyDescent="0.3">
      <c r="A76" s="1" cm="1">
        <f t="array" ref="A76">IF(OR(B76:H76=""), "", A75 + 1)</f>
        <v>43981</v>
      </c>
      <c r="B76">
        <f t="shared" si="65"/>
        <v>47183</v>
      </c>
      <c r="C76" s="11">
        <f t="shared" si="3"/>
        <v>1.7475185185185184E-2</v>
      </c>
      <c r="D76" s="2">
        <f t="shared" ref="D76" si="79">B76/B75 - 1</f>
        <v>9.4563659314093051E-3</v>
      </c>
      <c r="E76" s="15">
        <f t="shared" si="68"/>
        <v>-0.43431386061209176</v>
      </c>
      <c r="F76">
        <f t="shared" si="69"/>
        <v>442</v>
      </c>
      <c r="G76">
        <v>2098</v>
      </c>
      <c r="H76">
        <f t="shared" si="7"/>
        <v>23</v>
      </c>
      <c r="I76">
        <v>246908</v>
      </c>
      <c r="J76">
        <f t="shared" si="70"/>
        <v>6188</v>
      </c>
      <c r="K76" s="2">
        <f t="shared" si="71"/>
        <v>2.5706214689265483E-2</v>
      </c>
      <c r="L76" s="2">
        <f t="shared" si="72"/>
        <v>7.1428571428571425E-2</v>
      </c>
      <c r="W76">
        <v>45085</v>
      </c>
    </row>
    <row r="77" spans="1:23" x14ac:dyDescent="0.3">
      <c r="A77" s="1" cm="1">
        <f t="array" ref="A77">IF(OR(B77:H77=""), "", A76 + 1)</f>
        <v>43982</v>
      </c>
      <c r="B77">
        <f t="shared" si="65"/>
        <v>47649</v>
      </c>
      <c r="C77" s="11">
        <f t="shared" si="3"/>
        <v>1.7647777777777776E-2</v>
      </c>
      <c r="D77" s="2">
        <f t="shared" ref="D77" si="80">B77/B76 - 1</f>
        <v>9.8764385477820849E-3</v>
      </c>
      <c r="E77" s="15">
        <f t="shared" si="68"/>
        <v>-0.36767132788110829</v>
      </c>
      <c r="F77">
        <f t="shared" si="69"/>
        <v>466</v>
      </c>
      <c r="G77">
        <v>2122</v>
      </c>
      <c r="H77">
        <f t="shared" si="7"/>
        <v>24</v>
      </c>
      <c r="I77">
        <v>252594</v>
      </c>
      <c r="J77">
        <f t="shared" si="70"/>
        <v>5686</v>
      </c>
      <c r="K77" s="2">
        <f t="shared" si="71"/>
        <v>2.3028820451342247E-2</v>
      </c>
      <c r="L77" s="2">
        <f t="shared" si="72"/>
        <v>8.1955680619064372E-2</v>
      </c>
      <c r="W77">
        <v>45527</v>
      </c>
    </row>
    <row r="78" spans="1:23" x14ac:dyDescent="0.3">
      <c r="A78" s="1" cm="1">
        <f t="array" ref="A78">IF(OR(B78:H78=""), "", A77 + 1)</f>
        <v>43983</v>
      </c>
      <c r="B78">
        <f t="shared" si="65"/>
        <v>47969</v>
      </c>
      <c r="C78" s="11">
        <f t="shared" si="3"/>
        <v>1.7766296296296297E-2</v>
      </c>
      <c r="D78" s="2">
        <f t="shared" ref="D78" si="81">B78/B77 - 1</f>
        <v>6.7157757770361926E-3</v>
      </c>
      <c r="E78" s="15">
        <f t="shared" si="68"/>
        <v>-0.46455924406633331</v>
      </c>
      <c r="F78">
        <f t="shared" si="69"/>
        <v>320</v>
      </c>
      <c r="G78">
        <v>2132</v>
      </c>
      <c r="H78">
        <f t="shared" si="7"/>
        <v>10</v>
      </c>
      <c r="I78">
        <v>257538</v>
      </c>
      <c r="J78">
        <f t="shared" si="70"/>
        <v>4944</v>
      </c>
      <c r="K78" s="2">
        <f t="shared" si="71"/>
        <v>1.9572911470581156E-2</v>
      </c>
      <c r="L78" s="2">
        <f t="shared" si="72"/>
        <v>6.4724919093851127E-2</v>
      </c>
      <c r="W78">
        <v>45837</v>
      </c>
    </row>
    <row r="79" spans="1:23" x14ac:dyDescent="0.3">
      <c r="A79" s="1" cm="1">
        <f t="array" ref="A79">IF(OR(B79:H79=""), "", A78 + 1)</f>
        <v>43984</v>
      </c>
      <c r="B79">
        <f t="shared" si="65"/>
        <v>48878</v>
      </c>
      <c r="C79" s="11">
        <f t="shared" si="3"/>
        <v>1.8102962962962963E-2</v>
      </c>
      <c r="D79" s="2">
        <f t="shared" ref="D79" si="82">B79/B78 - 1</f>
        <v>1.8949738372699088E-2</v>
      </c>
      <c r="E79" s="15">
        <f t="shared" si="68"/>
        <v>9.2177410623207903E-2</v>
      </c>
      <c r="F79">
        <f t="shared" si="69"/>
        <v>909</v>
      </c>
      <c r="G79">
        <v>2145</v>
      </c>
      <c r="H79">
        <f t="shared" si="7"/>
        <v>13</v>
      </c>
      <c r="I79">
        <v>261485</v>
      </c>
      <c r="J79">
        <f t="shared" si="70"/>
        <v>3947</v>
      </c>
      <c r="K79" s="2">
        <f t="shared" si="71"/>
        <v>1.5325893654528633E-2</v>
      </c>
      <c r="L79" s="2">
        <f t="shared" si="72"/>
        <v>0.23030149480618192</v>
      </c>
      <c r="W79">
        <v>46733</v>
      </c>
    </row>
    <row r="80" spans="1:23" x14ac:dyDescent="0.3">
      <c r="A80" s="1" cm="1">
        <f t="array" ref="A80">IF(OR(B80:H80=""), "", A79 + 1)</f>
        <v>43985</v>
      </c>
      <c r="B80">
        <f t="shared" si="65"/>
        <v>49160</v>
      </c>
      <c r="C80" s="11">
        <f t="shared" si="3"/>
        <v>1.8207407407407408E-2</v>
      </c>
      <c r="D80" s="2">
        <f t="shared" ref="D80" si="83">B80/B79 - 1</f>
        <v>5.7694668357952672E-3</v>
      </c>
      <c r="E80" s="15">
        <f t="shared" si="68"/>
        <v>-0.72036200483535962</v>
      </c>
      <c r="F80">
        <f t="shared" si="69"/>
        <v>282</v>
      </c>
      <c r="G80">
        <v>2183</v>
      </c>
      <c r="H80">
        <f t="shared" si="7"/>
        <v>38</v>
      </c>
      <c r="I80">
        <v>269409</v>
      </c>
      <c r="J80">
        <f t="shared" si="70"/>
        <v>7924</v>
      </c>
      <c r="K80" s="2">
        <f t="shared" si="71"/>
        <v>3.0303841520546104E-2</v>
      </c>
      <c r="L80" s="2">
        <f t="shared" si="72"/>
        <v>3.5588086824835941E-2</v>
      </c>
      <c r="W80">
        <v>46977</v>
      </c>
    </row>
    <row r="81" spans="1:26" x14ac:dyDescent="0.3">
      <c r="A81" s="1" cm="1">
        <f t="array" ref="A81">IF(OR(B81:H81=""), "", A80 + 1)</f>
        <v>43986</v>
      </c>
      <c r="B81">
        <f t="shared" si="65"/>
        <v>49469</v>
      </c>
      <c r="C81" s="11">
        <f t="shared" si="3"/>
        <v>1.8321851851851853E-2</v>
      </c>
      <c r="D81" s="2">
        <f t="shared" ref="D81" si="84">B81/B80 - 1</f>
        <v>6.2855980471927531E-3</v>
      </c>
      <c r="E81" s="15">
        <f t="shared" si="68"/>
        <v>-0.38349520101706369</v>
      </c>
      <c r="F81">
        <f t="shared" si="69"/>
        <v>309</v>
      </c>
      <c r="G81">
        <v>2218</v>
      </c>
      <c r="H81">
        <f t="shared" si="7"/>
        <v>35</v>
      </c>
      <c r="I81">
        <v>273504</v>
      </c>
      <c r="J81">
        <f t="shared" si="70"/>
        <v>4095</v>
      </c>
      <c r="K81" s="2">
        <f t="shared" si="71"/>
        <v>1.5199937641281469E-2</v>
      </c>
      <c r="L81" s="2">
        <f t="shared" si="72"/>
        <v>7.5457875457875453E-2</v>
      </c>
      <c r="W81">
        <v>47251</v>
      </c>
    </row>
    <row r="82" spans="1:26" x14ac:dyDescent="0.3">
      <c r="A82" s="1" cm="1">
        <f t="array" ref="A82">IF(OR(B82:H82=""), "", A81 + 1)</f>
        <v>43987</v>
      </c>
      <c r="B82">
        <f t="shared" si="65"/>
        <v>49791</v>
      </c>
      <c r="C82" s="11">
        <f t="shared" si="3"/>
        <v>1.844111111111111E-2</v>
      </c>
      <c r="D82" s="2">
        <f t="shared" ref="D82" si="85">B82/B81 - 1</f>
        <v>6.5091269279751174E-3</v>
      </c>
      <c r="E82" s="15">
        <f t="shared" si="68"/>
        <v>-0.35265794997428612</v>
      </c>
      <c r="F82">
        <f t="shared" si="69"/>
        <v>322</v>
      </c>
      <c r="G82">
        <v>2240</v>
      </c>
      <c r="H82">
        <f t="shared" si="7"/>
        <v>22</v>
      </c>
      <c r="I82">
        <v>277514</v>
      </c>
      <c r="J82">
        <f t="shared" si="70"/>
        <v>4010</v>
      </c>
      <c r="K82" s="2">
        <f t="shared" si="71"/>
        <v>1.4661577161577233E-2</v>
      </c>
      <c r="L82" s="2">
        <f t="shared" si="72"/>
        <v>8.029925187032419E-2</v>
      </c>
      <c r="W82">
        <v>47551</v>
      </c>
      <c r="X82">
        <v>47606</v>
      </c>
      <c r="Y82">
        <v>2247</v>
      </c>
      <c r="Z82" t="s">
        <v>16</v>
      </c>
    </row>
    <row r="83" spans="1:26" x14ac:dyDescent="0.3">
      <c r="A83" s="1" cm="1">
        <f t="array" ref="A83">IF(OR(B83:H83=""), "", A82 + 1)</f>
        <v>43988</v>
      </c>
      <c r="B83">
        <f t="shared" si="65"/>
        <v>50155</v>
      </c>
      <c r="C83" s="11">
        <f t="shared" si="3"/>
        <v>1.8575925925925926E-2</v>
      </c>
      <c r="D83" s="2">
        <f t="shared" ref="D83" si="86">B83/B82 - 1</f>
        <v>7.3105581329959701E-3</v>
      </c>
      <c r="E83" s="15">
        <f t="shared" si="68"/>
        <v>-0.34326636268315719</v>
      </c>
      <c r="F83">
        <f t="shared" si="69"/>
        <v>364</v>
      </c>
      <c r="G83">
        <v>2251</v>
      </c>
      <c r="H83">
        <f t="shared" si="7"/>
        <v>11</v>
      </c>
      <c r="I83">
        <v>281986</v>
      </c>
      <c r="J83">
        <f t="shared" si="70"/>
        <v>4472</v>
      </c>
      <c r="K83" s="2">
        <f t="shared" si="71"/>
        <v>1.6114502331413982E-2</v>
      </c>
      <c r="L83" s="2">
        <f t="shared" si="72"/>
        <v>8.1395348837209308E-2</v>
      </c>
      <c r="W83">
        <v>47904</v>
      </c>
    </row>
    <row r="84" spans="1:26" x14ac:dyDescent="0.3">
      <c r="A84" s="1" cm="1">
        <f t="array" ref="A84">IF(OR(B84:H84=""), "", A83 + 1)</f>
        <v>43989</v>
      </c>
      <c r="B84">
        <f t="shared" si="65"/>
        <v>50446</v>
      </c>
      <c r="C84" s="11">
        <f t="shared" si="3"/>
        <v>1.8683703703703702E-2</v>
      </c>
      <c r="D84" s="2">
        <f t="shared" ref="D84" si="87">B84/B83 - 1</f>
        <v>5.8020137573522312E-3</v>
      </c>
      <c r="E84" s="15">
        <f t="shared" si="68"/>
        <v>-0.48281215792874832</v>
      </c>
      <c r="F84">
        <f t="shared" si="69"/>
        <v>291</v>
      </c>
      <c r="G84">
        <v>2271</v>
      </c>
      <c r="H84">
        <f t="shared" si="7"/>
        <v>20</v>
      </c>
      <c r="I84">
        <v>286959</v>
      </c>
      <c r="J84">
        <f t="shared" si="70"/>
        <v>4973</v>
      </c>
      <c r="K84" s="2">
        <f t="shared" si="71"/>
        <v>1.7635627300646162E-2</v>
      </c>
      <c r="L84" s="2">
        <f t="shared" si="72"/>
        <v>5.8515986326161271E-2</v>
      </c>
      <c r="W84">
        <v>48175</v>
      </c>
    </row>
    <row r="85" spans="1:26" x14ac:dyDescent="0.3">
      <c r="A85" s="1" cm="1">
        <f t="array" ref="A85">IF(OR(B85:H85=""), "", A84 + 1)</f>
        <v>43990</v>
      </c>
      <c r="B85">
        <f t="shared" si="65"/>
        <v>50646</v>
      </c>
      <c r="C85" s="11">
        <f t="shared" si="3"/>
        <v>1.8757777777777779E-2</v>
      </c>
      <c r="D85" s="2">
        <f t="shared" ref="D85" si="88">B85/B84 - 1</f>
        <v>3.964635451770171E-3</v>
      </c>
      <c r="E85" s="15">
        <f t="shared" si="68"/>
        <v>-0.50935239236909502</v>
      </c>
      <c r="F85">
        <f t="shared" si="69"/>
        <v>200</v>
      </c>
      <c r="G85">
        <v>2283</v>
      </c>
      <c r="H85">
        <f t="shared" si="7"/>
        <v>12</v>
      </c>
      <c r="I85">
        <v>290635</v>
      </c>
      <c r="J85">
        <f t="shared" si="70"/>
        <v>3676</v>
      </c>
      <c r="K85" s="2">
        <f t="shared" si="71"/>
        <v>1.281019239682335E-2</v>
      </c>
      <c r="L85" s="2">
        <f t="shared" si="72"/>
        <v>5.4406964091403699E-2</v>
      </c>
      <c r="W85">
        <v>48363</v>
      </c>
    </row>
    <row r="86" spans="1:26" x14ac:dyDescent="0.3">
      <c r="A86" s="1" cm="1">
        <f t="array" ref="A86">IF(OR(B86:H86=""), "", A85 + 1)</f>
        <v>43991</v>
      </c>
      <c r="B86">
        <f t="shared" si="65"/>
        <v>50908</v>
      </c>
      <c r="C86" s="11">
        <f t="shared" si="3"/>
        <v>1.8854814814814814E-2</v>
      </c>
      <c r="D86" s="2">
        <f t="shared" ref="D86" si="89">B86/B85 - 1</f>
        <v>5.1731627374322908E-3</v>
      </c>
      <c r="E86" s="15">
        <f t="shared" si="68"/>
        <v>-0.48281214596045291</v>
      </c>
      <c r="F86">
        <f t="shared" si="69"/>
        <v>262</v>
      </c>
      <c r="G86">
        <v>2305</v>
      </c>
      <c r="H86">
        <f t="shared" si="7"/>
        <v>22</v>
      </c>
      <c r="I86">
        <v>295205</v>
      </c>
      <c r="J86">
        <f t="shared" si="70"/>
        <v>4570</v>
      </c>
      <c r="K86" s="2">
        <f t="shared" si="71"/>
        <v>1.5724190135393279E-2</v>
      </c>
      <c r="L86" s="2">
        <f t="shared" si="72"/>
        <v>5.7330415754923411E-2</v>
      </c>
      <c r="W86">
        <v>48603</v>
      </c>
    </row>
    <row r="87" spans="1:26" x14ac:dyDescent="0.3">
      <c r="A87" s="1" cm="1">
        <f t="array" ref="A87">IF(OR(B87:H87=""), "", A86 + 1)</f>
        <v>43992</v>
      </c>
      <c r="B87">
        <f t="shared" si="65"/>
        <v>51056</v>
      </c>
      <c r="C87" s="11">
        <f t="shared" si="3"/>
        <v>1.890962962962963E-2</v>
      </c>
      <c r="D87" s="2">
        <f t="shared" ref="D87" si="90">B87/B86 - 1</f>
        <v>2.9072051543961308E-3</v>
      </c>
      <c r="E87" s="15">
        <f t="shared" si="68"/>
        <v>-0.66769992121226662</v>
      </c>
      <c r="F87">
        <f t="shared" si="69"/>
        <v>148</v>
      </c>
      <c r="G87">
        <v>2314</v>
      </c>
      <c r="H87">
        <f t="shared" si="7"/>
        <v>9</v>
      </c>
      <c r="I87">
        <v>299198</v>
      </c>
      <c r="J87">
        <f t="shared" si="70"/>
        <v>3993</v>
      </c>
      <c r="K87" s="2">
        <f t="shared" si="71"/>
        <v>1.3526193662031449E-2</v>
      </c>
      <c r="L87" s="2">
        <f t="shared" si="72"/>
        <v>3.7064863511144505E-2</v>
      </c>
      <c r="W87">
        <v>48742</v>
      </c>
    </row>
    <row r="88" spans="1:26" x14ac:dyDescent="0.3">
      <c r="A88" s="1" cm="1">
        <f t="array" ref="A88">IF(OR(B88:H88=""), "", A87 + 1)</f>
        <v>43993</v>
      </c>
      <c r="B88">
        <f t="shared" si="65"/>
        <v>51291</v>
      </c>
      <c r="C88" s="11">
        <f t="shared" si="3"/>
        <v>1.8996666666666665E-2</v>
      </c>
      <c r="D88" s="2">
        <f t="shared" ref="D88" si="91">B88/B87 - 1</f>
        <v>4.6027890943278749E-3</v>
      </c>
      <c r="E88" s="15">
        <f t="shared" si="68"/>
        <v>-0.53200784144298652</v>
      </c>
      <c r="F88">
        <f t="shared" si="69"/>
        <v>235</v>
      </c>
      <c r="G88">
        <v>2352</v>
      </c>
      <c r="H88">
        <f t="shared" si="7"/>
        <v>38</v>
      </c>
      <c r="I88">
        <v>303886</v>
      </c>
      <c r="J88">
        <f t="shared" si="70"/>
        <v>4688</v>
      </c>
      <c r="K88" s="2">
        <f t="shared" si="71"/>
        <v>1.5668553934184093E-2</v>
      </c>
      <c r="L88" s="2">
        <f t="shared" si="72"/>
        <v>5.012798634812287E-2</v>
      </c>
      <c r="W88">
        <v>48939</v>
      </c>
    </row>
    <row r="89" spans="1:26" x14ac:dyDescent="0.3">
      <c r="A89" s="1" cm="1">
        <f t="array" ref="A89">IF(OR(B89:H89=""), "", A88 + 1)</f>
        <v>43994</v>
      </c>
      <c r="B89">
        <f t="shared" si="65"/>
        <v>51470</v>
      </c>
      <c r="C89" s="11">
        <f t="shared" si="3"/>
        <v>1.9062962962962962E-2</v>
      </c>
      <c r="D89" s="2">
        <f t="shared" ref="D89" si="92">B89/B88 - 1</f>
        <v>3.4898910140179762E-3</v>
      </c>
      <c r="E89" s="15">
        <f t="shared" si="68"/>
        <v>-0.71127219772355987</v>
      </c>
      <c r="F89">
        <f t="shared" si="69"/>
        <v>179</v>
      </c>
      <c r="G89">
        <v>2369</v>
      </c>
      <c r="H89">
        <f t="shared" si="7"/>
        <v>17</v>
      </c>
      <c r="I89">
        <v>309341</v>
      </c>
      <c r="J89">
        <f t="shared" si="70"/>
        <v>5455</v>
      </c>
      <c r="K89" s="2">
        <f t="shared" si="71"/>
        <v>1.7950810501306425E-2</v>
      </c>
      <c r="L89" s="2">
        <f t="shared" si="72"/>
        <v>3.2813932172318976E-2</v>
      </c>
      <c r="W89">
        <v>49101</v>
      </c>
    </row>
    <row r="90" spans="1:26" x14ac:dyDescent="0.3">
      <c r="A90" s="1" cm="1">
        <f t="array" ref="A90">IF(OR(B90:H90=""), "", A89 + 1)</f>
        <v>43995</v>
      </c>
      <c r="B90">
        <f t="shared" si="65"/>
        <v>51657</v>
      </c>
      <c r="C90" s="11">
        <f t="shared" si="3"/>
        <v>1.9132222222222221E-2</v>
      </c>
      <c r="D90" s="2">
        <f t="shared" ref="D90" si="93">B90/B89 - 1</f>
        <v>3.6331843792500873E-3</v>
      </c>
      <c r="E90" s="15">
        <f t="shared" si="68"/>
        <v>-0.64423107883357089</v>
      </c>
      <c r="F90">
        <f t="shared" si="69"/>
        <v>187</v>
      </c>
      <c r="G90">
        <v>2372</v>
      </c>
      <c r="H90">
        <f t="shared" si="7"/>
        <v>3</v>
      </c>
      <c r="I90">
        <v>314295</v>
      </c>
      <c r="J90">
        <f t="shared" si="70"/>
        <v>4954</v>
      </c>
      <c r="K90" s="2">
        <f t="shared" si="71"/>
        <v>1.6014689291105944E-2</v>
      </c>
      <c r="L90" s="2">
        <f t="shared" si="72"/>
        <v>3.7747274929350018E-2</v>
      </c>
      <c r="W90">
        <v>49285</v>
      </c>
    </row>
    <row r="91" spans="1:26" x14ac:dyDescent="0.3">
      <c r="A91" s="1" cm="1">
        <f t="array" ref="A91">IF(OR(B91:H91=""), "", A90 + 1)</f>
        <v>43996</v>
      </c>
      <c r="B91">
        <f t="shared" si="65"/>
        <v>51833</v>
      </c>
      <c r="C91" s="11">
        <f t="shared" si="3"/>
        <v>1.9197407407407406E-2</v>
      </c>
      <c r="D91" s="2">
        <f t="shared" ref="D91" si="94">B91/B90 - 1</f>
        <v>3.407089068277358E-3</v>
      </c>
      <c r="E91" s="15">
        <f t="shared" si="68"/>
        <v>-0.70937648700882761</v>
      </c>
      <c r="F91">
        <f t="shared" si="69"/>
        <v>176</v>
      </c>
      <c r="G91">
        <v>2384</v>
      </c>
      <c r="H91">
        <f t="shared" si="7"/>
        <v>12</v>
      </c>
      <c r="I91">
        <v>319779</v>
      </c>
      <c r="J91">
        <f t="shared" si="70"/>
        <v>5484</v>
      </c>
      <c r="K91" s="2">
        <f t="shared" si="71"/>
        <v>1.7448575383000042E-2</v>
      </c>
      <c r="L91" s="2">
        <f t="shared" si="72"/>
        <v>3.2093362509117436E-2</v>
      </c>
      <c r="W91">
        <v>49449</v>
      </c>
    </row>
    <row r="92" spans="1:26" x14ac:dyDescent="0.3">
      <c r="A92" s="1" cm="1">
        <f t="array" ref="A92">IF(OR(B92:H92=""), "", A91 + 1)</f>
        <v>43997</v>
      </c>
      <c r="B92">
        <f t="shared" si="65"/>
        <v>52002</v>
      </c>
      <c r="C92" s="11">
        <f t="shared" si="3"/>
        <v>1.9259999999999999E-2</v>
      </c>
      <c r="D92" s="2">
        <f t="shared" ref="D92" si="95">B92/B91 - 1</f>
        <v>3.2604711284316412E-3</v>
      </c>
      <c r="E92" s="15">
        <f t="shared" si="68"/>
        <v>-0.65062824280649356</v>
      </c>
      <c r="F92">
        <f t="shared" si="69"/>
        <v>169</v>
      </c>
      <c r="G92">
        <v>2399</v>
      </c>
      <c r="H92">
        <f t="shared" si="7"/>
        <v>15</v>
      </c>
      <c r="I92">
        <v>324443</v>
      </c>
      <c r="J92">
        <f t="shared" si="70"/>
        <v>4664</v>
      </c>
      <c r="K92" s="2">
        <f t="shared" si="71"/>
        <v>1.4585072815913591E-2</v>
      </c>
      <c r="L92" s="2">
        <f t="shared" si="72"/>
        <v>3.6234991423670669E-2</v>
      </c>
      <c r="W92">
        <v>49603</v>
      </c>
    </row>
    <row r="93" spans="1:26" x14ac:dyDescent="0.3">
      <c r="A93" s="1" cm="1">
        <f t="array" ref="A93">IF(OR(B93:H93=""), "", A92 + 1)</f>
        <v>43998</v>
      </c>
      <c r="B93">
        <f t="shared" si="65"/>
        <v>52203</v>
      </c>
      <c r="C93" s="11">
        <f t="shared" si="3"/>
        <v>1.9334444444444446E-2</v>
      </c>
      <c r="D93" s="2">
        <f t="shared" ref="D93" si="96">B93/B92 - 1</f>
        <v>3.8652359524633528E-3</v>
      </c>
      <c r="E93" s="15">
        <f t="shared" si="68"/>
        <v>-0.5536416505581313</v>
      </c>
      <c r="F93">
        <f t="shared" si="69"/>
        <v>201</v>
      </c>
      <c r="G93">
        <v>2427</v>
      </c>
      <c r="H93">
        <f t="shared" si="7"/>
        <v>28</v>
      </c>
      <c r="I93">
        <v>328930</v>
      </c>
      <c r="J93">
        <f t="shared" si="70"/>
        <v>4487</v>
      </c>
      <c r="K93" s="2">
        <f t="shared" si="71"/>
        <v>1.3829856091825077E-2</v>
      </c>
      <c r="L93" s="2">
        <f t="shared" si="72"/>
        <v>4.4796077557388007E-2</v>
      </c>
      <c r="W93">
        <v>49776</v>
      </c>
    </row>
    <row r="94" spans="1:26" x14ac:dyDescent="0.3">
      <c r="A94" s="1" cm="1">
        <f t="array" ref="A94">IF(OR(B94:H94=""), "", A93 + 1)</f>
        <v>43999</v>
      </c>
      <c r="B94">
        <f t="shared" si="65"/>
        <v>52371</v>
      </c>
      <c r="C94" s="11">
        <f t="shared" si="3"/>
        <v>1.9396666666666666E-2</v>
      </c>
      <c r="D94" s="2">
        <f t="shared" ref="D94" si="97">B94/B93 - 1</f>
        <v>3.2182058502385757E-3</v>
      </c>
      <c r="E94" s="15">
        <f t="shared" si="68"/>
        <v>-0.74928842523317296</v>
      </c>
      <c r="F94">
        <f t="shared" si="69"/>
        <v>168</v>
      </c>
      <c r="G94">
        <v>2442</v>
      </c>
      <c r="H94">
        <f t="shared" si="7"/>
        <v>15</v>
      </c>
      <c r="I94">
        <v>334873</v>
      </c>
      <c r="J94">
        <f t="shared" si="70"/>
        <v>5943</v>
      </c>
      <c r="K94" s="2">
        <f t="shared" si="71"/>
        <v>1.8067673973185761E-2</v>
      </c>
      <c r="L94" s="2">
        <f t="shared" si="72"/>
        <v>2.8268551236749116E-2</v>
      </c>
      <c r="W94">
        <v>49929</v>
      </c>
    </row>
    <row r="95" spans="1:26" x14ac:dyDescent="0.3">
      <c r="A95" s="1" cm="1">
        <f t="array" ref="A95">IF(OR(B95:H95=""), "", A94 + 1)</f>
        <v>44000</v>
      </c>
      <c r="B95">
        <f t="shared" si="65"/>
        <v>52543</v>
      </c>
      <c r="C95" s="11">
        <f t="shared" si="3"/>
        <v>1.9460370370370371E-2</v>
      </c>
      <c r="D95" s="2">
        <f t="shared" ref="D95" si="98">B95/B94 - 1</f>
        <v>3.2842603731073616E-3</v>
      </c>
      <c r="E95" s="15">
        <f t="shared" si="68"/>
        <v>-0.64621124810199182</v>
      </c>
      <c r="F95">
        <f t="shared" si="69"/>
        <v>172</v>
      </c>
      <c r="G95">
        <v>2459</v>
      </c>
      <c r="H95">
        <f t="shared" si="7"/>
        <v>17</v>
      </c>
      <c r="I95">
        <v>339743</v>
      </c>
      <c r="J95">
        <f t="shared" si="70"/>
        <v>4870</v>
      </c>
      <c r="K95" s="2">
        <f t="shared" si="71"/>
        <v>1.4542826683548782E-2</v>
      </c>
      <c r="L95" s="2">
        <f t="shared" si="72"/>
        <v>3.5318275154004104E-2</v>
      </c>
      <c r="W95">
        <v>50084</v>
      </c>
    </row>
    <row r="96" spans="1:26" x14ac:dyDescent="0.3">
      <c r="A96" s="1" cm="1">
        <f t="array" ref="A96">IF(OR(B96:H96=""), "", A95 + 1)</f>
        <v>44001</v>
      </c>
      <c r="B96">
        <f t="shared" si="65"/>
        <v>52758</v>
      </c>
      <c r="C96" s="11">
        <f t="shared" si="3"/>
        <v>1.9539999999999998E-2</v>
      </c>
      <c r="D96" s="2">
        <f t="shared" ref="D96" si="99">B96/B95 - 1</f>
        <v>4.0918866452239744E-3</v>
      </c>
      <c r="E96" s="15">
        <f t="shared" si="68"/>
        <v>-0.56517677697573687</v>
      </c>
      <c r="F96">
        <f t="shared" si="69"/>
        <v>215</v>
      </c>
      <c r="G96">
        <v>2481</v>
      </c>
      <c r="H96">
        <f t="shared" si="7"/>
        <v>22</v>
      </c>
      <c r="I96">
        <v>344851</v>
      </c>
      <c r="J96">
        <f t="shared" si="70"/>
        <v>5108</v>
      </c>
      <c r="K96" s="2">
        <f t="shared" si="71"/>
        <v>1.5034894022834866E-2</v>
      </c>
      <c r="L96" s="2">
        <f t="shared" si="72"/>
        <v>4.2090837901331245E-2</v>
      </c>
      <c r="W96">
        <v>50277</v>
      </c>
    </row>
    <row r="97" spans="1:23" x14ac:dyDescent="0.3">
      <c r="A97" s="1" cm="1">
        <f t="array" ref="A97">IF(OR(B97:H97=""), "", A96 + 1)</f>
        <v>44002</v>
      </c>
      <c r="B97">
        <f t="shared" si="65"/>
        <v>52916</v>
      </c>
      <c r="C97" s="11">
        <f t="shared" si="3"/>
        <v>1.9598518518518519E-2</v>
      </c>
      <c r="D97" s="2">
        <f t="shared" ref="D97" si="100">B97/B96 - 1</f>
        <v>2.9948064748475112E-3</v>
      </c>
      <c r="E97" s="15">
        <f t="shared" si="68"/>
        <v>-0.69416560474757161</v>
      </c>
      <c r="F97">
        <f t="shared" si="69"/>
        <v>158</v>
      </c>
      <c r="G97">
        <v>2491</v>
      </c>
      <c r="H97">
        <f t="shared" si="7"/>
        <v>10</v>
      </c>
      <c r="I97">
        <v>349958</v>
      </c>
      <c r="J97">
        <f t="shared" si="70"/>
        <v>5107</v>
      </c>
      <c r="K97" s="2">
        <f t="shared" si="71"/>
        <v>1.4809294448906885E-2</v>
      </c>
      <c r="L97" s="2">
        <f t="shared" si="72"/>
        <v>3.0937928333659683E-2</v>
      </c>
      <c r="W97">
        <v>50425</v>
      </c>
    </row>
    <row r="98" spans="1:23" x14ac:dyDescent="0.3">
      <c r="A98" s="1" cm="1">
        <f t="array" ref="A98">IF(OR(B98:H98=""), "", A97 + 1)</f>
        <v>44003</v>
      </c>
      <c r="B98">
        <f t="shared" si="65"/>
        <v>53046</v>
      </c>
      <c r="C98" s="11">
        <f t="shared" si="3"/>
        <v>1.9646666666666666E-2</v>
      </c>
      <c r="D98" s="2">
        <f t="shared" ref="D98" si="101">B98/B97 - 1</f>
        <v>2.4567238642376754E-3</v>
      </c>
      <c r="E98" s="15">
        <f t="shared" si="68"/>
        <v>-0.84087398933146329</v>
      </c>
      <c r="F98">
        <f t="shared" si="69"/>
        <v>130</v>
      </c>
      <c r="G98">
        <v>2505</v>
      </c>
      <c r="H98">
        <f t="shared" si="7"/>
        <v>14</v>
      </c>
      <c r="I98">
        <v>355918</v>
      </c>
      <c r="J98">
        <f t="shared" si="70"/>
        <v>5960</v>
      </c>
      <c r="K98" s="2">
        <f t="shared" si="71"/>
        <v>1.7030615102383795E-2</v>
      </c>
      <c r="L98" s="2">
        <f t="shared" si="72"/>
        <v>2.1812080536912751E-2</v>
      </c>
      <c r="W98">
        <v>50541</v>
      </c>
    </row>
    <row r="99" spans="1:23" x14ac:dyDescent="0.3">
      <c r="A99" s="1" cm="1">
        <f t="array" ref="A99">IF(OR(B99:H99=""), "", A98 + 1)</f>
        <v>44004</v>
      </c>
      <c r="B99">
        <f t="shared" si="65"/>
        <v>53158</v>
      </c>
      <c r="C99" s="11">
        <f t="shared" si="3"/>
        <v>1.9688148148148149E-2</v>
      </c>
      <c r="D99" s="2">
        <f t="shared" ref="D99" si="102">B99/B98 - 1</f>
        <v>2.1113750329901926E-3</v>
      </c>
      <c r="E99" s="15">
        <f t="shared" si="68"/>
        <v>-0.72331252872877105</v>
      </c>
      <c r="F99">
        <f t="shared" si="69"/>
        <v>112</v>
      </c>
      <c r="G99">
        <v>2523</v>
      </c>
      <c r="H99">
        <f t="shared" si="7"/>
        <v>18</v>
      </c>
      <c r="I99">
        <v>359892</v>
      </c>
      <c r="J99">
        <f t="shared" si="70"/>
        <v>3974</v>
      </c>
      <c r="K99" s="2">
        <f t="shared" si="71"/>
        <v>1.1165493175394392E-2</v>
      </c>
      <c r="L99" s="2">
        <f t="shared" si="72"/>
        <v>2.8183190739808756E-2</v>
      </c>
      <c r="W99">
        <v>50635</v>
      </c>
    </row>
    <row r="100" spans="1:23" x14ac:dyDescent="0.3">
      <c r="A100" s="1" cm="1">
        <f t="array" ref="A100">IF(OR(B100:H100=""), "", A99 + 1)</f>
        <v>44005</v>
      </c>
      <c r="B100">
        <f t="shared" ref="B100:B111" si="103">W100 + G100</f>
        <v>53359</v>
      </c>
      <c r="C100" s="11">
        <f t="shared" si="3"/>
        <v>1.9762592592592592E-2</v>
      </c>
      <c r="D100" s="2">
        <f t="shared" ref="D100" si="104">B100/B99 - 1</f>
        <v>3.781180631325487E-3</v>
      </c>
      <c r="E100" s="15">
        <f t="shared" si="68"/>
        <v>-0.51280013424236126</v>
      </c>
      <c r="F100">
        <f t="shared" si="69"/>
        <v>201</v>
      </c>
      <c r="G100">
        <v>2526</v>
      </c>
      <c r="H100">
        <f t="shared" si="7"/>
        <v>3</v>
      </c>
      <c r="I100">
        <v>364324</v>
      </c>
      <c r="J100">
        <f t="shared" si="70"/>
        <v>4432</v>
      </c>
      <c r="K100" s="2">
        <f t="shared" si="71"/>
        <v>1.2314805552776864E-2</v>
      </c>
      <c r="L100" s="2">
        <f t="shared" si="72"/>
        <v>4.5351985559566786E-2</v>
      </c>
      <c r="W100">
        <v>50833</v>
      </c>
    </row>
    <row r="101" spans="1:23" x14ac:dyDescent="0.3">
      <c r="A101" s="1" cm="1">
        <f t="array" ref="A101">IF(OR(B101:H101=""), "", A100 + 1)</f>
        <v>44006</v>
      </c>
      <c r="B101">
        <f t="shared" si="103"/>
        <v>53536</v>
      </c>
      <c r="C101" s="11">
        <f t="shared" si="3"/>
        <v>1.9828148148148147E-2</v>
      </c>
      <c r="D101" s="2">
        <f t="shared" ref="D101" si="105">B101/B100 - 1</f>
        <v>3.3171536198204343E-3</v>
      </c>
      <c r="E101" s="15">
        <f t="shared" ref="E101:E111" si="106">LOG(D101/K101)</f>
        <v>-0.64439235423944174</v>
      </c>
      <c r="F101">
        <f t="shared" si="69"/>
        <v>177</v>
      </c>
      <c r="G101">
        <v>2540</v>
      </c>
      <c r="H101">
        <f t="shared" si="7"/>
        <v>14</v>
      </c>
      <c r="I101">
        <v>369653</v>
      </c>
      <c r="J101">
        <f t="shared" si="70"/>
        <v>5329</v>
      </c>
      <c r="K101" s="2">
        <f t="shared" si="71"/>
        <v>1.462709017248387E-2</v>
      </c>
      <c r="L101" s="2">
        <f t="shared" ref="L101:L132" si="107">(B101 - B100)/(I101 - I100)</f>
        <v>3.3214486770501032E-2</v>
      </c>
      <c r="W101">
        <v>50996</v>
      </c>
    </row>
    <row r="102" spans="1:23" x14ac:dyDescent="0.3">
      <c r="A102" s="1" cm="1">
        <f t="array" ref="A102">IF(OR(B102:H102=""), "", A101 + 1)</f>
        <v>44007</v>
      </c>
      <c r="B102">
        <f t="shared" si="103"/>
        <v>53825</v>
      </c>
      <c r="C102" s="11">
        <f t="shared" si="3"/>
        <v>1.9935185185185184E-2</v>
      </c>
      <c r="D102" s="2">
        <f t="shared" ref="D102" si="108">B102/B101 - 1</f>
        <v>5.3982367005378507E-3</v>
      </c>
      <c r="E102" s="15">
        <f t="shared" si="106"/>
        <v>-0.51758530855631091</v>
      </c>
      <c r="F102">
        <f t="shared" si="69"/>
        <v>289</v>
      </c>
      <c r="G102">
        <v>2558</v>
      </c>
      <c r="H102">
        <f t="shared" si="7"/>
        <v>18</v>
      </c>
      <c r="I102">
        <v>376224</v>
      </c>
      <c r="J102">
        <f t="shared" si="70"/>
        <v>6571</v>
      </c>
      <c r="K102" s="2">
        <f t="shared" si="71"/>
        <v>1.7776130587334515E-2</v>
      </c>
      <c r="L102" s="2">
        <f t="shared" si="107"/>
        <v>4.3981129204078526E-2</v>
      </c>
      <c r="W102">
        <v>51267</v>
      </c>
    </row>
    <row r="103" spans="1:23" x14ac:dyDescent="0.3">
      <c r="A103" s="1" cm="1">
        <f t="array" ref="A103">IF(OR(B103:H103=""), "", A102 + 1)</f>
        <v>44008</v>
      </c>
      <c r="B103">
        <f t="shared" si="103"/>
        <v>54086</v>
      </c>
      <c r="C103" s="11">
        <f t="shared" si="3"/>
        <v>2.0031851851851853E-2</v>
      </c>
      <c r="D103" s="2">
        <f t="shared" ref="D103:D104" si="109">B103/B102 - 1</f>
        <v>4.8490478402229975E-3</v>
      </c>
      <c r="E103" s="15">
        <f t="shared" si="106"/>
        <v>-0.57975558868144772</v>
      </c>
      <c r="F103">
        <f t="shared" si="69"/>
        <v>261</v>
      </c>
      <c r="G103">
        <v>2575</v>
      </c>
      <c r="H103">
        <f t="shared" si="7"/>
        <v>17</v>
      </c>
      <c r="I103">
        <v>383156</v>
      </c>
      <c r="J103">
        <f t="shared" si="70"/>
        <v>6932</v>
      </c>
      <c r="K103" s="2">
        <f t="shared" si="71"/>
        <v>1.8425193501743653E-2</v>
      </c>
      <c r="L103" s="2">
        <f t="shared" si="107"/>
        <v>3.7651471436814771E-2</v>
      </c>
      <c r="W103">
        <v>51511</v>
      </c>
    </row>
    <row r="104" spans="1:23" x14ac:dyDescent="0.3">
      <c r="A104" s="1" cm="1">
        <f t="array" ref="A104">IF(OR(B104:H104=""), "", A103 + 1)</f>
        <v>44009</v>
      </c>
      <c r="B104">
        <f t="shared" si="103"/>
        <v>54308</v>
      </c>
      <c r="C104" s="11">
        <f t="shared" si="3"/>
        <v>2.0114074074074072E-2</v>
      </c>
      <c r="D104" s="2">
        <f t="shared" si="109"/>
        <v>4.1045741966498905E-3</v>
      </c>
      <c r="E104" s="15">
        <f t="shared" si="106"/>
        <v>-0.66715479730528149</v>
      </c>
      <c r="F104">
        <f t="shared" si="69"/>
        <v>222</v>
      </c>
      <c r="G104">
        <v>2580</v>
      </c>
      <c r="H104">
        <f t="shared" ref="H104:H276" si="110">G104-G103</f>
        <v>5</v>
      </c>
      <c r="I104">
        <v>390464</v>
      </c>
      <c r="J104">
        <f t="shared" si="70"/>
        <v>7308</v>
      </c>
      <c r="K104" s="2">
        <f t="shared" si="71"/>
        <v>1.9073171240956643E-2</v>
      </c>
      <c r="L104" s="2">
        <f t="shared" si="107"/>
        <v>3.0377668308702793E-2</v>
      </c>
      <c r="W104">
        <v>51728</v>
      </c>
    </row>
    <row r="105" spans="1:23" x14ac:dyDescent="0.3">
      <c r="A105" s="1" cm="1">
        <f t="array" ref="A105">IF(OR(B105:H105=""), "", A104 + 1)</f>
        <v>44010</v>
      </c>
      <c r="B105">
        <f t="shared" si="103"/>
        <v>54532</v>
      </c>
      <c r="C105" s="11">
        <f t="shared" si="3"/>
        <v>2.0197037037037038E-2</v>
      </c>
      <c r="D105" s="2">
        <f t="shared" ref="D105" si="111">B105/B104 - 1</f>
        <v>4.1246225233850797E-3</v>
      </c>
      <c r="E105" s="15">
        <f t="shared" si="106"/>
        <v>-0.62027479152517861</v>
      </c>
      <c r="F105">
        <f t="shared" ref="F105" si="112">B105 - B104</f>
        <v>224</v>
      </c>
      <c r="G105">
        <v>2582</v>
      </c>
      <c r="H105">
        <f t="shared" si="110"/>
        <v>2</v>
      </c>
      <c r="I105">
        <v>397182</v>
      </c>
      <c r="J105">
        <f t="shared" si="70"/>
        <v>6718</v>
      </c>
      <c r="K105" s="2">
        <f t="shared" si="71"/>
        <v>1.720517128339627E-2</v>
      </c>
      <c r="L105" s="2">
        <f t="shared" si="107"/>
        <v>3.3343256921702889E-2</v>
      </c>
      <c r="W105">
        <v>51950</v>
      </c>
    </row>
    <row r="106" spans="1:23" x14ac:dyDescent="0.3">
      <c r="A106" s="1" cm="1">
        <f t="array" ref="A106">IF(OR(B106:H106=""), "", A105 + 1)</f>
        <v>44011</v>
      </c>
      <c r="B106">
        <f t="shared" si="103"/>
        <v>54743</v>
      </c>
      <c r="C106" s="11">
        <f t="shared" si="3"/>
        <v>2.0275185185185184E-2</v>
      </c>
      <c r="D106" s="2">
        <f t="shared" ref="D106" si="113">B106/B105 - 1</f>
        <v>3.8692877576469442E-3</v>
      </c>
      <c r="E106" s="15">
        <f t="shared" si="106"/>
        <v>-0.63724472170708102</v>
      </c>
      <c r="F106">
        <f t="shared" ref="F106" si="114">B106 - B105</f>
        <v>211</v>
      </c>
      <c r="G106">
        <v>2593</v>
      </c>
      <c r="H106">
        <f t="shared" si="110"/>
        <v>11</v>
      </c>
      <c r="I106">
        <v>403848</v>
      </c>
      <c r="J106">
        <f t="shared" si="70"/>
        <v>6666</v>
      </c>
      <c r="K106" s="2">
        <f t="shared" si="71"/>
        <v>1.6783237911083493E-2</v>
      </c>
      <c r="L106" s="2">
        <f t="shared" si="107"/>
        <v>3.1653165316531652E-2</v>
      </c>
      <c r="W106">
        <v>52150</v>
      </c>
    </row>
    <row r="107" spans="1:23" x14ac:dyDescent="0.3">
      <c r="A107" s="1" cm="1">
        <f t="array" ref="A107">IF(OR(B107:H107=""), "", A106 + 1)</f>
        <v>44012</v>
      </c>
      <c r="B107">
        <f t="shared" si="103"/>
        <v>54952</v>
      </c>
      <c r="C107" s="11">
        <f t="shared" si="3"/>
        <v>2.0352592592592592E-2</v>
      </c>
      <c r="D107" s="2">
        <f t="shared" ref="D107" si="115">B107/B106 - 1</f>
        <v>3.8178397238002315E-3</v>
      </c>
      <c r="E107" s="15">
        <f t="shared" si="106"/>
        <v>-0.60351467620259847</v>
      </c>
      <c r="F107">
        <f t="shared" ref="F107" si="116">B107 - B106</f>
        <v>209</v>
      </c>
      <c r="G107">
        <v>2598</v>
      </c>
      <c r="H107">
        <f t="shared" si="110"/>
        <v>5</v>
      </c>
      <c r="I107">
        <v>410036</v>
      </c>
      <c r="J107">
        <f t="shared" si="70"/>
        <v>6188</v>
      </c>
      <c r="K107" s="2">
        <f t="shared" si="71"/>
        <v>1.5322596620510609E-2</v>
      </c>
      <c r="L107" s="2">
        <f t="shared" si="107"/>
        <v>3.3775048480930832E-2</v>
      </c>
      <c r="W107">
        <v>52354</v>
      </c>
    </row>
    <row r="108" spans="1:23" x14ac:dyDescent="0.3">
      <c r="A108" s="1" cm="1">
        <f t="array" ref="A108">IF(OR(B108:H108=""), "", A107 + 1)</f>
        <v>44013</v>
      </c>
      <c r="B108">
        <f t="shared" si="103"/>
        <v>55171</v>
      </c>
      <c r="C108" s="11">
        <f t="shared" ref="C108:C111" si="117">B108/$A$1</f>
        <v>2.0433703703703704E-2</v>
      </c>
      <c r="D108" s="2">
        <f t="shared" ref="D108" si="118">B108/B107 - 1</f>
        <v>3.9852962585529284E-3</v>
      </c>
      <c r="E108" s="15">
        <f t="shared" si="106"/>
        <v>-0.64102344210962114</v>
      </c>
      <c r="F108">
        <f t="shared" ref="F108" si="119">B108 - B107</f>
        <v>219</v>
      </c>
      <c r="G108">
        <v>2611</v>
      </c>
      <c r="H108">
        <f t="shared" si="110"/>
        <v>13</v>
      </c>
      <c r="I108">
        <v>417186</v>
      </c>
      <c r="J108">
        <f t="shared" si="70"/>
        <v>7150</v>
      </c>
      <c r="K108" s="2">
        <f t="shared" si="71"/>
        <v>1.7437493293271711E-2</v>
      </c>
      <c r="L108" s="2">
        <f t="shared" si="107"/>
        <v>3.0629370629370628E-2</v>
      </c>
      <c r="W108">
        <v>52560</v>
      </c>
    </row>
    <row r="109" spans="1:23" x14ac:dyDescent="0.3">
      <c r="A109" s="1" cm="1">
        <f t="array" ref="A109">IF(OR(B109:H109=""), "", A108 + 1)</f>
        <v>44014</v>
      </c>
      <c r="B109">
        <f t="shared" si="103"/>
        <v>55456</v>
      </c>
      <c r="C109" s="11">
        <f t="shared" si="117"/>
        <v>2.0539259259259261E-2</v>
      </c>
      <c r="D109" s="2">
        <f t="shared" ref="D109" si="120">B109/B108 - 1</f>
        <v>5.1657573725327754E-3</v>
      </c>
      <c r="E109" s="15">
        <f t="shared" si="106"/>
        <v>-0.48621178993442271</v>
      </c>
      <c r="F109">
        <f t="shared" ref="F109" si="121">B109 - B108</f>
        <v>285</v>
      </c>
      <c r="G109">
        <v>2623</v>
      </c>
      <c r="H109">
        <f t="shared" si="110"/>
        <v>12</v>
      </c>
      <c r="I109">
        <v>423788</v>
      </c>
      <c r="J109">
        <f t="shared" si="70"/>
        <v>6602</v>
      </c>
      <c r="K109" s="2">
        <f t="shared" si="71"/>
        <v>1.5825075625740093E-2</v>
      </c>
      <c r="L109" s="2">
        <f t="shared" si="107"/>
        <v>4.3168736746440471E-2</v>
      </c>
      <c r="W109">
        <v>52833</v>
      </c>
    </row>
    <row r="110" spans="1:23" x14ac:dyDescent="0.3">
      <c r="A110" s="1" cm="1">
        <f t="array" ref="A110">IF(OR(B110:H110=""), "", A109 + 1)</f>
        <v>44015</v>
      </c>
      <c r="B110">
        <f t="shared" si="103"/>
        <v>55717</v>
      </c>
      <c r="C110" s="11">
        <f t="shared" si="117"/>
        <v>2.0635925925925926E-2</v>
      </c>
      <c r="D110" s="2">
        <f t="shared" ref="D110" si="122">B110/B109 - 1</f>
        <v>4.7064339296019053E-3</v>
      </c>
      <c r="E110" s="15">
        <f t="shared" si="106"/>
        <v>-0.59602372989596708</v>
      </c>
      <c r="F110">
        <f t="shared" ref="F110" si="123">B110 - B109</f>
        <v>261</v>
      </c>
      <c r="G110">
        <v>2628</v>
      </c>
      <c r="H110">
        <f t="shared" si="110"/>
        <v>5</v>
      </c>
      <c r="I110">
        <v>431656</v>
      </c>
      <c r="J110">
        <f t="shared" si="70"/>
        <v>7868</v>
      </c>
      <c r="K110" s="2">
        <f t="shared" si="71"/>
        <v>1.8565886716943369E-2</v>
      </c>
      <c r="L110" s="2">
        <f t="shared" si="107"/>
        <v>3.3172343670564312E-2</v>
      </c>
      <c r="W110">
        <v>53089</v>
      </c>
    </row>
    <row r="111" spans="1:23" x14ac:dyDescent="0.3">
      <c r="A111" s="1" cm="1">
        <f t="array" ref="A111">IF(OR(B111:H111=""), "", A110 + 1)</f>
        <v>44016</v>
      </c>
      <c r="B111">
        <f t="shared" si="103"/>
        <v>56006</v>
      </c>
      <c r="C111" s="11">
        <f t="shared" si="117"/>
        <v>2.0742962962962963E-2</v>
      </c>
      <c r="D111" s="2">
        <f t="shared" ref="D111" si="124">B111/B110 - 1</f>
        <v>5.1869267907460603E-3</v>
      </c>
      <c r="E111" s="15">
        <f t="shared" si="106"/>
        <v>-0.62243264958918632</v>
      </c>
      <c r="F111">
        <f t="shared" ref="F111:F230" si="125">B111 - B110</f>
        <v>289</v>
      </c>
      <c r="G111">
        <v>2631</v>
      </c>
      <c r="H111">
        <f t="shared" si="110"/>
        <v>3</v>
      </c>
      <c r="I111">
        <v>441042</v>
      </c>
      <c r="J111">
        <f t="shared" si="70"/>
        <v>9386</v>
      </c>
      <c r="K111" s="2">
        <f t="shared" si="71"/>
        <v>2.1744166651222363E-2</v>
      </c>
      <c r="L111" s="2">
        <f t="shared" si="107"/>
        <v>3.0790539100788408E-2</v>
      </c>
      <c r="W111">
        <v>53375</v>
      </c>
    </row>
    <row r="112" spans="1:23" x14ac:dyDescent="0.3">
      <c r="A112" s="1" cm="1">
        <f t="array" ref="A112">IF(OR(B112:G112=""), "", A111 + 1)</f>
        <v>44017</v>
      </c>
      <c r="B112">
        <f t="shared" ref="B112:B230" si="126">W112 + G112</f>
        <v>56165</v>
      </c>
      <c r="C112" s="11">
        <f t="shared" ref="C112:C230" si="127">B112/$A$1</f>
        <v>2.0801851851851853E-2</v>
      </c>
      <c r="D112" s="2">
        <f t="shared" ref="D112:D230" si="128">B112/B111 - 1</f>
        <v>2.8389815376923533E-3</v>
      </c>
      <c r="E112" s="18">
        <f t="shared" ref="E112:E143" si="129">IFERROR(LOG(D112/K112), FALSE)</f>
        <v>-0.76077436059068715</v>
      </c>
      <c r="F112">
        <f t="shared" si="125"/>
        <v>159</v>
      </c>
      <c r="G112">
        <v>2634</v>
      </c>
      <c r="H112">
        <f t="shared" si="110"/>
        <v>3</v>
      </c>
      <c r="I112">
        <v>448260</v>
      </c>
      <c r="J112">
        <f t="shared" si="70"/>
        <v>7218</v>
      </c>
      <c r="K112" s="2">
        <f t="shared" si="71"/>
        <v>1.6365788292271422E-2</v>
      </c>
      <c r="L112" s="2">
        <f t="shared" si="107"/>
        <v>2.2028262676641729E-2</v>
      </c>
      <c r="W112">
        <v>53531</v>
      </c>
    </row>
    <row r="113" spans="1:23" x14ac:dyDescent="0.3">
      <c r="A113" s="1" cm="1">
        <f t="array" ref="A113">IF(OR(B113:G113=""), "", A112 + 1)</f>
        <v>44018</v>
      </c>
      <c r="B113">
        <f t="shared" si="126"/>
        <v>56306</v>
      </c>
      <c r="C113" s="11">
        <f t="shared" si="127"/>
        <v>2.0854074074074073E-2</v>
      </c>
      <c r="D113" s="2">
        <f t="shared" si="128"/>
        <v>2.5104602510459539E-3</v>
      </c>
      <c r="E113" s="18">
        <f t="shared" si="129"/>
        <v>-0.67576967512558139</v>
      </c>
      <c r="F113">
        <f t="shared" si="125"/>
        <v>141</v>
      </c>
      <c r="G113">
        <v>2636</v>
      </c>
      <c r="H113">
        <f t="shared" si="110"/>
        <v>2</v>
      </c>
      <c r="I113">
        <v>453594</v>
      </c>
      <c r="J113">
        <f t="shared" si="70"/>
        <v>5334</v>
      </c>
      <c r="K113" s="2">
        <f t="shared" si="71"/>
        <v>1.1899344130638534E-2</v>
      </c>
      <c r="L113" s="2">
        <f t="shared" si="107"/>
        <v>2.6434195725534307E-2</v>
      </c>
      <c r="W113">
        <v>53670</v>
      </c>
    </row>
    <row r="114" spans="1:23" x14ac:dyDescent="0.3">
      <c r="A114" s="1" cm="1">
        <f t="array" ref="A114">IF(OR(B114:G114=""), "", A113 + 1)</f>
        <v>44019</v>
      </c>
      <c r="B114">
        <f t="shared" si="126"/>
        <v>56465</v>
      </c>
      <c r="C114" s="11">
        <f t="shared" si="127"/>
        <v>2.0912962962962963E-2</v>
      </c>
      <c r="D114" s="2">
        <f t="shared" si="128"/>
        <v>2.8238553617732087E-3</v>
      </c>
      <c r="E114" s="18">
        <f t="shared" si="129"/>
        <v>-0.6109088922873529</v>
      </c>
      <c r="F114">
        <f t="shared" si="125"/>
        <v>159</v>
      </c>
      <c r="G114">
        <v>2645</v>
      </c>
      <c r="H114">
        <f t="shared" si="110"/>
        <v>9</v>
      </c>
      <c r="I114">
        <v>458823</v>
      </c>
      <c r="J114">
        <f t="shared" si="70"/>
        <v>5229</v>
      </c>
      <c r="K114" s="2">
        <f t="shared" si="71"/>
        <v>1.152793026362775E-2</v>
      </c>
      <c r="L114" s="2">
        <f t="shared" si="107"/>
        <v>3.0407343660355707E-2</v>
      </c>
      <c r="W114">
        <v>53820</v>
      </c>
    </row>
    <row r="115" spans="1:23" x14ac:dyDescent="0.3">
      <c r="A115" s="1" cm="1">
        <f t="array" ref="A115">IF(OR(B115:G115=""), "", A114 + 1)</f>
        <v>44020</v>
      </c>
      <c r="B115">
        <f t="shared" si="126"/>
        <v>56694</v>
      </c>
      <c r="C115" s="11">
        <f t="shared" si="127"/>
        <v>2.0997777777777778E-2</v>
      </c>
      <c r="D115" s="2">
        <f t="shared" si="128"/>
        <v>4.0556096697068611E-3</v>
      </c>
      <c r="E115" s="18">
        <f t="shared" si="129"/>
        <v>-0.55227048757584218</v>
      </c>
      <c r="F115">
        <f t="shared" si="125"/>
        <v>229</v>
      </c>
      <c r="G115">
        <v>2650</v>
      </c>
      <c r="H115">
        <f t="shared" si="110"/>
        <v>5</v>
      </c>
      <c r="I115">
        <v>465460</v>
      </c>
      <c r="J115">
        <f t="shared" si="70"/>
        <v>6637</v>
      </c>
      <c r="K115" s="2">
        <f t="shared" si="71"/>
        <v>1.4465273100956244E-2</v>
      </c>
      <c r="L115" s="2">
        <f t="shared" si="107"/>
        <v>3.450354075636583E-2</v>
      </c>
      <c r="W115">
        <v>54044</v>
      </c>
    </row>
    <row r="116" spans="1:23" x14ac:dyDescent="0.3">
      <c r="A116" s="1" cm="1">
        <f t="array" ref="A116">IF(OR(B116:G116=""), "", A115 + 1)</f>
        <v>44021</v>
      </c>
      <c r="B116">
        <f t="shared" si="126"/>
        <v>57001</v>
      </c>
      <c r="C116" s="11">
        <f t="shared" si="127"/>
        <v>2.1111481481481481E-2</v>
      </c>
      <c r="D116" s="2">
        <f t="shared" si="128"/>
        <v>5.4150351007160591E-3</v>
      </c>
      <c r="E116" s="18">
        <f t="shared" si="129"/>
        <v>-0.48545806470309949</v>
      </c>
      <c r="F116">
        <f t="shared" si="125"/>
        <v>307</v>
      </c>
      <c r="G116">
        <v>2657</v>
      </c>
      <c r="H116">
        <f t="shared" si="110"/>
        <v>7</v>
      </c>
      <c r="I116">
        <v>473168</v>
      </c>
      <c r="J116">
        <f t="shared" si="70"/>
        <v>7708</v>
      </c>
      <c r="K116" s="2">
        <f t="shared" si="71"/>
        <v>1.6559962187943089E-2</v>
      </c>
      <c r="L116" s="2">
        <f t="shared" si="107"/>
        <v>3.98287493513233E-2</v>
      </c>
      <c r="W116">
        <v>54344</v>
      </c>
    </row>
    <row r="117" spans="1:23" x14ac:dyDescent="0.3">
      <c r="A117" s="1" cm="1">
        <f t="array" ref="A117">IF(OR(B117:G117=""), "", A116 + 1)</f>
        <v>44022</v>
      </c>
      <c r="B117">
        <f t="shared" si="126"/>
        <v>57342</v>
      </c>
      <c r="C117" s="11">
        <f t="shared" si="127"/>
        <v>2.1237777777777779E-2</v>
      </c>
      <c r="D117" s="2">
        <f t="shared" si="128"/>
        <v>5.982351186821333E-3</v>
      </c>
      <c r="E117" s="18">
        <f t="shared" si="129"/>
        <v>-0.44143054149456468</v>
      </c>
      <c r="F117">
        <f t="shared" si="125"/>
        <v>341</v>
      </c>
      <c r="G117">
        <v>2666</v>
      </c>
      <c r="H117">
        <f t="shared" si="110"/>
        <v>9</v>
      </c>
      <c r="I117">
        <v>480990</v>
      </c>
      <c r="J117">
        <f t="shared" si="70"/>
        <v>7822</v>
      </c>
      <c r="K117" s="2">
        <f t="shared" si="71"/>
        <v>1.6531126365265658E-2</v>
      </c>
      <c r="L117" s="2">
        <f t="shared" si="107"/>
        <v>4.3594988493991307E-2</v>
      </c>
      <c r="W117">
        <v>54676</v>
      </c>
    </row>
    <row r="118" spans="1:23" x14ac:dyDescent="0.3">
      <c r="A118" s="1" cm="1">
        <f t="array" ref="A118">IF(OR(B118:G118=""), "", A117 + 1)</f>
        <v>44023</v>
      </c>
      <c r="B118">
        <f t="shared" si="126"/>
        <v>57644</v>
      </c>
      <c r="C118" s="11">
        <f t="shared" si="127"/>
        <v>2.1349629629629628E-2</v>
      </c>
      <c r="D118" s="2">
        <f t="shared" si="128"/>
        <v>5.2666457395975641E-3</v>
      </c>
      <c r="E118" s="18">
        <f t="shared" si="129"/>
        <v>-0.53429884909803327</v>
      </c>
      <c r="F118">
        <f t="shared" si="125"/>
        <v>302</v>
      </c>
      <c r="G118">
        <v>2676</v>
      </c>
      <c r="H118">
        <f t="shared" si="110"/>
        <v>10</v>
      </c>
      <c r="I118">
        <v>489659</v>
      </c>
      <c r="J118">
        <f t="shared" si="70"/>
        <v>8669</v>
      </c>
      <c r="K118" s="2">
        <f t="shared" si="71"/>
        <v>1.8023243726480898E-2</v>
      </c>
      <c r="L118" s="2">
        <f t="shared" si="107"/>
        <v>3.4836774714499939E-2</v>
      </c>
      <c r="W118">
        <v>54968</v>
      </c>
    </row>
    <row r="119" spans="1:23" x14ac:dyDescent="0.3">
      <c r="A119" s="1" cm="1">
        <f t="array" ref="A119">IF(OR(B119:G119=""), "", A118 + 1)</f>
        <v>44024</v>
      </c>
      <c r="B119">
        <f t="shared" si="126"/>
        <v>57909</v>
      </c>
      <c r="C119" s="11">
        <f t="shared" si="127"/>
        <v>2.1447777777777777E-2</v>
      </c>
      <c r="D119" s="2">
        <f t="shared" si="128"/>
        <v>4.5971827076538574E-3</v>
      </c>
      <c r="E119" s="18">
        <f t="shared" si="129"/>
        <v>-0.60368683125621903</v>
      </c>
      <c r="F119">
        <f t="shared" si="125"/>
        <v>265</v>
      </c>
      <c r="G119">
        <v>2683</v>
      </c>
      <c r="H119">
        <f t="shared" si="110"/>
        <v>7</v>
      </c>
      <c r="I119">
        <v>498697</v>
      </c>
      <c r="J119">
        <f t="shared" si="70"/>
        <v>9038</v>
      </c>
      <c r="K119" s="2">
        <f t="shared" si="71"/>
        <v>1.8457743041585983E-2</v>
      </c>
      <c r="L119" s="2">
        <f t="shared" si="107"/>
        <v>2.9320646160655012E-2</v>
      </c>
      <c r="W119">
        <v>55226</v>
      </c>
    </row>
    <row r="120" spans="1:23" x14ac:dyDescent="0.3">
      <c r="A120" s="1" cm="1">
        <f t="array" ref="A120">IF(OR(B120:G120=""), "", A119 + 1)</f>
        <v>44025</v>
      </c>
      <c r="B120">
        <f t="shared" si="126"/>
        <v>58087</v>
      </c>
      <c r="C120" s="11">
        <f t="shared" si="127"/>
        <v>2.1513703703703705E-2</v>
      </c>
      <c r="D120" s="2">
        <f t="shared" si="128"/>
        <v>3.0737881849107751E-3</v>
      </c>
      <c r="E120" s="18">
        <f t="shared" si="129"/>
        <v>-0.72532707242844952</v>
      </c>
      <c r="F120">
        <f t="shared" si="125"/>
        <v>178</v>
      </c>
      <c r="G120">
        <v>2688</v>
      </c>
      <c r="H120">
        <f t="shared" si="110"/>
        <v>5</v>
      </c>
      <c r="I120">
        <v>506841</v>
      </c>
      <c r="J120">
        <f t="shared" si="70"/>
        <v>8144</v>
      </c>
      <c r="K120" s="2">
        <f t="shared" si="71"/>
        <v>1.6330557432669535E-2</v>
      </c>
      <c r="L120" s="2">
        <f t="shared" si="107"/>
        <v>2.1856581532416503E-2</v>
      </c>
      <c r="W120">
        <v>55399</v>
      </c>
    </row>
    <row r="121" spans="1:23" x14ac:dyDescent="0.3">
      <c r="A121" s="1" cm="1">
        <f t="array" ref="A121">IF(OR(B121:G121=""), "", A120 + 1)</f>
        <v>44026</v>
      </c>
      <c r="B121">
        <f t="shared" si="126"/>
        <v>58280</v>
      </c>
      <c r="C121" s="11">
        <f t="shared" si="127"/>
        <v>2.1585185185185186E-2</v>
      </c>
      <c r="D121" s="2">
        <f t="shared" si="128"/>
        <v>3.322602303441391E-3</v>
      </c>
      <c r="E121" s="18">
        <f t="shared" si="129"/>
        <v>-0.48368259813945491</v>
      </c>
      <c r="F121">
        <f t="shared" si="125"/>
        <v>193</v>
      </c>
      <c r="G121">
        <v>2697</v>
      </c>
      <c r="H121">
        <f t="shared" si="110"/>
        <v>9</v>
      </c>
      <c r="I121">
        <v>511970</v>
      </c>
      <c r="J121">
        <f t="shared" si="70"/>
        <v>5129</v>
      </c>
      <c r="K121" s="2">
        <f t="shared" si="71"/>
        <v>1.0119544393606628E-2</v>
      </c>
      <c r="L121" s="2">
        <f t="shared" si="107"/>
        <v>3.762916747904075E-2</v>
      </c>
      <c r="W121">
        <v>55583</v>
      </c>
    </row>
    <row r="122" spans="1:23" x14ac:dyDescent="0.3">
      <c r="A122" s="1" cm="1">
        <f t="array" ref="A122">IF(OR(B122:G122=""), "", A121 + 1)</f>
        <v>44027</v>
      </c>
      <c r="B122">
        <f t="shared" si="126"/>
        <v>58559</v>
      </c>
      <c r="C122" s="11">
        <f t="shared" si="127"/>
        <v>2.168851851851852E-2</v>
      </c>
      <c r="D122" s="2">
        <f t="shared" si="128"/>
        <v>4.7872340425532123E-3</v>
      </c>
      <c r="E122" s="18">
        <f t="shared" si="129"/>
        <v>-0.53006275331022323</v>
      </c>
      <c r="F122">
        <f t="shared" si="125"/>
        <v>279</v>
      </c>
      <c r="G122">
        <v>2702</v>
      </c>
      <c r="H122">
        <f t="shared" si="110"/>
        <v>5</v>
      </c>
      <c r="I122">
        <v>520276</v>
      </c>
      <c r="J122">
        <f t="shared" si="70"/>
        <v>8306</v>
      </c>
      <c r="K122" s="2">
        <f t="shared" si="71"/>
        <v>1.622360685196389E-2</v>
      </c>
      <c r="L122" s="2">
        <f t="shared" si="107"/>
        <v>3.3590175776547077E-2</v>
      </c>
      <c r="W122">
        <v>55857</v>
      </c>
    </row>
    <row r="123" spans="1:23" x14ac:dyDescent="0.3">
      <c r="A123" s="1" cm="1">
        <f t="array" ref="A123">IF(OR(B123:G123=""), "", A122 + 1)</f>
        <v>44028</v>
      </c>
      <c r="B123">
        <f t="shared" si="126"/>
        <v>58897</v>
      </c>
      <c r="C123" s="11">
        <f t="shared" si="127"/>
        <v>2.1813703703703703E-2</v>
      </c>
      <c r="D123" s="2">
        <f t="shared" si="128"/>
        <v>5.7719564883280672E-3</v>
      </c>
      <c r="E123" s="18">
        <f t="shared" si="129"/>
        <v>-0.42422830415137069</v>
      </c>
      <c r="F123">
        <f t="shared" si="125"/>
        <v>338</v>
      </c>
      <c r="G123">
        <v>2707</v>
      </c>
      <c r="H123">
        <f t="shared" si="110"/>
        <v>5</v>
      </c>
      <c r="I123">
        <v>528252</v>
      </c>
      <c r="J123">
        <f t="shared" si="70"/>
        <v>7976</v>
      </c>
      <c r="K123" s="2">
        <f t="shared" si="71"/>
        <v>1.5330324673827E-2</v>
      </c>
      <c r="L123" s="2">
        <f t="shared" si="107"/>
        <v>4.2377131394182546E-2</v>
      </c>
      <c r="W123">
        <v>56190</v>
      </c>
    </row>
    <row r="124" spans="1:23" x14ac:dyDescent="0.3">
      <c r="A124" s="1" cm="1">
        <f t="array" ref="A124">IF(OR(B124:G124=""), "", A123 + 1)</f>
        <v>44029</v>
      </c>
      <c r="B124">
        <f t="shared" si="126"/>
        <v>59252</v>
      </c>
      <c r="C124" s="11">
        <f t="shared" si="127"/>
        <v>2.1945185185185186E-2</v>
      </c>
      <c r="D124" s="2">
        <f t="shared" si="128"/>
        <v>6.027471687861885E-3</v>
      </c>
      <c r="E124" s="18">
        <f t="shared" si="129"/>
        <v>-0.53659640750162885</v>
      </c>
      <c r="F124">
        <f t="shared" si="125"/>
        <v>355</v>
      </c>
      <c r="G124">
        <v>2716</v>
      </c>
      <c r="H124">
        <f t="shared" si="110"/>
        <v>9</v>
      </c>
      <c r="I124">
        <v>539206</v>
      </c>
      <c r="J124">
        <f t="shared" si="70"/>
        <v>10954</v>
      </c>
      <c r="K124" s="2">
        <f t="shared" si="71"/>
        <v>2.0736315243482295E-2</v>
      </c>
      <c r="L124" s="2">
        <f t="shared" si="107"/>
        <v>3.2408252693080154E-2</v>
      </c>
      <c r="W124">
        <v>56536</v>
      </c>
    </row>
    <row r="125" spans="1:23" x14ac:dyDescent="0.3">
      <c r="A125" s="1" cm="1">
        <f t="array" ref="A125">IF(OR(B125:G125=""), "", A124 + 1)</f>
        <v>44030</v>
      </c>
      <c r="B125">
        <f t="shared" si="126"/>
        <v>59504</v>
      </c>
      <c r="C125" s="11">
        <f t="shared" si="127"/>
        <v>2.203851851851852E-2</v>
      </c>
      <c r="D125" s="2">
        <f t="shared" si="128"/>
        <v>4.2530209950719655E-3</v>
      </c>
      <c r="E125" s="18">
        <f t="shared" si="129"/>
        <v>-0.64887115060942679</v>
      </c>
      <c r="F125">
        <f t="shared" si="125"/>
        <v>252</v>
      </c>
      <c r="G125">
        <v>2724</v>
      </c>
      <c r="H125">
        <f t="shared" si="110"/>
        <v>8</v>
      </c>
      <c r="I125">
        <v>549423</v>
      </c>
      <c r="J125">
        <f t="shared" si="70"/>
        <v>10217</v>
      </c>
      <c r="K125" s="2">
        <f t="shared" si="71"/>
        <v>1.8948231288227424E-2</v>
      </c>
      <c r="L125" s="2">
        <f t="shared" si="107"/>
        <v>2.4664774395615152E-2</v>
      </c>
      <c r="W125">
        <v>56780</v>
      </c>
    </row>
    <row r="126" spans="1:23" x14ac:dyDescent="0.3">
      <c r="A126" s="1" cm="1">
        <f t="array" ref="A126">IF(OR(B126:G126=""), "", A125 + 1)</f>
        <v>44031</v>
      </c>
      <c r="B126">
        <f t="shared" si="126"/>
        <v>59691</v>
      </c>
      <c r="C126" s="11">
        <f t="shared" si="127"/>
        <v>2.2107777777777778E-2</v>
      </c>
      <c r="D126" s="2">
        <f t="shared" si="128"/>
        <v>3.1426458725463124E-3</v>
      </c>
      <c r="E126" s="18">
        <f t="shared" si="129"/>
        <v>-0.65739066645769206</v>
      </c>
      <c r="F126">
        <f t="shared" si="125"/>
        <v>187</v>
      </c>
      <c r="G126">
        <v>2728</v>
      </c>
      <c r="H126">
        <f t="shared" si="110"/>
        <v>4</v>
      </c>
      <c r="I126">
        <v>557268</v>
      </c>
      <c r="J126">
        <f t="shared" si="70"/>
        <v>7845</v>
      </c>
      <c r="K126" s="2">
        <f t="shared" si="71"/>
        <v>1.4278615929802729E-2</v>
      </c>
      <c r="L126" s="2">
        <f t="shared" si="107"/>
        <v>2.3836838750796684E-2</v>
      </c>
      <c r="W126">
        <v>56963</v>
      </c>
    </row>
    <row r="127" spans="1:23" x14ac:dyDescent="0.3">
      <c r="A127" s="1" cm="1">
        <f t="array" ref="A127">IF(OR(B127:G127=""), "", A126 + 1)</f>
        <v>44032</v>
      </c>
      <c r="B127">
        <f t="shared" si="126"/>
        <v>59878</v>
      </c>
      <c r="C127" s="11">
        <f t="shared" si="127"/>
        <v>2.2177037037037037E-2</v>
      </c>
      <c r="D127" s="2">
        <f t="shared" si="128"/>
        <v>3.1328005897035549E-3</v>
      </c>
      <c r="E127" s="18">
        <f t="shared" si="129"/>
        <v>-0.6509321252021748</v>
      </c>
      <c r="F127">
        <f t="shared" si="125"/>
        <v>187</v>
      </c>
      <c r="G127">
        <v>2728</v>
      </c>
      <c r="H127">
        <f t="shared" si="110"/>
        <v>0</v>
      </c>
      <c r="I127">
        <v>565083</v>
      </c>
      <c r="J127">
        <f t="shared" si="70"/>
        <v>7815</v>
      </c>
      <c r="K127" s="2">
        <f t="shared" si="71"/>
        <v>1.4023773121729644E-2</v>
      </c>
      <c r="L127" s="2">
        <f t="shared" si="107"/>
        <v>2.3928342930262317E-2</v>
      </c>
      <c r="W127">
        <v>57150</v>
      </c>
    </row>
    <row r="128" spans="1:23" x14ac:dyDescent="0.3">
      <c r="A128" s="1" cm="1">
        <f t="array" ref="A128">IF(OR(B128:G128=""), "", A127 + 1)</f>
        <v>44033</v>
      </c>
      <c r="B128">
        <f t="shared" si="126"/>
        <v>60074</v>
      </c>
      <c r="C128" s="11">
        <f t="shared" si="127"/>
        <v>2.224962962962963E-2</v>
      </c>
      <c r="D128" s="2">
        <f t="shared" si="128"/>
        <v>3.2733224222585289E-3</v>
      </c>
      <c r="E128" s="18">
        <f t="shared" si="129"/>
        <v>-0.53955369642428119</v>
      </c>
      <c r="F128">
        <f t="shared" si="125"/>
        <v>196</v>
      </c>
      <c r="G128">
        <v>2732</v>
      </c>
      <c r="H128">
        <f t="shared" si="110"/>
        <v>4</v>
      </c>
      <c r="I128">
        <v>571490</v>
      </c>
      <c r="J128">
        <f t="shared" si="70"/>
        <v>6407</v>
      </c>
      <c r="K128" s="2">
        <f t="shared" si="71"/>
        <v>1.1338157403425697E-2</v>
      </c>
      <c r="L128" s="2">
        <f t="shared" si="107"/>
        <v>3.0591540502575308E-2</v>
      </c>
      <c r="W128">
        <v>57342</v>
      </c>
    </row>
    <row r="129" spans="1:23" x14ac:dyDescent="0.3">
      <c r="A129" s="1" cm="1">
        <f t="array" ref="A129">IF(OR(B129:G129=""), "", A128 + 1)</f>
        <v>44034</v>
      </c>
      <c r="B129">
        <f t="shared" si="126"/>
        <v>60430</v>
      </c>
      <c r="C129" s="11">
        <f t="shared" si="127"/>
        <v>2.2381481481481481E-2</v>
      </c>
      <c r="D129" s="2">
        <f t="shared" si="128"/>
        <v>5.9260245696972635E-3</v>
      </c>
      <c r="E129" s="18">
        <f t="shared" si="129"/>
        <v>-0.3150156356046056</v>
      </c>
      <c r="F129">
        <f t="shared" si="125"/>
        <v>356</v>
      </c>
      <c r="G129">
        <v>2736</v>
      </c>
      <c r="H129">
        <f t="shared" si="110"/>
        <v>4</v>
      </c>
      <c r="I129">
        <v>578485</v>
      </c>
      <c r="J129">
        <f t="shared" si="70"/>
        <v>6995</v>
      </c>
      <c r="K129" s="2">
        <f t="shared" si="71"/>
        <v>1.22399342070727E-2</v>
      </c>
      <c r="L129" s="2">
        <f t="shared" si="107"/>
        <v>5.0893495353824161E-2</v>
      </c>
      <c r="W129">
        <v>57694</v>
      </c>
    </row>
    <row r="130" spans="1:23" x14ac:dyDescent="0.3">
      <c r="A130" s="1" cm="1">
        <f t="array" ref="A130">IF(OR(B130:G130=""), "", A129 + 1)</f>
        <v>44035</v>
      </c>
      <c r="B130">
        <f t="shared" si="126"/>
        <v>60823</v>
      </c>
      <c r="C130" s="11">
        <f t="shared" si="127"/>
        <v>2.2527037037037036E-2</v>
      </c>
      <c r="D130" s="2">
        <f t="shared" si="128"/>
        <v>6.5033923547905825E-3</v>
      </c>
      <c r="E130" s="18">
        <f t="shared" si="129"/>
        <v>-0.34017880426953018</v>
      </c>
      <c r="F130">
        <f t="shared" si="125"/>
        <v>393</v>
      </c>
      <c r="G130">
        <v>2743</v>
      </c>
      <c r="H130">
        <f t="shared" si="110"/>
        <v>7</v>
      </c>
      <c r="I130">
        <v>586719</v>
      </c>
      <c r="J130">
        <f t="shared" si="70"/>
        <v>8234</v>
      </c>
      <c r="K130" s="2">
        <f t="shared" si="71"/>
        <v>1.4233731211699574E-2</v>
      </c>
      <c r="L130" s="2">
        <f t="shared" si="107"/>
        <v>4.7728928831673546E-2</v>
      </c>
      <c r="W130">
        <v>58080</v>
      </c>
    </row>
    <row r="131" spans="1:23" x14ac:dyDescent="0.3">
      <c r="A131" s="1" cm="1">
        <f t="array" ref="A131">IF(OR(B131:G131=""), "", A130 + 1)</f>
        <v>44036</v>
      </c>
      <c r="B131">
        <f t="shared" si="126"/>
        <v>61192</v>
      </c>
      <c r="C131" s="11">
        <f t="shared" si="127"/>
        <v>2.2663703703703703E-2</v>
      </c>
      <c r="D131" s="2">
        <f t="shared" si="128"/>
        <v>6.0667839468622198E-3</v>
      </c>
      <c r="E131" s="18">
        <f t="shared" si="129"/>
        <v>-0.472028408510688</v>
      </c>
      <c r="F131">
        <f t="shared" si="125"/>
        <v>369</v>
      </c>
      <c r="G131">
        <v>2747</v>
      </c>
      <c r="H131">
        <f t="shared" si="110"/>
        <v>4</v>
      </c>
      <c r="I131">
        <v>597273</v>
      </c>
      <c r="J131">
        <f t="shared" si="70"/>
        <v>10554</v>
      </c>
      <c r="K131" s="2">
        <f t="shared" si="71"/>
        <v>1.7988168100913748E-2</v>
      </c>
      <c r="L131" s="2">
        <f t="shared" si="107"/>
        <v>3.4963047185901083E-2</v>
      </c>
      <c r="W131">
        <v>58445</v>
      </c>
    </row>
    <row r="132" spans="1:23" x14ac:dyDescent="0.3">
      <c r="A132" s="1" cm="1">
        <f t="array" ref="A132">IF(OR(B132:G132=""), "", A131 + 1)</f>
        <v>44037</v>
      </c>
      <c r="B132">
        <f t="shared" si="126"/>
        <v>61528</v>
      </c>
      <c r="C132" s="11">
        <f t="shared" si="127"/>
        <v>2.2788148148148148E-2</v>
      </c>
      <c r="D132" s="2">
        <f t="shared" si="128"/>
        <v>5.4909138449470429E-3</v>
      </c>
      <c r="E132" s="18">
        <f t="shared" si="129"/>
        <v>-0.37196852265327363</v>
      </c>
      <c r="F132">
        <f t="shared" si="125"/>
        <v>336</v>
      </c>
      <c r="G132">
        <v>2748</v>
      </c>
      <c r="H132">
        <f t="shared" si="110"/>
        <v>1</v>
      </c>
      <c r="I132">
        <v>604996</v>
      </c>
      <c r="J132">
        <f t="shared" si="70"/>
        <v>7723</v>
      </c>
      <c r="K132" s="2">
        <f t="shared" si="71"/>
        <v>1.293043549599604E-2</v>
      </c>
      <c r="L132" s="2">
        <f t="shared" si="107"/>
        <v>4.3506409426388712E-2</v>
      </c>
      <c r="W132">
        <v>58780</v>
      </c>
    </row>
    <row r="133" spans="1:23" x14ac:dyDescent="0.3">
      <c r="A133" s="1" cm="1">
        <f t="array" ref="A133">IF(OR(B133:G133=""), "", A132 + 1)</f>
        <v>44038</v>
      </c>
      <c r="B133">
        <f t="shared" si="126"/>
        <v>61882</v>
      </c>
      <c r="C133" s="11">
        <f t="shared" si="127"/>
        <v>2.2919259259259261E-2</v>
      </c>
      <c r="D133" s="2">
        <f t="shared" si="128"/>
        <v>5.7534780912755767E-3</v>
      </c>
      <c r="E133" s="18">
        <f t="shared" si="129"/>
        <v>-0.49125797082747713</v>
      </c>
      <c r="F133">
        <f t="shared" si="125"/>
        <v>354</v>
      </c>
      <c r="G133">
        <v>2747</v>
      </c>
      <c r="H133">
        <f t="shared" si="110"/>
        <v>-1</v>
      </c>
      <c r="I133">
        <v>615784</v>
      </c>
      <c r="J133">
        <f t="shared" ref="J133:J230" si="130">I133 - I132</f>
        <v>10788</v>
      </c>
      <c r="K133" s="2">
        <f t="shared" ref="K133:K230" si="131">I133/I132 - 1</f>
        <v>1.783152285304368E-2</v>
      </c>
      <c r="L133" s="2">
        <f t="shared" ref="L133:L230" si="132">(B133 - B132)/(I133 - I132)</f>
        <v>3.2814238042269191E-2</v>
      </c>
      <c r="W133">
        <v>59135</v>
      </c>
    </row>
    <row r="134" spans="1:23" x14ac:dyDescent="0.3">
      <c r="A134" s="1" cm="1">
        <f t="array" ref="A134">IF(OR(B134:G134=""), "", A133 + 1)</f>
        <v>44039</v>
      </c>
      <c r="B134">
        <f t="shared" si="126"/>
        <v>62159</v>
      </c>
      <c r="C134" s="11">
        <f t="shared" si="127"/>
        <v>2.3021851851851852E-2</v>
      </c>
      <c r="D134" s="2">
        <f t="shared" si="128"/>
        <v>4.4762612714521754E-3</v>
      </c>
      <c r="E134" s="18">
        <f t="shared" si="129"/>
        <v>-0.38941009094739332</v>
      </c>
      <c r="F134">
        <f t="shared" si="125"/>
        <v>277</v>
      </c>
      <c r="G134">
        <v>2756</v>
      </c>
      <c r="H134">
        <f t="shared" si="110"/>
        <v>9</v>
      </c>
      <c r="I134">
        <v>622541</v>
      </c>
      <c r="J134">
        <f t="shared" si="130"/>
        <v>6757</v>
      </c>
      <c r="K134" s="2">
        <f t="shared" si="131"/>
        <v>1.0973003520714952E-2</v>
      </c>
      <c r="L134" s="2">
        <f t="shared" si="132"/>
        <v>4.0994524197128901E-2</v>
      </c>
      <c r="W134">
        <v>59403</v>
      </c>
    </row>
    <row r="135" spans="1:23" x14ac:dyDescent="0.3">
      <c r="A135" s="1" cm="1">
        <f t="array" ref="A135">IF(OR(B135:G135=""), "", A134 + 1)</f>
        <v>44040</v>
      </c>
      <c r="B135">
        <f t="shared" si="126"/>
        <v>62456</v>
      </c>
      <c r="C135" s="11">
        <f t="shared" si="127"/>
        <v>2.3131851851851851E-2</v>
      </c>
      <c r="D135" s="2">
        <f t="shared" si="128"/>
        <v>4.7780691452565804E-3</v>
      </c>
      <c r="E135" s="18">
        <f t="shared" si="129"/>
        <v>-0.33235224267525953</v>
      </c>
      <c r="F135">
        <f t="shared" si="125"/>
        <v>297</v>
      </c>
      <c r="G135">
        <v>2765</v>
      </c>
      <c r="H135">
        <f t="shared" si="110"/>
        <v>9</v>
      </c>
      <c r="I135">
        <v>628935</v>
      </c>
      <c r="J135">
        <f t="shared" si="130"/>
        <v>6394</v>
      </c>
      <c r="K135" s="2">
        <f t="shared" si="131"/>
        <v>1.0270809472789688E-2</v>
      </c>
      <c r="L135" s="2">
        <f t="shared" si="132"/>
        <v>4.6449796684391614E-2</v>
      </c>
      <c r="W135">
        <v>59691</v>
      </c>
    </row>
    <row r="136" spans="1:23" x14ac:dyDescent="0.3">
      <c r="A136" s="1" cm="1">
        <f t="array" ref="A136">IF(OR(B136:G136=""), "", A135 + 1)</f>
        <v>44041</v>
      </c>
      <c r="B136">
        <f t="shared" si="126"/>
        <v>62772</v>
      </c>
      <c r="C136" s="11">
        <f t="shared" si="127"/>
        <v>2.3248888888888888E-2</v>
      </c>
      <c r="D136" s="2">
        <f t="shared" si="128"/>
        <v>5.059561931599843E-3</v>
      </c>
      <c r="E136" s="18">
        <f t="shared" si="129"/>
        <v>-0.31715414196052577</v>
      </c>
      <c r="F136">
        <f t="shared" si="125"/>
        <v>316</v>
      </c>
      <c r="G136">
        <v>2770</v>
      </c>
      <c r="H136">
        <f t="shared" si="110"/>
        <v>5</v>
      </c>
      <c r="I136">
        <v>635540</v>
      </c>
      <c r="J136">
        <f t="shared" si="130"/>
        <v>6605</v>
      </c>
      <c r="K136" s="2">
        <f t="shared" si="131"/>
        <v>1.0501880162496979E-2</v>
      </c>
      <c r="L136" s="2">
        <f t="shared" si="132"/>
        <v>4.7842543527630586E-2</v>
      </c>
      <c r="W136">
        <v>60002</v>
      </c>
    </row>
    <row r="137" spans="1:23" x14ac:dyDescent="0.3">
      <c r="A137" s="1" cm="1">
        <f t="array" ref="A137">IF(OR(B137:G137=""), "", A136 + 1)</f>
        <v>44042</v>
      </c>
      <c r="B137">
        <f t="shared" si="126"/>
        <v>63147</v>
      </c>
      <c r="C137" s="11">
        <f t="shared" si="127"/>
        <v>2.3387777777777778E-2</v>
      </c>
      <c r="D137" s="2">
        <f t="shared" si="128"/>
        <v>5.97400114700819E-3</v>
      </c>
      <c r="E137" s="18">
        <f t="shared" si="129"/>
        <v>-0.36929811761380271</v>
      </c>
      <c r="F137">
        <f t="shared" si="125"/>
        <v>375</v>
      </c>
      <c r="G137">
        <v>2775</v>
      </c>
      <c r="H137">
        <f t="shared" si="110"/>
        <v>5</v>
      </c>
      <c r="I137">
        <v>644426</v>
      </c>
      <c r="J137">
        <f t="shared" si="130"/>
        <v>8886</v>
      </c>
      <c r="K137" s="2">
        <f t="shared" si="131"/>
        <v>1.3981810743619594E-2</v>
      </c>
      <c r="L137" s="2">
        <f t="shared" si="132"/>
        <v>4.2201215395003377E-2</v>
      </c>
      <c r="W137">
        <v>60372</v>
      </c>
    </row>
    <row r="138" spans="1:23" x14ac:dyDescent="0.3">
      <c r="A138" s="1" cm="1">
        <f t="array" ref="A138">IF(OR(B138:G138=""), "", A137 + 1)</f>
        <v>44043</v>
      </c>
      <c r="B138">
        <f t="shared" si="126"/>
        <v>63610</v>
      </c>
      <c r="C138" s="11">
        <f t="shared" si="127"/>
        <v>2.3559259259259259E-2</v>
      </c>
      <c r="D138" s="2">
        <f t="shared" si="128"/>
        <v>7.3320981202591451E-3</v>
      </c>
      <c r="E138" s="18">
        <f t="shared" si="129"/>
        <v>-0.35057664977395486</v>
      </c>
      <c r="F138">
        <f t="shared" si="125"/>
        <v>463</v>
      </c>
      <c r="G138">
        <v>2783</v>
      </c>
      <c r="H138">
        <f t="shared" si="110"/>
        <v>8</v>
      </c>
      <c r="I138">
        <v>655018</v>
      </c>
      <c r="J138">
        <f t="shared" si="130"/>
        <v>10592</v>
      </c>
      <c r="K138" s="2">
        <f t="shared" si="131"/>
        <v>1.6436332488136696E-2</v>
      </c>
      <c r="L138" s="2">
        <f t="shared" si="132"/>
        <v>4.3712235649546828E-2</v>
      </c>
      <c r="W138">
        <v>60827</v>
      </c>
    </row>
    <row r="139" spans="1:23" x14ac:dyDescent="0.3">
      <c r="A139" s="1" cm="1">
        <f t="array" ref="A139">IF(OR(B139:G139=""), "", A138 + 1)</f>
        <v>44044</v>
      </c>
      <c r="B139">
        <f t="shared" si="126"/>
        <v>63991</v>
      </c>
      <c r="C139" s="11">
        <f t="shared" si="127"/>
        <v>2.3700370370370372E-2</v>
      </c>
      <c r="D139" s="2">
        <f t="shared" si="128"/>
        <v>5.9896242729131632E-3</v>
      </c>
      <c r="E139" s="18">
        <f t="shared" si="129"/>
        <v>-0.37878146222028736</v>
      </c>
      <c r="F139">
        <f t="shared" si="125"/>
        <v>381</v>
      </c>
      <c r="G139">
        <v>2786</v>
      </c>
      <c r="H139">
        <f t="shared" si="110"/>
        <v>3</v>
      </c>
      <c r="I139">
        <v>664403</v>
      </c>
      <c r="J139">
        <f t="shared" si="130"/>
        <v>9385</v>
      </c>
      <c r="K139" s="2">
        <f t="shared" si="131"/>
        <v>1.432785053235186E-2</v>
      </c>
      <c r="L139" s="2">
        <f t="shared" si="132"/>
        <v>4.0596696856686203E-2</v>
      </c>
      <c r="W139">
        <v>61205</v>
      </c>
    </row>
    <row r="140" spans="1:23" x14ac:dyDescent="0.3">
      <c r="A140" s="1" cm="1">
        <f t="array" ref="A140">IF(OR(B140:G140=""), "", A139 + 1)</f>
        <v>44045</v>
      </c>
      <c r="B140">
        <f t="shared" si="126"/>
        <v>64388</v>
      </c>
      <c r="C140" s="11">
        <f t="shared" si="127"/>
        <v>2.3847407407407407E-2</v>
      </c>
      <c r="D140" s="2">
        <f t="shared" si="128"/>
        <v>6.2039974371395079E-3</v>
      </c>
      <c r="E140" s="18">
        <f t="shared" si="129"/>
        <v>-0.34593802245052768</v>
      </c>
      <c r="F140">
        <f t="shared" si="125"/>
        <v>397</v>
      </c>
      <c r="G140">
        <v>2787</v>
      </c>
      <c r="H140">
        <f t="shared" si="110"/>
        <v>1</v>
      </c>
      <c r="I140">
        <v>673545</v>
      </c>
      <c r="J140">
        <f t="shared" si="130"/>
        <v>9142</v>
      </c>
      <c r="K140" s="2">
        <f t="shared" si="131"/>
        <v>1.3759721133107528E-2</v>
      </c>
      <c r="L140" s="2">
        <f t="shared" si="132"/>
        <v>4.3425946182454607E-2</v>
      </c>
      <c r="W140">
        <v>61601</v>
      </c>
    </row>
    <row r="141" spans="1:23" x14ac:dyDescent="0.3">
      <c r="A141" s="1" cm="1">
        <f t="array" ref="A141">IF(OR(B141:G141=""), "", A140 + 1)</f>
        <v>44046</v>
      </c>
      <c r="B141">
        <f t="shared" si="126"/>
        <v>64731</v>
      </c>
      <c r="C141" s="11">
        <f t="shared" si="127"/>
        <v>2.3974444444444444E-2</v>
      </c>
      <c r="D141" s="2">
        <f t="shared" si="128"/>
        <v>5.327079580045968E-3</v>
      </c>
      <c r="E141" s="18">
        <f t="shared" si="129"/>
        <v>-0.2804541996696745</v>
      </c>
      <c r="F141">
        <f t="shared" si="125"/>
        <v>343</v>
      </c>
      <c r="G141">
        <v>2789</v>
      </c>
      <c r="H141">
        <f t="shared" si="110"/>
        <v>2</v>
      </c>
      <c r="I141">
        <v>680389</v>
      </c>
      <c r="J141">
        <f t="shared" si="130"/>
        <v>6844</v>
      </c>
      <c r="K141" s="2">
        <f t="shared" si="131"/>
        <v>1.0161162208909502E-2</v>
      </c>
      <c r="L141" s="2">
        <f t="shared" si="132"/>
        <v>5.0116890707188777E-2</v>
      </c>
      <c r="W141">
        <v>61942</v>
      </c>
    </row>
    <row r="142" spans="1:23" x14ac:dyDescent="0.3">
      <c r="A142" s="1" cm="1">
        <f t="array" ref="A142">IF(OR(B142:G142=""), "", A141 + 1)</f>
        <v>44047</v>
      </c>
      <c r="B142">
        <f t="shared" si="126"/>
        <v>64938</v>
      </c>
      <c r="C142" s="11">
        <f t="shared" si="127"/>
        <v>2.405111111111111E-2</v>
      </c>
      <c r="D142" s="2">
        <f t="shared" si="128"/>
        <v>3.1978495620337277E-3</v>
      </c>
      <c r="E142" s="18">
        <f t="shared" si="129"/>
        <v>-0.65998947463070168</v>
      </c>
      <c r="F142">
        <f t="shared" si="125"/>
        <v>207</v>
      </c>
      <c r="G142">
        <v>2793</v>
      </c>
      <c r="H142">
        <f t="shared" si="110"/>
        <v>4</v>
      </c>
      <c r="I142">
        <v>690334</v>
      </c>
      <c r="J142">
        <f t="shared" si="130"/>
        <v>9945</v>
      </c>
      <c r="K142" s="2">
        <f t="shared" si="131"/>
        <v>1.4616638423019745E-2</v>
      </c>
      <c r="L142" s="2">
        <f t="shared" si="132"/>
        <v>2.0814479638009049E-2</v>
      </c>
      <c r="W142">
        <v>62145</v>
      </c>
    </row>
    <row r="143" spans="1:23" x14ac:dyDescent="0.3">
      <c r="A143" s="1" cm="1">
        <f t="array" ref="A143">IF(OR(B143:G143=""), "", A142 + 1)</f>
        <v>44048</v>
      </c>
      <c r="B143">
        <f t="shared" si="126"/>
        <v>65255</v>
      </c>
      <c r="C143" s="11">
        <f t="shared" si="127"/>
        <v>2.416851851851852E-2</v>
      </c>
      <c r="D143" s="2">
        <f t="shared" si="128"/>
        <v>4.8815793526133522E-3</v>
      </c>
      <c r="E143" s="18">
        <f t="shared" si="129"/>
        <v>-0.3803825842061187</v>
      </c>
      <c r="F143">
        <f t="shared" si="125"/>
        <v>317</v>
      </c>
      <c r="G143">
        <v>2798</v>
      </c>
      <c r="H143">
        <f t="shared" si="110"/>
        <v>5</v>
      </c>
      <c r="I143">
        <v>698425</v>
      </c>
      <c r="J143">
        <f t="shared" si="130"/>
        <v>8091</v>
      </c>
      <c r="K143" s="2">
        <f t="shared" si="131"/>
        <v>1.1720413596896684E-2</v>
      </c>
      <c r="L143" s="2">
        <f t="shared" si="132"/>
        <v>3.9179335063650969E-2</v>
      </c>
      <c r="W143">
        <v>62457</v>
      </c>
    </row>
    <row r="144" spans="1:23" x14ac:dyDescent="0.3">
      <c r="A144" s="1" cm="1">
        <f t="array" ref="A144">IF(OR(B144:G144=""), "", A143 + 1)</f>
        <v>44049</v>
      </c>
      <c r="B144">
        <f t="shared" si="126"/>
        <v>65607</v>
      </c>
      <c r="C144" s="11">
        <f t="shared" si="127"/>
        <v>2.4298888888888887E-2</v>
      </c>
      <c r="D144" s="2">
        <f t="shared" si="128"/>
        <v>5.3942226649299485E-3</v>
      </c>
      <c r="E144" s="18">
        <f t="shared" ref="E144:E230" si="133">IFERROR(LOG(D144/K144), FALSE)</f>
        <v>-0.25364099495647274</v>
      </c>
      <c r="F144">
        <f t="shared" si="125"/>
        <v>352</v>
      </c>
      <c r="G144">
        <v>2800</v>
      </c>
      <c r="H144">
        <f t="shared" si="110"/>
        <v>2</v>
      </c>
      <c r="I144">
        <v>705181</v>
      </c>
      <c r="J144">
        <f t="shared" si="130"/>
        <v>6756</v>
      </c>
      <c r="K144" s="2">
        <f t="shared" si="131"/>
        <v>9.6731932562550416E-3</v>
      </c>
      <c r="L144" s="2">
        <f t="shared" si="132"/>
        <v>5.2101835405565421E-2</v>
      </c>
      <c r="W144">
        <v>62807</v>
      </c>
    </row>
    <row r="145" spans="1:23" x14ac:dyDescent="0.3">
      <c r="A145" s="1" cm="1">
        <f t="array" ref="A145">IF(OR(B145:G145=""), "", A144 + 1)</f>
        <v>44050</v>
      </c>
      <c r="B145">
        <f t="shared" si="126"/>
        <v>65931</v>
      </c>
      <c r="C145" s="11">
        <f t="shared" si="127"/>
        <v>2.4418888888888889E-2</v>
      </c>
      <c r="D145" s="2">
        <f t="shared" si="128"/>
        <v>4.9384974164341511E-3</v>
      </c>
      <c r="E145" s="18">
        <f t="shared" si="133"/>
        <v>-0.4549225885763799</v>
      </c>
      <c r="F145">
        <f t="shared" si="125"/>
        <v>324</v>
      </c>
      <c r="G145">
        <v>2807</v>
      </c>
      <c r="H145">
        <f t="shared" si="110"/>
        <v>7</v>
      </c>
      <c r="I145">
        <v>715108</v>
      </c>
      <c r="J145">
        <f t="shared" si="130"/>
        <v>9927</v>
      </c>
      <c r="K145" s="2">
        <f t="shared" si="131"/>
        <v>1.4077236907971136E-2</v>
      </c>
      <c r="L145" s="2">
        <f t="shared" si="132"/>
        <v>3.2638259292837715E-2</v>
      </c>
      <c r="W145">
        <v>63124</v>
      </c>
    </row>
    <row r="146" spans="1:23" x14ac:dyDescent="0.3">
      <c r="A146" s="1" cm="1">
        <f t="array" ref="A146">IF(OR(B146:G146=""), "", A145 + 1)</f>
        <v>44051</v>
      </c>
      <c r="B146">
        <f t="shared" si="126"/>
        <v>66385</v>
      </c>
      <c r="C146" s="11">
        <f t="shared" si="127"/>
        <v>2.4587037037037036E-2</v>
      </c>
      <c r="D146" s="2">
        <f t="shared" si="128"/>
        <v>6.8859868650559264E-3</v>
      </c>
      <c r="E146" s="18">
        <f t="shared" si="133"/>
        <v>-0.30965534729289268</v>
      </c>
      <c r="F146">
        <f t="shared" si="125"/>
        <v>454</v>
      </c>
      <c r="G146">
        <v>2808</v>
      </c>
      <c r="H146">
        <f t="shared" si="110"/>
        <v>1</v>
      </c>
      <c r="I146">
        <v>725154</v>
      </c>
      <c r="J146">
        <f t="shared" si="130"/>
        <v>10046</v>
      </c>
      <c r="K146" s="2">
        <f t="shared" si="131"/>
        <v>1.4048227680294456E-2</v>
      </c>
      <c r="L146" s="2">
        <f t="shared" si="132"/>
        <v>4.5192116265180174E-2</v>
      </c>
      <c r="W146">
        <v>63577</v>
      </c>
    </row>
    <row r="147" spans="1:23" x14ac:dyDescent="0.3">
      <c r="A147" s="1" cm="1">
        <f t="array" ref="A147">IF(OR(B147:G147=""), "", A146 + 1)</f>
        <v>44052</v>
      </c>
      <c r="B147">
        <f t="shared" si="126"/>
        <v>66685</v>
      </c>
      <c r="C147" s="11">
        <f t="shared" si="127"/>
        <v>2.469814814814815E-2</v>
      </c>
      <c r="D147" s="2">
        <f t="shared" si="128"/>
        <v>4.5190931686374114E-3</v>
      </c>
      <c r="E147" s="18">
        <f t="shared" si="133"/>
        <v>-0.44102304827563038</v>
      </c>
      <c r="F147">
        <f t="shared" si="125"/>
        <v>300</v>
      </c>
      <c r="G147">
        <v>2809</v>
      </c>
      <c r="H147">
        <f t="shared" si="110"/>
        <v>1</v>
      </c>
      <c r="I147">
        <v>734201</v>
      </c>
      <c r="J147">
        <f t="shared" si="130"/>
        <v>9047</v>
      </c>
      <c r="K147" s="2">
        <f t="shared" si="131"/>
        <v>1.2475970621412813E-2</v>
      </c>
      <c r="L147" s="2">
        <f t="shared" si="132"/>
        <v>3.316016359014038E-2</v>
      </c>
      <c r="W147">
        <v>63876</v>
      </c>
    </row>
    <row r="148" spans="1:23" x14ac:dyDescent="0.3">
      <c r="A148" s="1" cm="1">
        <f t="array" ref="A148">IF(OR(B148:G148=""), "", A147 + 1)</f>
        <v>44053</v>
      </c>
      <c r="B148">
        <f t="shared" si="126"/>
        <v>66938</v>
      </c>
      <c r="C148" s="11">
        <f t="shared" si="127"/>
        <v>2.4791851851851853E-2</v>
      </c>
      <c r="D148" s="2">
        <f t="shared" si="128"/>
        <v>3.7939566619180631E-3</v>
      </c>
      <c r="E148" s="18">
        <f t="shared" si="133"/>
        <v>-0.49967402687094498</v>
      </c>
      <c r="F148">
        <f t="shared" si="125"/>
        <v>253</v>
      </c>
      <c r="G148">
        <v>2809</v>
      </c>
      <c r="H148">
        <f t="shared" si="110"/>
        <v>0</v>
      </c>
      <c r="I148">
        <v>743003</v>
      </c>
      <c r="J148">
        <f t="shared" si="130"/>
        <v>8802</v>
      </c>
      <c r="K148" s="2">
        <f t="shared" si="131"/>
        <v>1.1988542647040745E-2</v>
      </c>
      <c r="L148" s="2">
        <f t="shared" si="132"/>
        <v>2.8743467393774143E-2</v>
      </c>
      <c r="W148">
        <v>64129</v>
      </c>
    </row>
    <row r="149" spans="1:23" x14ac:dyDescent="0.3">
      <c r="A149" s="1" cm="1">
        <f t="array" ref="A149">IF(OR(B149:G149=""), "", A148 + 1)</f>
        <v>44054</v>
      </c>
      <c r="B149">
        <f t="shared" si="126"/>
        <v>67168</v>
      </c>
      <c r="C149" s="11">
        <f t="shared" si="127"/>
        <v>2.4877037037037038E-2</v>
      </c>
      <c r="D149" s="2">
        <f t="shared" si="128"/>
        <v>3.4360154172516921E-3</v>
      </c>
      <c r="E149" s="18">
        <f t="shared" si="133"/>
        <v>-0.49555545954113184</v>
      </c>
      <c r="F149">
        <f t="shared" si="125"/>
        <v>230</v>
      </c>
      <c r="G149">
        <v>2812</v>
      </c>
      <c r="H149">
        <f t="shared" si="110"/>
        <v>3</v>
      </c>
      <c r="I149">
        <v>750994</v>
      </c>
      <c r="J149">
        <f t="shared" si="130"/>
        <v>7991</v>
      </c>
      <c r="K149" s="2">
        <f t="shared" si="131"/>
        <v>1.0755003681008013E-2</v>
      </c>
      <c r="L149" s="2">
        <f t="shared" si="132"/>
        <v>2.8782380177699914E-2</v>
      </c>
      <c r="W149">
        <v>64356</v>
      </c>
    </row>
    <row r="150" spans="1:23" x14ac:dyDescent="0.3">
      <c r="A150" s="1" cm="1">
        <f t="array" ref="A150">IF(OR(B150:G150=""), "", A149 + 1)</f>
        <v>44055</v>
      </c>
      <c r="B150">
        <f t="shared" si="126"/>
        <v>67423</v>
      </c>
      <c r="C150" s="11">
        <f t="shared" si="127"/>
        <v>2.497148148148148E-2</v>
      </c>
      <c r="D150" s="2">
        <f t="shared" si="128"/>
        <v>3.7964506908052531E-3</v>
      </c>
      <c r="E150" s="18">
        <f t="shared" si="133"/>
        <v>-0.32523105307293354</v>
      </c>
      <c r="F150">
        <f t="shared" si="125"/>
        <v>255</v>
      </c>
      <c r="G150">
        <v>2812</v>
      </c>
      <c r="H150">
        <f t="shared" si="110"/>
        <v>0</v>
      </c>
      <c r="I150">
        <v>757023</v>
      </c>
      <c r="J150">
        <f t="shared" si="130"/>
        <v>6029</v>
      </c>
      <c r="K150" s="2">
        <f t="shared" si="131"/>
        <v>8.0280268550747547E-3</v>
      </c>
      <c r="L150" s="2">
        <f t="shared" si="132"/>
        <v>4.2295571404876428E-2</v>
      </c>
      <c r="W150">
        <v>64611</v>
      </c>
    </row>
    <row r="151" spans="1:23" x14ac:dyDescent="0.3">
      <c r="A151" s="1" cm="1">
        <f t="array" ref="A151">IF(OR(B151:G151=""), "", A150 + 1)</f>
        <v>44056</v>
      </c>
      <c r="B151">
        <f t="shared" si="126"/>
        <v>67811</v>
      </c>
      <c r="C151" s="11">
        <f t="shared" si="127"/>
        <v>2.5115185185185185E-2</v>
      </c>
      <c r="D151" s="2">
        <f t="shared" si="128"/>
        <v>5.7547127834716161E-3</v>
      </c>
      <c r="E151" s="18">
        <f t="shared" si="133"/>
        <v>-0.15979401111008101</v>
      </c>
      <c r="F151">
        <f t="shared" si="125"/>
        <v>388</v>
      </c>
      <c r="G151">
        <v>2817</v>
      </c>
      <c r="H151">
        <f t="shared" si="110"/>
        <v>5</v>
      </c>
      <c r="I151">
        <v>763317</v>
      </c>
      <c r="J151">
        <f t="shared" si="130"/>
        <v>6294</v>
      </c>
      <c r="K151" s="2">
        <f t="shared" si="131"/>
        <v>8.314146333730843E-3</v>
      </c>
      <c r="L151" s="2">
        <f t="shared" si="132"/>
        <v>6.1646012074992054E-2</v>
      </c>
      <c r="W151">
        <v>64994</v>
      </c>
    </row>
    <row r="152" spans="1:23" x14ac:dyDescent="0.3">
      <c r="A152" s="1" cm="1">
        <f t="array" ref="A152">IF(OR(B152:G152=""), "", A151 + 1)</f>
        <v>44057</v>
      </c>
      <c r="B152">
        <f t="shared" si="126"/>
        <v>68306</v>
      </c>
      <c r="C152" s="11">
        <f t="shared" si="127"/>
        <v>2.5298518518518519E-2</v>
      </c>
      <c r="D152" s="2">
        <f t="shared" si="128"/>
        <v>7.2997006385395746E-3</v>
      </c>
      <c r="E152" s="18">
        <f t="shared" si="133"/>
        <v>-0.27223268267604123</v>
      </c>
      <c r="F152">
        <f t="shared" si="125"/>
        <v>495</v>
      </c>
      <c r="G152">
        <v>2822</v>
      </c>
      <c r="H152">
        <f t="shared" si="110"/>
        <v>5</v>
      </c>
      <c r="I152">
        <v>773746</v>
      </c>
      <c r="J152">
        <f t="shared" si="130"/>
        <v>10429</v>
      </c>
      <c r="K152" s="2">
        <f t="shared" si="131"/>
        <v>1.3662737761637622E-2</v>
      </c>
      <c r="L152" s="2">
        <f t="shared" si="132"/>
        <v>4.7463802857416817E-2</v>
      </c>
      <c r="W152">
        <v>65484</v>
      </c>
    </row>
    <row r="153" spans="1:23" x14ac:dyDescent="0.3">
      <c r="A153" s="1" cm="1">
        <f t="array" ref="A153">IF(OR(B153:G153=""), "", A152 + 1)</f>
        <v>44058</v>
      </c>
      <c r="B153">
        <f t="shared" si="126"/>
        <v>68624</v>
      </c>
      <c r="C153" s="11">
        <f t="shared" si="127"/>
        <v>2.5416296296296298E-2</v>
      </c>
      <c r="D153" s="2">
        <f t="shared" si="128"/>
        <v>4.6555207448832903E-3</v>
      </c>
      <c r="E153" s="18">
        <f t="shared" si="133"/>
        <v>-0.44495069374831009</v>
      </c>
      <c r="F153">
        <f t="shared" si="125"/>
        <v>318</v>
      </c>
      <c r="G153">
        <v>2823</v>
      </c>
      <c r="H153">
        <f t="shared" si="110"/>
        <v>1</v>
      </c>
      <c r="I153">
        <v>783781</v>
      </c>
      <c r="J153">
        <f t="shared" si="130"/>
        <v>10035</v>
      </c>
      <c r="K153" s="2">
        <f t="shared" si="131"/>
        <v>1.2969372378015542E-2</v>
      </c>
      <c r="L153" s="2">
        <f t="shared" si="132"/>
        <v>3.1689088191330345E-2</v>
      </c>
      <c r="W153">
        <v>65801</v>
      </c>
    </row>
    <row r="154" spans="1:23" x14ac:dyDescent="0.3">
      <c r="A154" s="1" cm="1">
        <f t="array" ref="A154">IF(OR(B154:G154=""), "", A153 + 1)</f>
        <v>44059</v>
      </c>
      <c r="B154">
        <f t="shared" si="126"/>
        <v>68966</v>
      </c>
      <c r="C154" s="11">
        <f t="shared" si="127"/>
        <v>2.5542962962962962E-2</v>
      </c>
      <c r="D154" s="2">
        <f t="shared" si="128"/>
        <v>4.9836791792958746E-3</v>
      </c>
      <c r="E154" s="18">
        <f t="shared" si="133"/>
        <v>-0.30456089896991917</v>
      </c>
      <c r="F154">
        <f t="shared" si="125"/>
        <v>342</v>
      </c>
      <c r="G154">
        <v>2828</v>
      </c>
      <c r="H154">
        <f t="shared" si="110"/>
        <v>5</v>
      </c>
      <c r="I154">
        <v>791657</v>
      </c>
      <c r="J154">
        <f t="shared" si="130"/>
        <v>7876</v>
      </c>
      <c r="K154" s="2">
        <f t="shared" si="131"/>
        <v>1.0048725345472853E-2</v>
      </c>
      <c r="L154" s="2">
        <f t="shared" si="132"/>
        <v>4.3423057389537834E-2</v>
      </c>
      <c r="W154">
        <v>66138</v>
      </c>
    </row>
    <row r="155" spans="1:23" x14ac:dyDescent="0.3">
      <c r="A155" s="1" cm="1">
        <f t="array" ref="A155">IF(OR(B155:G155=""), "", A154 + 1)</f>
        <v>44060</v>
      </c>
      <c r="B155">
        <f t="shared" si="126"/>
        <v>69261</v>
      </c>
      <c r="C155" s="11">
        <f t="shared" si="127"/>
        <v>2.5652222222222222E-2</v>
      </c>
      <c r="D155" s="2">
        <f t="shared" si="128"/>
        <v>4.2774700577095093E-3</v>
      </c>
      <c r="E155" s="18">
        <f t="shared" si="133"/>
        <v>-0.45565752582495245</v>
      </c>
      <c r="F155">
        <f t="shared" si="125"/>
        <v>295</v>
      </c>
      <c r="G155">
        <v>2830</v>
      </c>
      <c r="H155">
        <f t="shared" si="110"/>
        <v>2</v>
      </c>
      <c r="I155">
        <v>801326</v>
      </c>
      <c r="J155">
        <f t="shared" si="130"/>
        <v>9669</v>
      </c>
      <c r="K155" s="2">
        <f t="shared" si="131"/>
        <v>1.2213622818973313E-2</v>
      </c>
      <c r="L155" s="2">
        <f t="shared" si="132"/>
        <v>3.0509876926259179E-2</v>
      </c>
      <c r="W155">
        <v>66431</v>
      </c>
    </row>
    <row r="156" spans="1:23" x14ac:dyDescent="0.3">
      <c r="A156" s="1" cm="1">
        <f t="array" ref="A156">IF(OR(B156:G156=""), "", A155 + 1)</f>
        <v>44061</v>
      </c>
      <c r="B156">
        <f t="shared" si="126"/>
        <v>69504</v>
      </c>
      <c r="C156" s="11">
        <f t="shared" si="127"/>
        <v>2.5742222222222222E-2</v>
      </c>
      <c r="D156" s="2">
        <f t="shared" si="128"/>
        <v>3.5084679689869613E-3</v>
      </c>
      <c r="E156" s="18">
        <f t="shared" si="133"/>
        <v>-0.42497484774516964</v>
      </c>
      <c r="F156">
        <f t="shared" si="125"/>
        <v>243</v>
      </c>
      <c r="G156">
        <v>2831</v>
      </c>
      <c r="H156">
        <f t="shared" si="110"/>
        <v>1</v>
      </c>
      <c r="I156">
        <v>808806</v>
      </c>
      <c r="J156">
        <f t="shared" si="130"/>
        <v>7480</v>
      </c>
      <c r="K156" s="2">
        <f t="shared" si="131"/>
        <v>9.3345280198071645E-3</v>
      </c>
      <c r="L156" s="2">
        <f t="shared" si="132"/>
        <v>3.248663101604278E-2</v>
      </c>
      <c r="W156">
        <v>66673</v>
      </c>
    </row>
    <row r="157" spans="1:23" x14ac:dyDescent="0.3">
      <c r="A157" s="1" cm="1">
        <f t="array" ref="A157">IF(OR(B157:G157=""), "", A156 + 1)</f>
        <v>44062</v>
      </c>
      <c r="B157">
        <f t="shared" si="126"/>
        <v>69946</v>
      </c>
      <c r="C157" s="11">
        <f t="shared" si="127"/>
        <v>2.5905925925925926E-2</v>
      </c>
      <c r="D157" s="2">
        <f t="shared" si="128"/>
        <v>6.3593462246778198E-3</v>
      </c>
      <c r="E157" s="18">
        <f t="shared" si="133"/>
        <v>-0.14890142686574126</v>
      </c>
      <c r="F157">
        <f t="shared" si="125"/>
        <v>442</v>
      </c>
      <c r="G157">
        <v>2836</v>
      </c>
      <c r="H157">
        <f t="shared" si="110"/>
        <v>5</v>
      </c>
      <c r="I157">
        <v>816053</v>
      </c>
      <c r="J157">
        <f t="shared" si="130"/>
        <v>7247</v>
      </c>
      <c r="K157" s="2">
        <f t="shared" si="131"/>
        <v>8.9601214629959625E-3</v>
      </c>
      <c r="L157" s="2">
        <f t="shared" si="132"/>
        <v>6.0990754795087622E-2</v>
      </c>
      <c r="W157">
        <v>67110</v>
      </c>
    </row>
    <row r="158" spans="1:23" x14ac:dyDescent="0.3">
      <c r="A158" s="1" cm="1">
        <f t="array" ref="A158">IF(OR(B158:G158=""), "", A157 + 1)</f>
        <v>44063</v>
      </c>
      <c r="B158">
        <f t="shared" si="126"/>
        <v>70305</v>
      </c>
      <c r="C158" s="11">
        <f t="shared" si="127"/>
        <v>2.6038888888888889E-2</v>
      </c>
      <c r="D158" s="2">
        <f t="shared" si="128"/>
        <v>5.1325308094816169E-3</v>
      </c>
      <c r="E158" s="18">
        <f t="shared" si="133"/>
        <v>-0.34838993223446846</v>
      </c>
      <c r="F158">
        <f t="shared" si="125"/>
        <v>359</v>
      </c>
      <c r="G158">
        <v>2837</v>
      </c>
      <c r="H158">
        <f t="shared" si="110"/>
        <v>1</v>
      </c>
      <c r="I158">
        <v>825395</v>
      </c>
      <c r="J158">
        <f t="shared" si="130"/>
        <v>9342</v>
      </c>
      <c r="K158" s="2">
        <f t="shared" si="131"/>
        <v>1.1447785866849358E-2</v>
      </c>
      <c r="L158" s="2">
        <f t="shared" si="132"/>
        <v>3.8428602012417039E-2</v>
      </c>
      <c r="W158">
        <v>67468</v>
      </c>
    </row>
    <row r="159" spans="1:23" x14ac:dyDescent="0.3">
      <c r="A159" s="1" cm="1">
        <f t="array" ref="A159">IF(OR(B159:G159=""), "", A158 + 1)</f>
        <v>44064</v>
      </c>
      <c r="B159">
        <f t="shared" si="126"/>
        <v>70759</v>
      </c>
      <c r="C159" s="11">
        <f t="shared" si="127"/>
        <v>2.6207037037037036E-2</v>
      </c>
      <c r="D159" s="2">
        <f t="shared" si="128"/>
        <v>6.4575776971766974E-3</v>
      </c>
      <c r="E159" s="18">
        <f t="shared" si="133"/>
        <v>-0.25887460905000881</v>
      </c>
      <c r="F159">
        <f t="shared" si="125"/>
        <v>454</v>
      </c>
      <c r="G159">
        <v>2844</v>
      </c>
      <c r="H159">
        <f t="shared" si="110"/>
        <v>7</v>
      </c>
      <c r="I159">
        <v>835069</v>
      </c>
      <c r="J159">
        <f t="shared" si="130"/>
        <v>9674</v>
      </c>
      <c r="K159" s="2">
        <f t="shared" si="131"/>
        <v>1.1720448997146748E-2</v>
      </c>
      <c r="L159" s="2">
        <f t="shared" si="132"/>
        <v>4.6929915236716975E-2</v>
      </c>
      <c r="W159">
        <v>67915</v>
      </c>
    </row>
    <row r="160" spans="1:23" x14ac:dyDescent="0.3">
      <c r="A160" s="1" cm="1">
        <f t="array" ref="A160">IF(OR(B160:G160=""), "", A159 + 1)</f>
        <v>44065</v>
      </c>
      <c r="B160">
        <f t="shared" si="126"/>
        <v>71218</v>
      </c>
      <c r="C160" s="11">
        <f t="shared" si="127"/>
        <v>2.6377037037037036E-2</v>
      </c>
      <c r="D160" s="2">
        <f t="shared" si="128"/>
        <v>6.4868073319295227E-3</v>
      </c>
      <c r="E160" s="18">
        <f t="shared" si="133"/>
        <v>-0.26267074323335837</v>
      </c>
      <c r="F160">
        <f t="shared" si="125"/>
        <v>459</v>
      </c>
      <c r="G160">
        <v>2850</v>
      </c>
      <c r="H160">
        <f t="shared" si="110"/>
        <v>6</v>
      </c>
      <c r="I160">
        <v>844987</v>
      </c>
      <c r="J160">
        <f t="shared" si="130"/>
        <v>9918</v>
      </c>
      <c r="K160" s="2">
        <f t="shared" si="131"/>
        <v>1.1876862870014326E-2</v>
      </c>
      <c r="L160" s="2">
        <f t="shared" si="132"/>
        <v>4.6279491833030852E-2</v>
      </c>
      <c r="W160">
        <v>68368</v>
      </c>
    </row>
    <row r="161" spans="1:23" x14ac:dyDescent="0.3">
      <c r="A161" s="1" cm="1">
        <f t="array" ref="A161">IF(OR(B161:G161=""), "", A160 + 1)</f>
        <v>44066</v>
      </c>
      <c r="B161">
        <f t="shared" si="126"/>
        <v>71576</v>
      </c>
      <c r="C161" s="11">
        <f t="shared" si="127"/>
        <v>2.650962962962963E-2</v>
      </c>
      <c r="D161" s="2">
        <f t="shared" si="128"/>
        <v>5.0268190625966103E-3</v>
      </c>
      <c r="E161" s="18">
        <f t="shared" si="133"/>
        <v>-0.32416472888311232</v>
      </c>
      <c r="F161">
        <f t="shared" si="125"/>
        <v>358</v>
      </c>
      <c r="G161">
        <v>2854</v>
      </c>
      <c r="H161">
        <f t="shared" si="110"/>
        <v>4</v>
      </c>
      <c r="I161">
        <v>853947</v>
      </c>
      <c r="J161">
        <f t="shared" si="130"/>
        <v>8960</v>
      </c>
      <c r="K161" s="2">
        <f t="shared" si="131"/>
        <v>1.0603713429910844E-2</v>
      </c>
      <c r="L161" s="2">
        <f t="shared" si="132"/>
        <v>3.995535714285714E-2</v>
      </c>
      <c r="W161">
        <v>68722</v>
      </c>
    </row>
    <row r="162" spans="1:23" x14ac:dyDescent="0.3">
      <c r="A162" s="1" cm="1">
        <f t="array" ref="A162">IF(OR(B162:G162=""), "", A161 + 1)</f>
        <v>44067</v>
      </c>
      <c r="B162">
        <f t="shared" si="126"/>
        <v>71877</v>
      </c>
      <c r="C162" s="11">
        <f t="shared" si="127"/>
        <v>2.6621111111111113E-2</v>
      </c>
      <c r="D162" s="2">
        <f t="shared" si="128"/>
        <v>4.2053202190679428E-3</v>
      </c>
      <c r="E162" s="18">
        <f t="shared" si="133"/>
        <v>-0.34584672731706895</v>
      </c>
      <c r="F162">
        <f t="shared" si="125"/>
        <v>301</v>
      </c>
      <c r="G162">
        <v>2855</v>
      </c>
      <c r="H162">
        <f t="shared" si="110"/>
        <v>1</v>
      </c>
      <c r="I162">
        <v>861910</v>
      </c>
      <c r="J162">
        <f t="shared" si="130"/>
        <v>7963</v>
      </c>
      <c r="K162" s="2">
        <f t="shared" si="131"/>
        <v>9.3249346856421056E-3</v>
      </c>
      <c r="L162" s="2">
        <f t="shared" si="132"/>
        <v>3.7799824186864249E-2</v>
      </c>
      <c r="W162">
        <v>69022</v>
      </c>
    </row>
    <row r="163" spans="1:23" x14ac:dyDescent="0.3">
      <c r="A163" s="1" cm="1">
        <f t="array" ref="A163">IF(OR(B163:G163=""), "", A162 + 1)</f>
        <v>44068</v>
      </c>
      <c r="B163">
        <f t="shared" si="126"/>
        <v>72123</v>
      </c>
      <c r="C163" s="11">
        <f t="shared" si="127"/>
        <v>2.6712222222222221E-2</v>
      </c>
      <c r="D163" s="2">
        <f t="shared" si="128"/>
        <v>3.4225134604950469E-3</v>
      </c>
      <c r="E163" s="18">
        <f t="shared" si="133"/>
        <v>-0.41943857654918942</v>
      </c>
      <c r="F163">
        <f t="shared" si="125"/>
        <v>246</v>
      </c>
      <c r="G163">
        <v>2857</v>
      </c>
      <c r="H163">
        <f t="shared" si="110"/>
        <v>2</v>
      </c>
      <c r="I163">
        <v>869659</v>
      </c>
      <c r="J163">
        <f t="shared" si="130"/>
        <v>7749</v>
      </c>
      <c r="K163" s="2">
        <f t="shared" si="131"/>
        <v>8.9904978478030362E-3</v>
      </c>
      <c r="L163" s="2">
        <f t="shared" si="132"/>
        <v>3.1746031746031744E-2</v>
      </c>
      <c r="W163">
        <v>69266</v>
      </c>
    </row>
    <row r="164" spans="1:23" x14ac:dyDescent="0.3">
      <c r="A164" s="1" cm="1">
        <f t="array" ref="A164">IF(OR(B164:G164=""), "", A163 + 1)</f>
        <v>44069</v>
      </c>
      <c r="B164">
        <f t="shared" si="126"/>
        <v>72455</v>
      </c>
      <c r="C164" s="11">
        <f t="shared" si="127"/>
        <v>2.6835185185185184E-2</v>
      </c>
      <c r="D164" s="2">
        <f t="shared" si="128"/>
        <v>4.6032472304258221E-3</v>
      </c>
      <c r="E164" s="18">
        <f t="shared" si="133"/>
        <v>-0.24559097518145345</v>
      </c>
      <c r="F164">
        <f t="shared" si="125"/>
        <v>332</v>
      </c>
      <c r="G164">
        <v>2861</v>
      </c>
      <c r="H164">
        <f t="shared" si="110"/>
        <v>4</v>
      </c>
      <c r="I164">
        <v>876706</v>
      </c>
      <c r="J164">
        <f t="shared" si="130"/>
        <v>7047</v>
      </c>
      <c r="K164" s="2">
        <f t="shared" si="131"/>
        <v>8.1031760724605828E-3</v>
      </c>
      <c r="L164" s="2">
        <f t="shared" si="132"/>
        <v>4.7112246345962824E-2</v>
      </c>
      <c r="W164">
        <v>69594</v>
      </c>
    </row>
    <row r="165" spans="1:23" x14ac:dyDescent="0.3">
      <c r="A165" s="1" cm="1">
        <f t="array" ref="A165">IF(OR(B165:G165=""), "", A164 + 1)</f>
        <v>44070</v>
      </c>
      <c r="B165">
        <f t="shared" si="126"/>
        <v>72678</v>
      </c>
      <c r="C165" s="11">
        <f t="shared" si="127"/>
        <v>2.6917777777777777E-2</v>
      </c>
      <c r="D165" s="2">
        <f t="shared" si="128"/>
        <v>3.0777724104615878E-3</v>
      </c>
      <c r="E165" s="18">
        <f t="shared" si="133"/>
        <v>-0.34262284422699774</v>
      </c>
      <c r="F165">
        <f t="shared" si="125"/>
        <v>223</v>
      </c>
      <c r="G165">
        <v>2863</v>
      </c>
      <c r="H165">
        <f t="shared" si="110"/>
        <v>2</v>
      </c>
      <c r="I165">
        <v>882645</v>
      </c>
      <c r="J165">
        <f t="shared" si="130"/>
        <v>5939</v>
      </c>
      <c r="K165" s="2">
        <f t="shared" si="131"/>
        <v>6.7742207764063256E-3</v>
      </c>
      <c r="L165" s="2">
        <f t="shared" si="132"/>
        <v>3.7548408823034181E-2</v>
      </c>
      <c r="W165">
        <v>69815</v>
      </c>
    </row>
    <row r="166" spans="1:23" x14ac:dyDescent="0.3">
      <c r="A166" s="1" cm="1">
        <f t="array" ref="A166">IF(OR(B166:G166=""), "", A165 + 1)</f>
        <v>44071</v>
      </c>
      <c r="B166">
        <f t="shared" si="126"/>
        <v>73199</v>
      </c>
      <c r="C166" s="11">
        <f t="shared" si="127"/>
        <v>2.7110740740740741E-2</v>
      </c>
      <c r="D166" s="2">
        <f t="shared" si="128"/>
        <v>7.1686067310603452E-3</v>
      </c>
      <c r="E166" s="18">
        <f t="shared" si="133"/>
        <v>-0.12393650611632065</v>
      </c>
      <c r="F166">
        <f t="shared" si="125"/>
        <v>521</v>
      </c>
      <c r="G166">
        <v>2868</v>
      </c>
      <c r="H166">
        <f t="shared" si="110"/>
        <v>5</v>
      </c>
      <c r="I166">
        <v>891062</v>
      </c>
      <c r="J166">
        <f t="shared" si="130"/>
        <v>8417</v>
      </c>
      <c r="K166" s="2">
        <f t="shared" si="131"/>
        <v>9.5361102141857668E-3</v>
      </c>
      <c r="L166" s="2">
        <f t="shared" si="132"/>
        <v>6.1898538671735774E-2</v>
      </c>
      <c r="W166">
        <v>70331</v>
      </c>
    </row>
    <row r="167" spans="1:23" x14ac:dyDescent="0.3">
      <c r="A167" s="1" cm="1">
        <f t="array" ref="A167">IF(OR(B167:G167=""), "", A166 + 1)</f>
        <v>44072</v>
      </c>
      <c r="B167">
        <f t="shared" si="126"/>
        <v>73418</v>
      </c>
      <c r="C167" s="11">
        <f t="shared" si="127"/>
        <v>2.7191851851851852E-2</v>
      </c>
      <c r="D167" s="2">
        <f t="shared" si="128"/>
        <v>2.9918441508762772E-3</v>
      </c>
      <c r="E167" s="18">
        <f t="shared" si="133"/>
        <v>-0.49150104756834501</v>
      </c>
      <c r="F167">
        <f t="shared" si="125"/>
        <v>219</v>
      </c>
      <c r="G167">
        <v>2869</v>
      </c>
      <c r="H167">
        <f t="shared" si="110"/>
        <v>1</v>
      </c>
      <c r="I167">
        <v>899329</v>
      </c>
      <c r="J167">
        <f t="shared" si="130"/>
        <v>8267</v>
      </c>
      <c r="K167" s="2">
        <f t="shared" si="131"/>
        <v>9.2776933591602884E-3</v>
      </c>
      <c r="L167" s="2">
        <f t="shared" si="132"/>
        <v>2.6490867303737752E-2</v>
      </c>
      <c r="W167">
        <v>70549</v>
      </c>
    </row>
    <row r="168" spans="1:23" x14ac:dyDescent="0.3">
      <c r="A168" s="1" cm="1">
        <f t="array" ref="A168">IF(OR(B168:G168=""), "", A167 + 1)</f>
        <v>44073</v>
      </c>
      <c r="B168">
        <f t="shared" si="126"/>
        <v>73859</v>
      </c>
      <c r="C168" s="11">
        <f t="shared" si="127"/>
        <v>2.7355185185185184E-2</v>
      </c>
      <c r="D168" s="2">
        <f t="shared" si="128"/>
        <v>6.0067013538913638E-3</v>
      </c>
      <c r="E168" s="18">
        <f t="shared" si="133"/>
        <v>-0.21576050280117876</v>
      </c>
      <c r="F168">
        <f t="shared" si="125"/>
        <v>441</v>
      </c>
      <c r="G168">
        <v>2875</v>
      </c>
      <c r="H168">
        <f t="shared" si="110"/>
        <v>6</v>
      </c>
      <c r="I168">
        <v>908207</v>
      </c>
      <c r="J168">
        <f t="shared" si="130"/>
        <v>8878</v>
      </c>
      <c r="K168" s="2">
        <f t="shared" si="131"/>
        <v>9.8718044230754476E-3</v>
      </c>
      <c r="L168" s="2">
        <f t="shared" si="132"/>
        <v>4.9673349853570622E-2</v>
      </c>
      <c r="W168">
        <v>70984</v>
      </c>
    </row>
    <row r="169" spans="1:23" x14ac:dyDescent="0.3">
      <c r="A169" s="1" cm="1">
        <f t="array" ref="A169">IF(OR(B169:G169=""), "", A168 + 1)</f>
        <v>44074</v>
      </c>
      <c r="B169">
        <f t="shared" si="126"/>
        <v>74162</v>
      </c>
      <c r="C169" s="11">
        <f t="shared" si="127"/>
        <v>2.7467407407407409E-2</v>
      </c>
      <c r="D169" s="2">
        <f t="shared" si="128"/>
        <v>4.1024113513585814E-3</v>
      </c>
      <c r="E169" s="18">
        <f t="shared" si="133"/>
        <v>-0.32530216739384388</v>
      </c>
      <c r="F169">
        <f t="shared" si="125"/>
        <v>303</v>
      </c>
      <c r="G169">
        <v>2877</v>
      </c>
      <c r="H169">
        <f t="shared" si="110"/>
        <v>2</v>
      </c>
      <c r="I169">
        <v>916087</v>
      </c>
      <c r="J169">
        <f t="shared" si="130"/>
        <v>7880</v>
      </c>
      <c r="K169" s="2">
        <f t="shared" si="131"/>
        <v>8.6764360988189626E-3</v>
      </c>
      <c r="L169" s="2">
        <f t="shared" si="132"/>
        <v>3.8451776649746194E-2</v>
      </c>
      <c r="W169">
        <v>71285</v>
      </c>
    </row>
    <row r="170" spans="1:23" x14ac:dyDescent="0.3">
      <c r="A170" s="1" cm="1">
        <f t="array" ref="A170">IF(OR(B170:G170=""), "", A169 + 1)</f>
        <v>44075</v>
      </c>
      <c r="B170">
        <f t="shared" si="126"/>
        <v>74320</v>
      </c>
      <c r="C170" s="11">
        <f t="shared" si="127"/>
        <v>2.7525925925925926E-2</v>
      </c>
      <c r="D170" s="2">
        <f t="shared" si="128"/>
        <v>2.1304711307676971E-3</v>
      </c>
      <c r="E170" s="18">
        <f t="shared" si="133"/>
        <v>-0.39827435047041454</v>
      </c>
      <c r="F170">
        <f t="shared" si="125"/>
        <v>158</v>
      </c>
      <c r="G170">
        <v>2879</v>
      </c>
      <c r="H170">
        <f t="shared" si="110"/>
        <v>2</v>
      </c>
      <c r="I170">
        <v>920970</v>
      </c>
      <c r="J170">
        <f t="shared" si="130"/>
        <v>4883</v>
      </c>
      <c r="K170" s="2">
        <f t="shared" si="131"/>
        <v>5.330279766004864E-3</v>
      </c>
      <c r="L170" s="2">
        <f t="shared" si="132"/>
        <v>3.2357157485152568E-2</v>
      </c>
      <c r="W170">
        <v>71441</v>
      </c>
    </row>
    <row r="171" spans="1:23" x14ac:dyDescent="0.3">
      <c r="A171" s="1" cm="1">
        <f t="array" ref="A171">IF(OR(B171:G171=""), "", A170 + 1)</f>
        <v>44076</v>
      </c>
      <c r="B171">
        <f t="shared" si="126"/>
        <v>74608</v>
      </c>
      <c r="C171" s="11">
        <f t="shared" si="127"/>
        <v>2.7632592592592594E-2</v>
      </c>
      <c r="D171" s="2">
        <f t="shared" si="128"/>
        <v>3.8751345532830328E-3</v>
      </c>
      <c r="E171" s="18">
        <f t="shared" si="133"/>
        <v>-0.1959658562737219</v>
      </c>
      <c r="F171">
        <f t="shared" si="125"/>
        <v>288</v>
      </c>
      <c r="G171">
        <v>2883</v>
      </c>
      <c r="H171">
        <f t="shared" si="110"/>
        <v>4</v>
      </c>
      <c r="I171">
        <v>926574</v>
      </c>
      <c r="J171">
        <f t="shared" si="130"/>
        <v>5604</v>
      </c>
      <c r="K171" s="2">
        <f t="shared" si="131"/>
        <v>6.084888758591589E-3</v>
      </c>
      <c r="L171" s="2">
        <f t="shared" si="132"/>
        <v>5.1391862955032119E-2</v>
      </c>
      <c r="W171">
        <v>71725</v>
      </c>
    </row>
    <row r="172" spans="1:23" x14ac:dyDescent="0.3">
      <c r="A172" s="1" cm="1">
        <f t="array" ref="A172">IF(OR(B172:G172=""), "", A171 + 1)</f>
        <v>44077</v>
      </c>
      <c r="B172">
        <f t="shared" si="126"/>
        <v>74782</v>
      </c>
      <c r="C172" s="11">
        <f t="shared" si="127"/>
        <v>2.7697037037037037E-2</v>
      </c>
      <c r="D172" s="2">
        <f t="shared" si="128"/>
        <v>2.3321895775252344E-3</v>
      </c>
      <c r="E172" s="18">
        <f t="shared" si="133"/>
        <v>-0.49071723620183116</v>
      </c>
      <c r="F172">
        <f t="shared" si="125"/>
        <v>174</v>
      </c>
      <c r="G172">
        <v>2887</v>
      </c>
      <c r="H172">
        <f t="shared" si="110"/>
        <v>4</v>
      </c>
      <c r="I172">
        <v>933263</v>
      </c>
      <c r="J172">
        <f t="shared" si="130"/>
        <v>6689</v>
      </c>
      <c r="K172" s="2">
        <f t="shared" si="131"/>
        <v>7.2190672304639492E-3</v>
      </c>
      <c r="L172" s="2">
        <f t="shared" si="132"/>
        <v>2.6012856929286888E-2</v>
      </c>
      <c r="W172">
        <v>71895</v>
      </c>
    </row>
    <row r="173" spans="1:23" x14ac:dyDescent="0.3">
      <c r="A173" s="1" cm="1">
        <f t="array" ref="A173">IF(OR(B173:G173=""), "", A172 + 1)</f>
        <v>44078</v>
      </c>
      <c r="B173">
        <f t="shared" si="126"/>
        <v>75503</v>
      </c>
      <c r="C173" s="11">
        <f t="shared" si="127"/>
        <v>2.7964074074074075E-2</v>
      </c>
      <c r="D173" s="2">
        <f t="shared" si="128"/>
        <v>9.6413575459335377E-3</v>
      </c>
      <c r="E173" s="18">
        <f t="shared" si="133"/>
        <v>-0.35097257103838503</v>
      </c>
      <c r="F173">
        <f t="shared" si="125"/>
        <v>721</v>
      </c>
      <c r="G173">
        <v>2890</v>
      </c>
      <c r="H173">
        <f t="shared" si="110"/>
        <v>3</v>
      </c>
      <c r="I173">
        <v>953452</v>
      </c>
      <c r="J173">
        <f t="shared" si="130"/>
        <v>20189</v>
      </c>
      <c r="K173" s="2">
        <f t="shared" si="131"/>
        <v>2.1632701607156912E-2</v>
      </c>
      <c r="L173" s="2">
        <f t="shared" si="132"/>
        <v>3.571251671702412E-2</v>
      </c>
      <c r="W173">
        <v>72613</v>
      </c>
    </row>
    <row r="174" spans="1:23" x14ac:dyDescent="0.3">
      <c r="A174" s="1" cm="1">
        <f t="array" ref="A174">IF(OR(B174:G174=""), "", A173 + 1)</f>
        <v>44079</v>
      </c>
      <c r="B174">
        <f t="shared" si="126"/>
        <v>76029</v>
      </c>
      <c r="C174" s="11">
        <f t="shared" si="127"/>
        <v>2.815888888888889E-2</v>
      </c>
      <c r="D174" s="2">
        <f t="shared" si="128"/>
        <v>6.9666105982544302E-3</v>
      </c>
      <c r="E174" s="18">
        <f t="shared" si="133"/>
        <v>-0.18687548330794512</v>
      </c>
      <c r="F174">
        <f t="shared" si="125"/>
        <v>526</v>
      </c>
      <c r="G174">
        <v>2893</v>
      </c>
      <c r="H174">
        <f t="shared" si="110"/>
        <v>3</v>
      </c>
      <c r="I174">
        <v>963666</v>
      </c>
      <c r="J174">
        <f t="shared" si="130"/>
        <v>10214</v>
      </c>
      <c r="K174" s="2">
        <f t="shared" si="131"/>
        <v>1.0712652550941115E-2</v>
      </c>
      <c r="L174" s="2">
        <f t="shared" si="132"/>
        <v>5.1497943998433521E-2</v>
      </c>
      <c r="W174">
        <v>73136</v>
      </c>
    </row>
    <row r="175" spans="1:23" x14ac:dyDescent="0.3">
      <c r="A175" s="1" cm="1">
        <f t="array" ref="A175">IF(OR(B175:G175=""), "", A174 + 1)</f>
        <v>44080</v>
      </c>
      <c r="B175">
        <f t="shared" si="126"/>
        <v>76240</v>
      </c>
      <c r="C175" s="11">
        <f t="shared" si="127"/>
        <v>2.8237037037037036E-2</v>
      </c>
      <c r="D175" s="2">
        <f t="shared" si="128"/>
        <v>2.7752568099015384E-3</v>
      </c>
      <c r="E175" s="18">
        <f t="shared" si="133"/>
        <v>-0.46824808277588154</v>
      </c>
      <c r="F175">
        <f t="shared" si="125"/>
        <v>211</v>
      </c>
      <c r="G175">
        <v>2894</v>
      </c>
      <c r="H175">
        <f t="shared" si="110"/>
        <v>1</v>
      </c>
      <c r="I175">
        <v>971527</v>
      </c>
      <c r="J175">
        <f t="shared" si="130"/>
        <v>7861</v>
      </c>
      <c r="K175" s="2">
        <f t="shared" si="131"/>
        <v>8.157390631193806E-3</v>
      </c>
      <c r="L175" s="2">
        <f t="shared" si="132"/>
        <v>2.6841368782597633E-2</v>
      </c>
      <c r="W175">
        <v>73346</v>
      </c>
    </row>
    <row r="176" spans="1:23" x14ac:dyDescent="0.3">
      <c r="A176" s="1" cm="1">
        <f t="array" ref="A176">IF(OR(B176:G176=""), "", A175 + 1)</f>
        <v>44081</v>
      </c>
      <c r="B176">
        <f t="shared" si="126"/>
        <v>76530</v>
      </c>
      <c r="C176" s="11">
        <f t="shared" si="127"/>
        <v>2.8344444444444443E-2</v>
      </c>
      <c r="D176" s="2">
        <f t="shared" si="128"/>
        <v>3.8037775445960431E-3</v>
      </c>
      <c r="E176" s="18">
        <f t="shared" si="133"/>
        <v>-0.14007046929257025</v>
      </c>
      <c r="F176">
        <f t="shared" si="125"/>
        <v>290</v>
      </c>
      <c r="G176">
        <v>2896</v>
      </c>
      <c r="H176">
        <f t="shared" si="110"/>
        <v>2</v>
      </c>
      <c r="I176">
        <v>976629</v>
      </c>
      <c r="J176">
        <f t="shared" si="130"/>
        <v>5102</v>
      </c>
      <c r="K176" s="2">
        <f t="shared" si="131"/>
        <v>5.2515267203072646E-3</v>
      </c>
      <c r="L176" s="2">
        <f t="shared" si="132"/>
        <v>5.6840454723637787E-2</v>
      </c>
      <c r="W176">
        <v>73634</v>
      </c>
    </row>
    <row r="177" spans="1:23" x14ac:dyDescent="0.3">
      <c r="A177" s="1" cm="1">
        <f t="array" ref="A177">IF(OR(B177:G177=""), "", A176 + 1)</f>
        <v>44082</v>
      </c>
      <c r="B177">
        <f t="shared" si="126"/>
        <v>76725</v>
      </c>
      <c r="C177" s="11">
        <f t="shared" si="127"/>
        <v>2.8416666666666666E-2</v>
      </c>
      <c r="D177" s="2">
        <f t="shared" si="128"/>
        <v>2.5480203841630189E-3</v>
      </c>
      <c r="E177" s="18">
        <f t="shared" si="133"/>
        <v>-0.54992981038621369</v>
      </c>
      <c r="F177">
        <f t="shared" si="125"/>
        <v>195</v>
      </c>
      <c r="G177">
        <v>2897</v>
      </c>
      <c r="H177">
        <f t="shared" si="110"/>
        <v>1</v>
      </c>
      <c r="I177">
        <v>985457</v>
      </c>
      <c r="J177">
        <f t="shared" si="130"/>
        <v>8828</v>
      </c>
      <c r="K177" s="2">
        <f t="shared" si="131"/>
        <v>9.0392564627919114E-3</v>
      </c>
      <c r="L177" s="2">
        <f t="shared" si="132"/>
        <v>2.20888083371092E-2</v>
      </c>
      <c r="W177">
        <v>73828</v>
      </c>
    </row>
    <row r="178" spans="1:23" x14ac:dyDescent="0.3">
      <c r="A178" s="1" cm="1">
        <f t="array" ref="A178">IF(OR(B178:G178=""), "", A177 + 1)</f>
        <v>44083</v>
      </c>
      <c r="B178">
        <f t="shared" si="126"/>
        <v>76854</v>
      </c>
      <c r="C178" s="11">
        <f t="shared" si="127"/>
        <v>2.8464444444444445E-2</v>
      </c>
      <c r="D178" s="2">
        <f t="shared" si="128"/>
        <v>1.6813294232649323E-3</v>
      </c>
      <c r="E178" s="18">
        <f t="shared" si="133"/>
        <v>-0.57387103727756539</v>
      </c>
      <c r="F178">
        <f t="shared" si="125"/>
        <v>129</v>
      </c>
      <c r="G178">
        <v>2898</v>
      </c>
      <c r="H178">
        <f t="shared" si="110"/>
        <v>1</v>
      </c>
      <c r="I178">
        <v>991668</v>
      </c>
      <c r="J178">
        <f t="shared" si="130"/>
        <v>6211</v>
      </c>
      <c r="K178" s="2">
        <f t="shared" si="131"/>
        <v>6.3026595782464945E-3</v>
      </c>
      <c r="L178" s="2">
        <f t="shared" si="132"/>
        <v>2.0769602318467237E-2</v>
      </c>
      <c r="W178">
        <v>73956</v>
      </c>
    </row>
    <row r="179" spans="1:23" x14ac:dyDescent="0.3">
      <c r="A179" s="1" cm="1">
        <f t="array" ref="A179">IF(OR(B179:G179=""), "", A178 + 1)</f>
        <v>44084</v>
      </c>
      <c r="B179">
        <f t="shared" si="126"/>
        <v>77089</v>
      </c>
      <c r="C179" s="11">
        <f t="shared" si="127"/>
        <v>2.855148148148148E-2</v>
      </c>
      <c r="D179" s="2">
        <f t="shared" si="128"/>
        <v>3.0577458557785597E-3</v>
      </c>
      <c r="E179" s="18">
        <f t="shared" si="133"/>
        <v>-0.22246865180228378</v>
      </c>
      <c r="F179">
        <f t="shared" si="125"/>
        <v>235</v>
      </c>
      <c r="G179">
        <v>2899</v>
      </c>
      <c r="H179">
        <f t="shared" si="110"/>
        <v>1</v>
      </c>
      <c r="I179">
        <v>996729</v>
      </c>
      <c r="J179">
        <f t="shared" si="130"/>
        <v>5061</v>
      </c>
      <c r="K179" s="2">
        <f t="shared" si="131"/>
        <v>5.103522549885664E-3</v>
      </c>
      <c r="L179" s="2">
        <f t="shared" si="132"/>
        <v>4.6433511163801622E-2</v>
      </c>
      <c r="W179">
        <v>74190</v>
      </c>
    </row>
    <row r="180" spans="1:23" x14ac:dyDescent="0.3">
      <c r="A180" s="1" cm="1">
        <f t="array" ref="A180">IF(OR(B180:G180=""), "", A179 + 1)</f>
        <v>44085</v>
      </c>
      <c r="B180">
        <f t="shared" si="126"/>
        <v>77469</v>
      </c>
      <c r="C180" s="11">
        <f t="shared" si="127"/>
        <v>2.8692222222222223E-2</v>
      </c>
      <c r="D180" s="2">
        <f t="shared" si="128"/>
        <v>4.929367354616021E-3</v>
      </c>
      <c r="E180" s="18">
        <f t="shared" si="133"/>
        <v>-0.20949022579972315</v>
      </c>
      <c r="F180">
        <f t="shared" si="125"/>
        <v>380</v>
      </c>
      <c r="G180">
        <v>2903</v>
      </c>
      <c r="H180">
        <f t="shared" si="110"/>
        <v>4</v>
      </c>
      <c r="I180">
        <v>1004688</v>
      </c>
      <c r="J180">
        <f t="shared" si="130"/>
        <v>7959</v>
      </c>
      <c r="K180" s="2">
        <f t="shared" si="131"/>
        <v>7.9851193253130948E-3</v>
      </c>
      <c r="L180" s="2">
        <f t="shared" si="132"/>
        <v>4.7744691544163838E-2</v>
      </c>
      <c r="W180">
        <v>74566</v>
      </c>
    </row>
    <row r="181" spans="1:23" x14ac:dyDescent="0.3">
      <c r="A181" s="1" cm="1">
        <f t="array" ref="A181">IF(OR(B181:G181=""), "", A180 + 1)</f>
        <v>44086</v>
      </c>
      <c r="B181">
        <f t="shared" si="126"/>
        <v>77807</v>
      </c>
      <c r="C181" s="11">
        <f t="shared" si="127"/>
        <v>2.8817407407407406E-2</v>
      </c>
      <c r="D181" s="2">
        <f t="shared" si="128"/>
        <v>4.363035536795401E-3</v>
      </c>
      <c r="E181" s="18">
        <f t="shared" si="133"/>
        <v>-0.29524634662609361</v>
      </c>
      <c r="F181">
        <f t="shared" si="125"/>
        <v>338</v>
      </c>
      <c r="G181">
        <v>2913</v>
      </c>
      <c r="H181">
        <f t="shared" si="110"/>
        <v>10</v>
      </c>
      <c r="I181">
        <v>1013339</v>
      </c>
      <c r="J181">
        <f t="shared" si="130"/>
        <v>8651</v>
      </c>
      <c r="K181" s="2">
        <f t="shared" si="131"/>
        <v>8.6106333508511046E-3</v>
      </c>
      <c r="L181" s="2">
        <f t="shared" si="132"/>
        <v>3.9070627673101377E-2</v>
      </c>
      <c r="W181">
        <v>74894</v>
      </c>
    </row>
    <row r="182" spans="1:23" x14ac:dyDescent="0.3">
      <c r="A182" s="1" cm="1">
        <f t="array" ref="A182">IF(OR(B182:G182=""), "", A181 + 1)</f>
        <v>44087</v>
      </c>
      <c r="B182">
        <f t="shared" si="126"/>
        <v>78068</v>
      </c>
      <c r="C182" s="11">
        <f t="shared" si="127"/>
        <v>2.8914074074074075E-2</v>
      </c>
      <c r="D182" s="2">
        <f t="shared" si="128"/>
        <v>3.3544539694372322E-3</v>
      </c>
      <c r="E182" s="18">
        <f t="shared" si="133"/>
        <v>-0.38853788638927655</v>
      </c>
      <c r="F182">
        <f t="shared" si="125"/>
        <v>261</v>
      </c>
      <c r="G182">
        <v>2916</v>
      </c>
      <c r="H182">
        <f t="shared" si="110"/>
        <v>3</v>
      </c>
      <c r="I182">
        <v>1021655</v>
      </c>
      <c r="J182">
        <f t="shared" si="130"/>
        <v>8316</v>
      </c>
      <c r="K182" s="2">
        <f t="shared" si="131"/>
        <v>8.2065330555716187E-3</v>
      </c>
      <c r="L182" s="2">
        <f t="shared" si="132"/>
        <v>3.1385281385281384E-2</v>
      </c>
      <c r="W182">
        <v>75152</v>
      </c>
    </row>
    <row r="183" spans="1:23" x14ac:dyDescent="0.3">
      <c r="A183" s="1" cm="1">
        <f t="array" ref="A183">IF(OR(B183:G183=""), "", A182 + 1)</f>
        <v>44088</v>
      </c>
      <c r="B183">
        <f t="shared" si="126"/>
        <v>78325</v>
      </c>
      <c r="C183" s="11">
        <f t="shared" si="127"/>
        <v>2.9009259259259259E-2</v>
      </c>
      <c r="D183" s="2">
        <f t="shared" si="128"/>
        <v>3.2920018445457E-3</v>
      </c>
      <c r="E183" s="18">
        <f t="shared" si="133"/>
        <v>-0.37256361520789472</v>
      </c>
      <c r="F183">
        <f t="shared" si="125"/>
        <v>257</v>
      </c>
      <c r="G183">
        <v>2916</v>
      </c>
      <c r="H183">
        <f t="shared" si="110"/>
        <v>0</v>
      </c>
      <c r="I183">
        <v>1029586</v>
      </c>
      <c r="J183">
        <f t="shared" si="130"/>
        <v>7931</v>
      </c>
      <c r="K183" s="2">
        <f t="shared" si="131"/>
        <v>7.7628945191869914E-3</v>
      </c>
      <c r="L183" s="2">
        <f t="shared" si="132"/>
        <v>3.2404488715168329E-2</v>
      </c>
      <c r="W183">
        <v>75409</v>
      </c>
    </row>
    <row r="184" spans="1:23" x14ac:dyDescent="0.3">
      <c r="A184" s="1" cm="1">
        <f t="array" ref="A184">IF(OR(B184:G184=""), "", A183 + 1)</f>
        <v>44089</v>
      </c>
      <c r="B184">
        <f t="shared" si="126"/>
        <v>78513</v>
      </c>
      <c r="C184" s="11">
        <f t="shared" si="127"/>
        <v>2.907888888888889E-2</v>
      </c>
      <c r="D184" s="2">
        <f t="shared" si="128"/>
        <v>2.4002553463133847E-3</v>
      </c>
      <c r="E184" s="18">
        <f t="shared" si="133"/>
        <v>-0.35905150049534978</v>
      </c>
      <c r="F184">
        <f t="shared" si="125"/>
        <v>188</v>
      </c>
      <c r="G184">
        <v>2919</v>
      </c>
      <c r="H184">
        <f t="shared" si="110"/>
        <v>3</v>
      </c>
      <c r="I184">
        <v>1035235</v>
      </c>
      <c r="J184">
        <f t="shared" si="130"/>
        <v>5649</v>
      </c>
      <c r="K184" s="2">
        <f t="shared" si="131"/>
        <v>5.4866713416850121E-3</v>
      </c>
      <c r="L184" s="2">
        <f t="shared" si="132"/>
        <v>3.3280226588776773E-2</v>
      </c>
      <c r="W184">
        <v>75594</v>
      </c>
    </row>
    <row r="185" spans="1:23" x14ac:dyDescent="0.3">
      <c r="A185" s="1" cm="1">
        <f t="array" ref="A185">IF(OR(B185:G185=""), "", A184 + 1)</f>
        <v>44090</v>
      </c>
      <c r="B185">
        <f t="shared" si="126"/>
        <v>78765</v>
      </c>
      <c r="C185" s="11">
        <f t="shared" si="127"/>
        <v>2.9172222222222221E-2</v>
      </c>
      <c r="D185" s="2">
        <f t="shared" si="128"/>
        <v>3.2096595468267264E-3</v>
      </c>
      <c r="E185" s="18">
        <f t="shared" si="133"/>
        <v>-0.33098207849925659</v>
      </c>
      <c r="F185">
        <f t="shared" si="125"/>
        <v>252</v>
      </c>
      <c r="G185">
        <v>2923</v>
      </c>
      <c r="H185">
        <f t="shared" si="110"/>
        <v>4</v>
      </c>
      <c r="I185">
        <v>1042355</v>
      </c>
      <c r="J185">
        <f t="shared" si="130"/>
        <v>7120</v>
      </c>
      <c r="K185" s="2">
        <f t="shared" si="131"/>
        <v>6.8776654576014895E-3</v>
      </c>
      <c r="L185" s="2">
        <f t="shared" si="132"/>
        <v>3.5393258426966293E-2</v>
      </c>
      <c r="W185">
        <v>75842</v>
      </c>
    </row>
    <row r="186" spans="1:23" x14ac:dyDescent="0.3">
      <c r="A186" s="1" cm="1">
        <f t="array" ref="A186">IF(OR(B186:G186=""), "", A185 + 1)</f>
        <v>44091</v>
      </c>
      <c r="B186">
        <f t="shared" si="126"/>
        <v>79165</v>
      </c>
      <c r="C186" s="11">
        <f t="shared" si="127"/>
        <v>2.9320370370370372E-2</v>
      </c>
      <c r="D186" s="2">
        <f t="shared" si="128"/>
        <v>5.078397765504894E-3</v>
      </c>
      <c r="E186" s="18">
        <f t="shared" si="133"/>
        <v>-0.15091336463585064</v>
      </c>
      <c r="F186">
        <f t="shared" si="125"/>
        <v>400</v>
      </c>
      <c r="G186">
        <v>2923</v>
      </c>
      <c r="H186">
        <f t="shared" si="110"/>
        <v>0</v>
      </c>
      <c r="I186">
        <v>1049848</v>
      </c>
      <c r="J186">
        <f t="shared" si="130"/>
        <v>7493</v>
      </c>
      <c r="K186" s="2">
        <f t="shared" si="131"/>
        <v>7.1885298194953595E-3</v>
      </c>
      <c r="L186" s="2">
        <f t="shared" si="132"/>
        <v>5.3383157613772853E-2</v>
      </c>
      <c r="W186">
        <v>76242</v>
      </c>
    </row>
    <row r="187" spans="1:23" x14ac:dyDescent="0.3">
      <c r="A187" s="1" cm="1">
        <f t="array" ref="A187">IF(OR(B187:G187=""), "", A186 + 1)</f>
        <v>44092</v>
      </c>
      <c r="B187">
        <f t="shared" si="126"/>
        <v>79436</v>
      </c>
      <c r="C187" s="11">
        <f t="shared" si="127"/>
        <v>2.942074074074074E-2</v>
      </c>
      <c r="D187" s="2">
        <f t="shared" si="128"/>
        <v>3.4232299627361407E-3</v>
      </c>
      <c r="E187" s="18">
        <f t="shared" si="133"/>
        <v>-0.50126615264412133</v>
      </c>
      <c r="F187">
        <f t="shared" si="125"/>
        <v>271</v>
      </c>
      <c r="G187">
        <v>2925</v>
      </c>
      <c r="H187">
        <f t="shared" si="110"/>
        <v>2</v>
      </c>
      <c r="I187">
        <v>1061246</v>
      </c>
      <c r="J187">
        <f t="shared" si="130"/>
        <v>11398</v>
      </c>
      <c r="K187" s="2">
        <f t="shared" si="131"/>
        <v>1.0856809747696872E-2</v>
      </c>
      <c r="L187" s="2">
        <f t="shared" si="132"/>
        <v>2.3776101070363223E-2</v>
      </c>
      <c r="W187">
        <v>76511</v>
      </c>
    </row>
    <row r="188" spans="1:23" x14ac:dyDescent="0.3">
      <c r="A188" s="1" cm="1">
        <f t="array" ref="A188">IF(OR(B188:G188=""), "", A187 + 1)</f>
        <v>44093</v>
      </c>
      <c r="B188">
        <f t="shared" si="126"/>
        <v>79896</v>
      </c>
      <c r="C188" s="11">
        <f t="shared" si="127"/>
        <v>2.959111111111111E-2</v>
      </c>
      <c r="D188" s="2">
        <f t="shared" si="128"/>
        <v>5.7908253184952851E-3</v>
      </c>
      <c r="E188" s="18">
        <f t="shared" si="133"/>
        <v>-0.27623828031974262</v>
      </c>
      <c r="F188">
        <f t="shared" si="125"/>
        <v>460</v>
      </c>
      <c r="G188">
        <v>2930</v>
      </c>
      <c r="H188">
        <f t="shared" si="110"/>
        <v>5</v>
      </c>
      <c r="I188">
        <v>1072855</v>
      </c>
      <c r="J188">
        <f t="shared" si="130"/>
        <v>11609</v>
      </c>
      <c r="K188" s="2">
        <f t="shared" si="131"/>
        <v>1.0939028274311591E-2</v>
      </c>
      <c r="L188" s="2">
        <f t="shared" si="132"/>
        <v>3.9624429322077701E-2</v>
      </c>
      <c r="W188">
        <v>76966</v>
      </c>
    </row>
    <row r="189" spans="1:23" x14ac:dyDescent="0.3">
      <c r="A189" s="1" cm="1">
        <f t="array" ref="A189">IF(OR(B189:G189=""), "", A188 + 1)</f>
        <v>44094</v>
      </c>
      <c r="B189">
        <f t="shared" si="126"/>
        <v>80173</v>
      </c>
      <c r="C189" s="11">
        <f t="shared" si="127"/>
        <v>2.9693703703703705E-2</v>
      </c>
      <c r="D189" s="2">
        <f t="shared" si="128"/>
        <v>3.4670071092419708E-3</v>
      </c>
      <c r="E189" s="18">
        <f t="shared" si="133"/>
        <v>-0.40877938583819939</v>
      </c>
      <c r="F189">
        <f t="shared" si="125"/>
        <v>277</v>
      </c>
      <c r="G189">
        <v>2932</v>
      </c>
      <c r="H189">
        <f t="shared" si="110"/>
        <v>2</v>
      </c>
      <c r="I189">
        <v>1082389</v>
      </c>
      <c r="J189">
        <f t="shared" si="130"/>
        <v>9534</v>
      </c>
      <c r="K189" s="2">
        <f t="shared" si="131"/>
        <v>8.8865690144521725E-3</v>
      </c>
      <c r="L189" s="2">
        <f t="shared" si="132"/>
        <v>2.9053912313824207E-2</v>
      </c>
      <c r="W189">
        <v>77241</v>
      </c>
    </row>
    <row r="190" spans="1:23" x14ac:dyDescent="0.3">
      <c r="A190" s="1" cm="1">
        <f t="array" ref="A190">IF(OR(B190:G190=""), "", A189 + 1)</f>
        <v>44095</v>
      </c>
      <c r="B190">
        <f t="shared" si="126"/>
        <v>80419</v>
      </c>
      <c r="C190" s="11">
        <f t="shared" si="127"/>
        <v>2.9784814814814816E-2</v>
      </c>
      <c r="D190" s="2">
        <f t="shared" si="128"/>
        <v>3.0683646614195759E-3</v>
      </c>
      <c r="E190" s="18">
        <f t="shared" si="133"/>
        <v>-0.29825359323510747</v>
      </c>
      <c r="F190">
        <f t="shared" si="125"/>
        <v>246</v>
      </c>
      <c r="G190">
        <v>2933</v>
      </c>
      <c r="H190">
        <f t="shared" si="110"/>
        <v>1</v>
      </c>
      <c r="I190">
        <v>1088989</v>
      </c>
      <c r="J190">
        <f t="shared" si="130"/>
        <v>6600</v>
      </c>
      <c r="K190" s="2">
        <f t="shared" si="131"/>
        <v>6.0976229433225004E-3</v>
      </c>
      <c r="L190" s="2">
        <f t="shared" si="132"/>
        <v>3.727272727272727E-2</v>
      </c>
      <c r="W190">
        <v>77486</v>
      </c>
    </row>
    <row r="191" spans="1:23" x14ac:dyDescent="0.3">
      <c r="A191" s="1" cm="1">
        <f t="array" ref="A191">IF(OR(B191:G191=""), "", A190 + 1)</f>
        <v>44096</v>
      </c>
      <c r="B191">
        <f t="shared" si="126"/>
        <v>80622</v>
      </c>
      <c r="C191" s="11">
        <f t="shared" si="127"/>
        <v>2.9860000000000001E-2</v>
      </c>
      <c r="D191" s="2">
        <f t="shared" si="128"/>
        <v>2.5242790882751276E-3</v>
      </c>
      <c r="E191" s="18">
        <f t="shared" si="133"/>
        <v>-0.40188560297945114</v>
      </c>
      <c r="F191">
        <f t="shared" si="125"/>
        <v>203</v>
      </c>
      <c r="G191">
        <v>2935</v>
      </c>
      <c r="H191">
        <f t="shared" si="110"/>
        <v>2</v>
      </c>
      <c r="I191">
        <v>1095924</v>
      </c>
      <c r="J191">
        <f t="shared" si="130"/>
        <v>6935</v>
      </c>
      <c r="K191" s="2">
        <f t="shared" si="131"/>
        <v>6.3682920580465652E-3</v>
      </c>
      <c r="L191" s="2">
        <f t="shared" si="132"/>
        <v>2.927180966113915E-2</v>
      </c>
      <c r="W191">
        <v>77687</v>
      </c>
    </row>
    <row r="192" spans="1:23" x14ac:dyDescent="0.3">
      <c r="A192" s="1" cm="1">
        <f t="array" ref="A192">IF(OR(B192:G192=""), "", A191 + 1)</f>
        <v>44097</v>
      </c>
      <c r="B192">
        <f t="shared" si="126"/>
        <v>80928</v>
      </c>
      <c r="C192" s="11">
        <f t="shared" si="127"/>
        <v>2.9973333333333334E-2</v>
      </c>
      <c r="D192" s="2">
        <f t="shared" si="128"/>
        <v>3.7954900647465539E-3</v>
      </c>
      <c r="E192" s="18">
        <f t="shared" si="133"/>
        <v>-0.18835141603254152</v>
      </c>
      <c r="F192">
        <f t="shared" si="125"/>
        <v>306</v>
      </c>
      <c r="G192">
        <v>2939</v>
      </c>
      <c r="H192">
        <f t="shared" si="110"/>
        <v>4</v>
      </c>
      <c r="I192">
        <v>1102342</v>
      </c>
      <c r="J192">
        <f t="shared" si="130"/>
        <v>6418</v>
      </c>
      <c r="K192" s="2">
        <f t="shared" si="131"/>
        <v>5.8562455060753305E-3</v>
      </c>
      <c r="L192" s="2">
        <f t="shared" si="132"/>
        <v>4.7678404487379249E-2</v>
      </c>
      <c r="W192">
        <v>77989</v>
      </c>
    </row>
    <row r="193" spans="1:23" x14ac:dyDescent="0.3">
      <c r="A193" s="1" cm="1">
        <f t="array" ref="A193">IF(OR(B193:G193=""), "", A192 + 1)</f>
        <v>44098</v>
      </c>
      <c r="B193">
        <f t="shared" si="126"/>
        <v>81289</v>
      </c>
      <c r="C193" s="11">
        <f t="shared" si="127"/>
        <v>3.0107037037037036E-2</v>
      </c>
      <c r="D193" s="2">
        <f t="shared" si="128"/>
        <v>4.4607552392250671E-3</v>
      </c>
      <c r="E193" s="18">
        <f t="shared" si="133"/>
        <v>-0.24166129300979913</v>
      </c>
      <c r="F193">
        <f t="shared" si="125"/>
        <v>361</v>
      </c>
      <c r="G193">
        <v>2944</v>
      </c>
      <c r="H193">
        <f t="shared" si="110"/>
        <v>5</v>
      </c>
      <c r="I193">
        <v>1110920</v>
      </c>
      <c r="J193">
        <f t="shared" si="130"/>
        <v>8578</v>
      </c>
      <c r="K193" s="2">
        <f t="shared" si="131"/>
        <v>7.7816140544404444E-3</v>
      </c>
      <c r="L193" s="2">
        <f t="shared" si="132"/>
        <v>4.2084401958498482E-2</v>
      </c>
      <c r="W193">
        <v>78345</v>
      </c>
    </row>
    <row r="194" spans="1:23" x14ac:dyDescent="0.3">
      <c r="A194" s="1" cm="1">
        <f t="array" ref="A194">IF(OR(B194:G194=""), "", A193 + 1)</f>
        <v>44099</v>
      </c>
      <c r="B194">
        <f t="shared" si="126"/>
        <v>81651</v>
      </c>
      <c r="C194" s="11">
        <f t="shared" si="127"/>
        <v>3.0241111111111111E-2</v>
      </c>
      <c r="D194" s="2">
        <f t="shared" si="128"/>
        <v>4.4532470567972826E-3</v>
      </c>
      <c r="E194" s="18">
        <f t="shared" si="133"/>
        <v>-0.3559815068034628</v>
      </c>
      <c r="F194">
        <f t="shared" si="125"/>
        <v>362</v>
      </c>
      <c r="G194">
        <v>2944</v>
      </c>
      <c r="H194">
        <f t="shared" si="110"/>
        <v>0</v>
      </c>
      <c r="I194">
        <v>1122149</v>
      </c>
      <c r="J194">
        <f t="shared" si="130"/>
        <v>11229</v>
      </c>
      <c r="K194" s="2">
        <f t="shared" si="131"/>
        <v>1.0107838548230275E-2</v>
      </c>
      <c r="L194" s="2">
        <f t="shared" si="132"/>
        <v>3.2237955294327186E-2</v>
      </c>
      <c r="W194">
        <v>78707</v>
      </c>
    </row>
    <row r="195" spans="1:23" x14ac:dyDescent="0.3">
      <c r="A195" s="1" cm="1">
        <f t="array" ref="A195">IF(OR(B195:G195=""), "", A194 + 1)</f>
        <v>44100</v>
      </c>
      <c r="B195">
        <f t="shared" si="126"/>
        <v>82062</v>
      </c>
      <c r="C195" s="11">
        <f t="shared" si="127"/>
        <v>3.0393333333333335E-2</v>
      </c>
      <c r="D195" s="2">
        <f t="shared" si="128"/>
        <v>5.0336186941983829E-3</v>
      </c>
      <c r="E195" s="18">
        <f t="shared" si="133"/>
        <v>-0.30971009342399197</v>
      </c>
      <c r="F195">
        <f t="shared" si="125"/>
        <v>411</v>
      </c>
      <c r="G195">
        <v>2948</v>
      </c>
      <c r="H195">
        <f t="shared" si="110"/>
        <v>4</v>
      </c>
      <c r="I195">
        <v>1133674</v>
      </c>
      <c r="J195">
        <f t="shared" si="130"/>
        <v>11525</v>
      </c>
      <c r="K195" s="2">
        <f t="shared" si="131"/>
        <v>1.0270472103080852E-2</v>
      </c>
      <c r="L195" s="2">
        <f t="shared" si="132"/>
        <v>3.5661605206073754E-2</v>
      </c>
      <c r="W195">
        <v>79114</v>
      </c>
    </row>
    <row r="196" spans="1:23" x14ac:dyDescent="0.3">
      <c r="A196" s="1" cm="1">
        <f t="array" ref="A196">IF(OR(B196:G196=""), "", A195 + 1)</f>
        <v>44101</v>
      </c>
      <c r="B196">
        <f t="shared" si="126"/>
        <v>82341</v>
      </c>
      <c r="C196" s="11">
        <f t="shared" si="127"/>
        <v>3.0496666666666665E-2</v>
      </c>
      <c r="D196" s="2">
        <f t="shared" si="128"/>
        <v>3.3998683921911965E-3</v>
      </c>
      <c r="E196" s="18">
        <f t="shared" si="133"/>
        <v>-0.40300977790355175</v>
      </c>
      <c r="F196">
        <f t="shared" si="125"/>
        <v>279</v>
      </c>
      <c r="G196">
        <v>2952</v>
      </c>
      <c r="H196">
        <f t="shared" si="110"/>
        <v>4</v>
      </c>
      <c r="I196">
        <v>1143423</v>
      </c>
      <c r="J196">
        <f t="shared" si="130"/>
        <v>9749</v>
      </c>
      <c r="K196" s="2">
        <f t="shared" si="131"/>
        <v>8.5994739228385519E-3</v>
      </c>
      <c r="L196" s="2">
        <f t="shared" si="132"/>
        <v>2.8618319827674633E-2</v>
      </c>
      <c r="W196">
        <v>79389</v>
      </c>
    </row>
    <row r="197" spans="1:23" x14ac:dyDescent="0.3">
      <c r="A197" s="1" cm="1">
        <f t="array" ref="A197">IF(OR(B197:G197=""), "", A196 + 1)</f>
        <v>44102</v>
      </c>
      <c r="B197">
        <f t="shared" si="126"/>
        <v>82721</v>
      </c>
      <c r="C197" s="11">
        <f t="shared" si="127"/>
        <v>3.0637407407407408E-2</v>
      </c>
      <c r="D197" s="2">
        <f t="shared" si="128"/>
        <v>4.6149548827436604E-3</v>
      </c>
      <c r="E197" s="18">
        <f t="shared" si="133"/>
        <v>-0.2018014869020214</v>
      </c>
      <c r="F197">
        <f t="shared" si="125"/>
        <v>380</v>
      </c>
      <c r="G197">
        <v>2956</v>
      </c>
      <c r="H197">
        <f t="shared" si="110"/>
        <v>4</v>
      </c>
      <c r="I197">
        <v>1151821</v>
      </c>
      <c r="J197">
        <f t="shared" si="130"/>
        <v>8398</v>
      </c>
      <c r="K197" s="2">
        <f t="shared" si="131"/>
        <v>7.344613498241781E-3</v>
      </c>
      <c r="L197" s="2">
        <f t="shared" si="132"/>
        <v>4.5248868778280542E-2</v>
      </c>
      <c r="W197">
        <v>79765</v>
      </c>
    </row>
    <row r="198" spans="1:23" x14ac:dyDescent="0.3">
      <c r="A198" s="1" cm="1">
        <f t="array" ref="A198">IF(OR(B198:G198=""), "", A197 + 1)</f>
        <v>44103</v>
      </c>
      <c r="B198">
        <f t="shared" si="126"/>
        <v>82898</v>
      </c>
      <c r="C198" s="11">
        <f t="shared" si="127"/>
        <v>3.0702962962962963E-2</v>
      </c>
      <c r="D198" s="2">
        <f t="shared" si="128"/>
        <v>2.1397226822692517E-3</v>
      </c>
      <c r="E198" s="18">
        <f t="shared" si="133"/>
        <v>-0.50135318330475098</v>
      </c>
      <c r="F198">
        <f t="shared" si="125"/>
        <v>177</v>
      </c>
      <c r="G198">
        <v>2959</v>
      </c>
      <c r="H198">
        <f t="shared" si="110"/>
        <v>3</v>
      </c>
      <c r="I198">
        <v>1159639</v>
      </c>
      <c r="J198">
        <f t="shared" si="130"/>
        <v>7818</v>
      </c>
      <c r="K198" s="2">
        <f t="shared" si="131"/>
        <v>6.7875129902996711E-3</v>
      </c>
      <c r="L198" s="2">
        <f t="shared" si="132"/>
        <v>2.264006139677667E-2</v>
      </c>
      <c r="W198">
        <v>79939</v>
      </c>
    </row>
    <row r="199" spans="1:23" x14ac:dyDescent="0.3">
      <c r="A199" s="1" cm="1">
        <f t="array" ref="A199">IF(OR(B199:G199=""), "", A198 + 1)</f>
        <v>44104</v>
      </c>
      <c r="B199">
        <f t="shared" si="126"/>
        <v>83225</v>
      </c>
      <c r="C199" s="11">
        <f t="shared" si="127"/>
        <v>3.0824074074074073E-2</v>
      </c>
      <c r="D199" s="2">
        <f t="shared" si="128"/>
        <v>3.9446066250090617E-3</v>
      </c>
      <c r="E199" s="18">
        <f t="shared" si="133"/>
        <v>-0.14653151697759051</v>
      </c>
      <c r="F199">
        <f t="shared" si="125"/>
        <v>327</v>
      </c>
      <c r="G199">
        <v>2960</v>
      </c>
      <c r="H199">
        <f t="shared" si="110"/>
        <v>1</v>
      </c>
      <c r="I199">
        <v>1166049</v>
      </c>
      <c r="J199">
        <f t="shared" si="130"/>
        <v>6410</v>
      </c>
      <c r="K199" s="2">
        <f t="shared" si="131"/>
        <v>5.5275822906957206E-3</v>
      </c>
      <c r="L199" s="2">
        <f t="shared" si="132"/>
        <v>5.1014040561622467E-2</v>
      </c>
      <c r="W199">
        <v>80265</v>
      </c>
    </row>
    <row r="200" spans="1:23" x14ac:dyDescent="0.3">
      <c r="A200" s="1" cm="1">
        <f t="array" ref="A200">IF(OR(B200:G200=""), "", A199 + 1)</f>
        <v>44105</v>
      </c>
      <c r="B200">
        <f t="shared" si="126"/>
        <v>83642</v>
      </c>
      <c r="C200" s="11">
        <f t="shared" si="127"/>
        <v>3.097851851851852E-2</v>
      </c>
      <c r="D200" s="2">
        <f t="shared" si="128"/>
        <v>5.0105136677680573E-3</v>
      </c>
      <c r="E200" s="18">
        <f t="shared" si="133"/>
        <v>-0.23815210360916197</v>
      </c>
      <c r="F200">
        <f t="shared" si="125"/>
        <v>417</v>
      </c>
      <c r="G200">
        <v>2962</v>
      </c>
      <c r="H200">
        <f t="shared" si="110"/>
        <v>2</v>
      </c>
      <c r="I200">
        <v>1176159</v>
      </c>
      <c r="J200">
        <f t="shared" si="130"/>
        <v>10110</v>
      </c>
      <c r="K200" s="2">
        <f t="shared" si="131"/>
        <v>8.6703045926885824E-3</v>
      </c>
      <c r="L200" s="2">
        <f t="shared" si="132"/>
        <v>4.1246290801186941E-2</v>
      </c>
      <c r="W200">
        <v>80680</v>
      </c>
    </row>
    <row r="201" spans="1:23" x14ac:dyDescent="0.3">
      <c r="A201" s="1" cm="1">
        <f t="array" ref="A201">IF(OR(B201:G201=""), "", A200 + 1)</f>
        <v>44106</v>
      </c>
      <c r="B201">
        <f t="shared" si="126"/>
        <v>83976</v>
      </c>
      <c r="C201" s="11">
        <f t="shared" si="127"/>
        <v>3.1102222222222222E-2</v>
      </c>
      <c r="D201" s="2">
        <f t="shared" si="128"/>
        <v>3.9932091532961511E-3</v>
      </c>
      <c r="E201" s="18">
        <f t="shared" si="133"/>
        <v>-0.42543449842354653</v>
      </c>
      <c r="F201">
        <f t="shared" si="125"/>
        <v>334</v>
      </c>
      <c r="G201">
        <v>2964</v>
      </c>
      <c r="H201">
        <f t="shared" si="110"/>
        <v>2</v>
      </c>
      <c r="I201">
        <v>1188668</v>
      </c>
      <c r="J201">
        <f t="shared" si="130"/>
        <v>12509</v>
      </c>
      <c r="K201" s="2">
        <f t="shared" si="131"/>
        <v>1.0635466803382787E-2</v>
      </c>
      <c r="L201" s="2">
        <f t="shared" si="132"/>
        <v>2.6700775441681989E-2</v>
      </c>
      <c r="W201">
        <v>81012</v>
      </c>
    </row>
    <row r="202" spans="1:23" x14ac:dyDescent="0.3">
      <c r="A202" s="1" cm="1">
        <f t="array" ref="A202">IF(OR(B202:G202=""), "", A201 + 1)</f>
        <v>44107</v>
      </c>
      <c r="B202">
        <f t="shared" si="126"/>
        <v>84431</v>
      </c>
      <c r="C202" s="11">
        <f t="shared" si="127"/>
        <v>3.1270740740740738E-2</v>
      </c>
      <c r="D202" s="2">
        <f t="shared" si="128"/>
        <v>5.4182147280175119E-3</v>
      </c>
      <c r="E202" s="18">
        <f t="shared" si="133"/>
        <v>-0.29876793592355216</v>
      </c>
      <c r="F202">
        <f t="shared" si="125"/>
        <v>455</v>
      </c>
      <c r="G202">
        <v>2968</v>
      </c>
      <c r="H202">
        <f t="shared" si="110"/>
        <v>4</v>
      </c>
      <c r="I202">
        <v>1201482</v>
      </c>
      <c r="J202">
        <f t="shared" si="130"/>
        <v>12814</v>
      </c>
      <c r="K202" s="2">
        <f t="shared" si="131"/>
        <v>1.0780133729519026E-2</v>
      </c>
      <c r="L202" s="2">
        <f t="shared" si="132"/>
        <v>3.5508038083346342E-2</v>
      </c>
      <c r="W202">
        <v>81463</v>
      </c>
    </row>
    <row r="203" spans="1:23" x14ac:dyDescent="0.3">
      <c r="A203" s="1" cm="1">
        <f t="array" ref="A203">IF(OR(B203:G203=""), "", A202 + 1)</f>
        <v>44108</v>
      </c>
      <c r="B203">
        <f t="shared" si="126"/>
        <v>84678</v>
      </c>
      <c r="C203" s="11">
        <f t="shared" si="127"/>
        <v>3.1362222222222222E-2</v>
      </c>
      <c r="D203" s="2">
        <f t="shared" si="128"/>
        <v>2.925465764944235E-3</v>
      </c>
      <c r="E203" s="18">
        <f t="shared" si="133"/>
        <v>-0.47502877087942774</v>
      </c>
      <c r="F203">
        <f t="shared" si="125"/>
        <v>247</v>
      </c>
      <c r="G203">
        <v>2976</v>
      </c>
      <c r="H203">
        <f t="shared" si="110"/>
        <v>8</v>
      </c>
      <c r="I203">
        <v>1211976</v>
      </c>
      <c r="J203">
        <f t="shared" si="130"/>
        <v>10494</v>
      </c>
      <c r="K203" s="2">
        <f t="shared" si="131"/>
        <v>8.7342132466403655E-3</v>
      </c>
      <c r="L203" s="2">
        <f t="shared" si="132"/>
        <v>2.3537259386315991E-2</v>
      </c>
      <c r="W203">
        <v>81702</v>
      </c>
    </row>
    <row r="204" spans="1:23" x14ac:dyDescent="0.3">
      <c r="A204" s="1" cm="1">
        <f t="array" ref="A204">IF(OR(B204:G204=""), "", A203 + 1)</f>
        <v>44109</v>
      </c>
      <c r="B204">
        <f t="shared" si="126"/>
        <v>85017</v>
      </c>
      <c r="C204" s="11">
        <f t="shared" si="127"/>
        <v>3.1487777777777781E-2</v>
      </c>
      <c r="D204" s="2">
        <f t="shared" si="128"/>
        <v>4.0034011195351216E-3</v>
      </c>
      <c r="E204" s="18">
        <f t="shared" si="133"/>
        <v>-0.23794234904483219</v>
      </c>
      <c r="F204">
        <f t="shared" si="125"/>
        <v>339</v>
      </c>
      <c r="G204">
        <v>2976</v>
      </c>
      <c r="H204">
        <f t="shared" si="110"/>
        <v>0</v>
      </c>
      <c r="I204">
        <v>1220368</v>
      </c>
      <c r="J204">
        <f t="shared" si="130"/>
        <v>8392</v>
      </c>
      <c r="K204" s="2">
        <f t="shared" si="131"/>
        <v>6.9242295226967787E-3</v>
      </c>
      <c r="L204" s="2">
        <f t="shared" si="132"/>
        <v>4.0395614871306003E-2</v>
      </c>
      <c r="W204">
        <v>82041</v>
      </c>
    </row>
    <row r="205" spans="1:23" x14ac:dyDescent="0.3">
      <c r="A205" s="1" cm="1">
        <f t="array" ref="A205">IF(OR(B205:G205=""), "", A204 + 1)</f>
        <v>44110</v>
      </c>
      <c r="B205">
        <f t="shared" si="126"/>
        <v>85212</v>
      </c>
      <c r="C205" s="11">
        <f t="shared" si="127"/>
        <v>3.1559999999999998E-2</v>
      </c>
      <c r="D205" s="2">
        <f t="shared" si="128"/>
        <v>2.2936589152757758E-3</v>
      </c>
      <c r="E205" s="18">
        <f t="shared" si="133"/>
        <v>-0.47834402069348586</v>
      </c>
      <c r="F205">
        <f t="shared" si="125"/>
        <v>195</v>
      </c>
      <c r="G205">
        <v>2979</v>
      </c>
      <c r="H205">
        <f t="shared" si="110"/>
        <v>3</v>
      </c>
      <c r="I205">
        <v>1228789</v>
      </c>
      <c r="J205">
        <f t="shared" si="130"/>
        <v>8421</v>
      </c>
      <c r="K205" s="2">
        <f t="shared" si="131"/>
        <v>6.9003775910216891E-3</v>
      </c>
      <c r="L205" s="2">
        <f t="shared" si="132"/>
        <v>2.3156394727467045E-2</v>
      </c>
      <c r="W205">
        <v>82233</v>
      </c>
    </row>
    <row r="206" spans="1:23" x14ac:dyDescent="0.3">
      <c r="A206" s="1" cm="1">
        <f t="array" ref="A206">IF(OR(B206:G206=""), "", A205 + 1)</f>
        <v>44111</v>
      </c>
      <c r="B206">
        <f t="shared" si="126"/>
        <v>85540</v>
      </c>
      <c r="C206" s="11">
        <f t="shared" si="127"/>
        <v>3.1681481481481484E-2</v>
      </c>
      <c r="D206" s="2">
        <f t="shared" si="128"/>
        <v>3.8492231141153965E-3</v>
      </c>
      <c r="E206" s="18">
        <f t="shared" si="133"/>
        <v>-0.14423267578565832</v>
      </c>
      <c r="F206">
        <f t="shared" si="125"/>
        <v>328</v>
      </c>
      <c r="G206">
        <v>2983</v>
      </c>
      <c r="H206">
        <f t="shared" si="110"/>
        <v>4</v>
      </c>
      <c r="I206">
        <v>1235382</v>
      </c>
      <c r="J206">
        <f t="shared" si="130"/>
        <v>6593</v>
      </c>
      <c r="K206" s="2">
        <f t="shared" si="131"/>
        <v>5.365445165931737E-3</v>
      </c>
      <c r="L206" s="2">
        <f t="shared" si="132"/>
        <v>4.9749734566964965E-2</v>
      </c>
      <c r="W206">
        <v>82557</v>
      </c>
    </row>
    <row r="207" spans="1:23" x14ac:dyDescent="0.3">
      <c r="A207" s="1" cm="1">
        <f t="array" ref="A207">IF(OR(B207:G207=""), "", A206 + 1)</f>
        <v>44112</v>
      </c>
      <c r="B207">
        <f t="shared" si="126"/>
        <v>86053</v>
      </c>
      <c r="C207" s="11">
        <f t="shared" si="127"/>
        <v>3.187148148148148E-2</v>
      </c>
      <c r="D207" s="2">
        <f t="shared" si="128"/>
        <v>5.9971942950667323E-3</v>
      </c>
      <c r="E207" s="18">
        <f t="shared" si="133"/>
        <v>-0.1987333253637856</v>
      </c>
      <c r="F207">
        <f t="shared" si="125"/>
        <v>513</v>
      </c>
      <c r="G207">
        <v>2983</v>
      </c>
      <c r="H207">
        <f t="shared" si="110"/>
        <v>0</v>
      </c>
      <c r="I207">
        <v>1247090</v>
      </c>
      <c r="J207">
        <f t="shared" si="130"/>
        <v>11708</v>
      </c>
      <c r="K207" s="2">
        <f t="shared" si="131"/>
        <v>9.4772305246473287E-3</v>
      </c>
      <c r="L207" s="2">
        <f t="shared" si="132"/>
        <v>4.3816194055346772E-2</v>
      </c>
      <c r="W207">
        <v>83070</v>
      </c>
    </row>
    <row r="208" spans="1:23" x14ac:dyDescent="0.3">
      <c r="A208" s="1" cm="1">
        <f t="array" ref="A208">IF(OR(B208:G208=""), "", A207 + 1)</f>
        <v>44113</v>
      </c>
      <c r="B208">
        <f t="shared" si="126"/>
        <v>86497</v>
      </c>
      <c r="C208" s="11">
        <f t="shared" si="127"/>
        <v>3.2035925925925926E-2</v>
      </c>
      <c r="D208" s="2">
        <f t="shared" si="128"/>
        <v>5.1596109374454358E-3</v>
      </c>
      <c r="E208" s="18">
        <f t="shared" si="133"/>
        <v>-0.30247876589082662</v>
      </c>
      <c r="F208">
        <f t="shared" si="125"/>
        <v>444</v>
      </c>
      <c r="G208">
        <v>2987</v>
      </c>
      <c r="H208">
        <f t="shared" si="110"/>
        <v>4</v>
      </c>
      <c r="I208">
        <v>1260002</v>
      </c>
      <c r="J208">
        <f t="shared" si="130"/>
        <v>12912</v>
      </c>
      <c r="K208" s="2">
        <f t="shared" si="131"/>
        <v>1.0353703421565497E-2</v>
      </c>
      <c r="L208" s="2">
        <f t="shared" si="132"/>
        <v>3.4386617100371747E-2</v>
      </c>
      <c r="W208">
        <v>83510</v>
      </c>
    </row>
    <row r="209" spans="1:23" x14ac:dyDescent="0.3">
      <c r="A209" s="1" cm="1">
        <f t="array" ref="A209">IF(OR(B209:G209=""), "", A208 + 1)</f>
        <v>44114</v>
      </c>
      <c r="B209">
        <f t="shared" si="126"/>
        <v>87075</v>
      </c>
      <c r="C209" s="11">
        <f t="shared" si="127"/>
        <v>3.2250000000000001E-2</v>
      </c>
      <c r="D209" s="2">
        <f t="shared" si="128"/>
        <v>6.6823126813646549E-3</v>
      </c>
      <c r="E209" s="18">
        <f t="shared" si="133"/>
        <v>-0.18136873404329609</v>
      </c>
      <c r="F209">
        <f t="shared" si="125"/>
        <v>578</v>
      </c>
      <c r="G209">
        <v>2990</v>
      </c>
      <c r="H209">
        <f t="shared" si="110"/>
        <v>3</v>
      </c>
      <c r="I209">
        <v>1272786</v>
      </c>
      <c r="J209">
        <f t="shared" si="130"/>
        <v>12784</v>
      </c>
      <c r="K209" s="2">
        <f t="shared" si="131"/>
        <v>1.0146015641244954E-2</v>
      </c>
      <c r="L209" s="2">
        <f t="shared" si="132"/>
        <v>4.5212765957446811E-2</v>
      </c>
      <c r="W209">
        <v>84085</v>
      </c>
    </row>
    <row r="210" spans="1:23" x14ac:dyDescent="0.3">
      <c r="A210" s="1" cm="1">
        <f t="array" ref="A210">IF(OR(B210:G210=""), "", A209 + 1)</f>
        <v>44115</v>
      </c>
      <c r="B210">
        <f t="shared" si="126"/>
        <v>87637</v>
      </c>
      <c r="C210" s="11">
        <f t="shared" si="127"/>
        <v>3.2458148148148146E-2</v>
      </c>
      <c r="D210" s="2">
        <f t="shared" si="128"/>
        <v>6.4542061441286158E-3</v>
      </c>
      <c r="E210" s="18">
        <f t="shared" si="133"/>
        <v>-0.23652636796597432</v>
      </c>
      <c r="F210">
        <f t="shared" si="125"/>
        <v>562</v>
      </c>
      <c r="G210">
        <v>2990</v>
      </c>
      <c r="H210">
        <f t="shared" si="110"/>
        <v>0</v>
      </c>
      <c r="I210">
        <v>1286948</v>
      </c>
      <c r="J210">
        <f t="shared" ref="J210:J211" si="134">I210 - I209</f>
        <v>14162</v>
      </c>
      <c r="K210" s="2">
        <f t="shared" ref="K210:K211" si="135">I210/I209 - 1</f>
        <v>1.1126772293221343E-2</v>
      </c>
      <c r="L210" s="2">
        <f t="shared" ref="L210:L211" si="136">(B210 - B209)/(I210 - I209)</f>
        <v>3.9683660499929385E-2</v>
      </c>
      <c r="W210">
        <v>84647</v>
      </c>
    </row>
    <row r="211" spans="1:23" x14ac:dyDescent="0.3">
      <c r="A211" s="1" cm="1">
        <f t="array" ref="A211">IF(OR(B211:G211=""), "", A210 + 1)</f>
        <v>44116</v>
      </c>
      <c r="B211">
        <f t="shared" si="126"/>
        <v>88144</v>
      </c>
      <c r="C211" s="11">
        <f t="shared" si="127"/>
        <v>3.2645925925925925E-2</v>
      </c>
      <c r="D211" s="2">
        <f t="shared" si="128"/>
        <v>5.7852277006287256E-3</v>
      </c>
      <c r="E211" s="18">
        <f t="shared" si="133"/>
        <v>-0.16442798741680206</v>
      </c>
      <c r="F211">
        <f t="shared" si="125"/>
        <v>507</v>
      </c>
      <c r="G211">
        <v>2991</v>
      </c>
      <c r="H211">
        <f t="shared" si="110"/>
        <v>1</v>
      </c>
      <c r="I211">
        <v>1297820</v>
      </c>
      <c r="J211">
        <f t="shared" si="134"/>
        <v>10872</v>
      </c>
      <c r="K211" s="2">
        <f t="shared" si="135"/>
        <v>8.4478937765939399E-3</v>
      </c>
      <c r="L211" s="2">
        <f t="shared" si="136"/>
        <v>4.6633554083885212E-2</v>
      </c>
      <c r="W211">
        <v>85153</v>
      </c>
    </row>
    <row r="212" spans="1:23" x14ac:dyDescent="0.3">
      <c r="A212" s="1" cm="1">
        <f t="array" ref="A212">IF(OR(B212:G212=""), "", A211 + 1)</f>
        <v>44117</v>
      </c>
      <c r="B212">
        <f t="shared" si="126"/>
        <v>88635</v>
      </c>
      <c r="C212" s="11">
        <f t="shared" si="127"/>
        <v>3.2827777777777775E-2</v>
      </c>
      <c r="D212" s="2">
        <f t="shared" si="128"/>
        <v>5.5704302051189369E-3</v>
      </c>
      <c r="E212" s="18">
        <f t="shared" si="133"/>
        <v>-0.16390219760522987</v>
      </c>
      <c r="F212">
        <f t="shared" si="125"/>
        <v>491</v>
      </c>
      <c r="G212">
        <v>2995</v>
      </c>
      <c r="H212">
        <f t="shared" si="110"/>
        <v>4</v>
      </c>
      <c r="I212">
        <v>1308364</v>
      </c>
      <c r="J212">
        <f t="shared" si="130"/>
        <v>10544</v>
      </c>
      <c r="K212" s="2">
        <f t="shared" si="131"/>
        <v>8.1243932132344376E-3</v>
      </c>
      <c r="L212" s="2">
        <f t="shared" si="132"/>
        <v>4.656676783004552E-2</v>
      </c>
      <c r="W212">
        <v>85640</v>
      </c>
    </row>
    <row r="213" spans="1:23" x14ac:dyDescent="0.3">
      <c r="A213" s="1" cm="1">
        <f t="array" ref="A213">IF(OR(B213:G213=""), "", A212 + 1)</f>
        <v>44118</v>
      </c>
      <c r="B213">
        <f t="shared" si="126"/>
        <v>89091</v>
      </c>
      <c r="C213" s="11">
        <f t="shared" si="127"/>
        <v>3.2996666666666667E-2</v>
      </c>
      <c r="D213" s="2">
        <f t="shared" si="128"/>
        <v>5.1446945337620953E-3</v>
      </c>
      <c r="E213" s="18">
        <f t="shared" si="133"/>
        <v>-9.4221983701636827E-2</v>
      </c>
      <c r="F213">
        <f t="shared" si="125"/>
        <v>456</v>
      </c>
      <c r="G213">
        <v>2999</v>
      </c>
      <c r="H213">
        <f t="shared" si="110"/>
        <v>4</v>
      </c>
      <c r="I213">
        <v>1316726</v>
      </c>
      <c r="J213">
        <f t="shared" si="130"/>
        <v>8362</v>
      </c>
      <c r="K213" s="2">
        <f t="shared" si="131"/>
        <v>6.3911877734330602E-3</v>
      </c>
      <c r="L213" s="2">
        <f t="shared" si="132"/>
        <v>5.4532408514709398E-2</v>
      </c>
      <c r="W213">
        <v>86092</v>
      </c>
    </row>
    <row r="214" spans="1:23" x14ac:dyDescent="0.3">
      <c r="A214" s="1" cm="1">
        <f t="array" ref="A214">IF(OR(B214:G214=""), "", A213 + 1)</f>
        <v>44119</v>
      </c>
      <c r="B214">
        <f t="shared" si="126"/>
        <v>89804</v>
      </c>
      <c r="C214" s="11">
        <f t="shared" si="127"/>
        <v>3.3260740740740743E-2</v>
      </c>
      <c r="D214" s="2">
        <f t="shared" si="128"/>
        <v>8.0030530581092219E-3</v>
      </c>
      <c r="E214" s="18">
        <f t="shared" si="133"/>
        <v>8.2035450458061571E-2</v>
      </c>
      <c r="F214">
        <f t="shared" si="125"/>
        <v>713</v>
      </c>
      <c r="G214">
        <v>3003</v>
      </c>
      <c r="H214">
        <f t="shared" si="110"/>
        <v>4</v>
      </c>
      <c r="I214">
        <v>1325450</v>
      </c>
      <c r="J214">
        <f t="shared" si="130"/>
        <v>8724</v>
      </c>
      <c r="K214" s="2">
        <f t="shared" si="131"/>
        <v>6.6255242168833384E-3</v>
      </c>
      <c r="L214" s="2">
        <f t="shared" si="132"/>
        <v>8.1728564878496099E-2</v>
      </c>
      <c r="W214">
        <v>86801</v>
      </c>
    </row>
    <row r="215" spans="1:23" x14ac:dyDescent="0.3">
      <c r="A215" s="1" cm="1">
        <f t="array" ref="A215">IF(OR(B215:G215=""), "", A214 + 1)</f>
        <v>44120</v>
      </c>
      <c r="B215">
        <f t="shared" si="126"/>
        <v>90582</v>
      </c>
      <c r="C215" s="11">
        <f t="shared" si="127"/>
        <v>3.3548888888888892E-2</v>
      </c>
      <c r="D215" s="2">
        <f t="shared" si="128"/>
        <v>8.6633112110818811E-3</v>
      </c>
      <c r="E215" s="18">
        <f t="shared" si="133"/>
        <v>-0.10439481995098555</v>
      </c>
      <c r="F215">
        <f t="shared" si="125"/>
        <v>778</v>
      </c>
      <c r="G215">
        <v>3007</v>
      </c>
      <c r="H215">
        <f t="shared" si="110"/>
        <v>4</v>
      </c>
      <c r="I215">
        <v>1340053</v>
      </c>
      <c r="J215">
        <f t="shared" si="130"/>
        <v>14603</v>
      </c>
      <c r="K215" s="2">
        <f t="shared" si="131"/>
        <v>1.1017390320268605E-2</v>
      </c>
      <c r="L215" s="2">
        <f t="shared" si="132"/>
        <v>5.3276723960829969E-2</v>
      </c>
      <c r="W215">
        <v>87575</v>
      </c>
    </row>
    <row r="216" spans="1:23" x14ac:dyDescent="0.3">
      <c r="A216" s="1" cm="1">
        <f t="array" ref="A216">IF(OR(B216:G216=""), "", A215 + 1)</f>
        <v>44121</v>
      </c>
      <c r="B216">
        <f t="shared" si="126"/>
        <v>91473</v>
      </c>
      <c r="C216" s="11">
        <f t="shared" si="127"/>
        <v>3.3878888888888889E-2</v>
      </c>
      <c r="D216" s="2">
        <f t="shared" si="128"/>
        <v>9.8363913360270949E-3</v>
      </c>
      <c r="E216" s="18">
        <f t="shared" si="133"/>
        <v>-4.3471969352972817E-2</v>
      </c>
      <c r="F216">
        <f t="shared" si="125"/>
        <v>891</v>
      </c>
      <c r="G216">
        <v>3013</v>
      </c>
      <c r="H216">
        <f t="shared" si="110"/>
        <v>6</v>
      </c>
      <c r="I216">
        <v>1354622</v>
      </c>
      <c r="J216">
        <f t="shared" si="130"/>
        <v>14569</v>
      </c>
      <c r="K216" s="2">
        <f t="shared" si="131"/>
        <v>1.0871958049420538E-2</v>
      </c>
      <c r="L216" s="2">
        <f t="shared" si="132"/>
        <v>6.1157251698812545E-2</v>
      </c>
      <c r="W216">
        <v>88460</v>
      </c>
    </row>
    <row r="217" spans="1:23" x14ac:dyDescent="0.3">
      <c r="A217" s="1" cm="1">
        <f t="array" ref="A217">IF(OR(B217:G217=""), "", A216 + 1)</f>
        <v>44122</v>
      </c>
      <c r="B217">
        <f t="shared" si="126"/>
        <v>92408</v>
      </c>
      <c r="C217" s="11">
        <f t="shared" si="127"/>
        <v>3.4225185185185185E-2</v>
      </c>
      <c r="D217" s="2">
        <f t="shared" si="128"/>
        <v>1.0221595443464127E-2</v>
      </c>
      <c r="E217" s="18">
        <f t="shared" si="133"/>
        <v>-8.1015426489243175E-2</v>
      </c>
      <c r="F217">
        <f t="shared" si="125"/>
        <v>935</v>
      </c>
      <c r="G217">
        <v>3016</v>
      </c>
      <c r="H217">
        <f t="shared" si="110"/>
        <v>3</v>
      </c>
      <c r="I217">
        <v>1371308</v>
      </c>
      <c r="J217">
        <f t="shared" si="130"/>
        <v>16686</v>
      </c>
      <c r="K217" s="2">
        <f t="shared" si="131"/>
        <v>1.2317827408679261E-2</v>
      </c>
      <c r="L217" s="2">
        <f t="shared" si="132"/>
        <v>5.6034999400695194E-2</v>
      </c>
      <c r="W217">
        <v>89392</v>
      </c>
    </row>
    <row r="218" spans="1:23" x14ac:dyDescent="0.3">
      <c r="A218" s="1" cm="1">
        <f t="array" ref="A218">IF(OR(B218:G218=""), "", A217 + 1)</f>
        <v>44123</v>
      </c>
      <c r="B218">
        <f t="shared" si="126"/>
        <v>92975</v>
      </c>
      <c r="C218" s="11">
        <f t="shared" si="127"/>
        <v>3.4435185185185187E-2</v>
      </c>
      <c r="D218" s="2">
        <f t="shared" si="128"/>
        <v>6.1358323954636695E-3</v>
      </c>
      <c r="E218" s="18">
        <f t="shared" si="133"/>
        <v>-0.12389920381353681</v>
      </c>
      <c r="F218">
        <f t="shared" si="125"/>
        <v>567</v>
      </c>
      <c r="G218">
        <v>3017</v>
      </c>
      <c r="H218">
        <f t="shared" si="110"/>
        <v>1</v>
      </c>
      <c r="I218">
        <v>1382500</v>
      </c>
      <c r="J218">
        <f t="shared" si="130"/>
        <v>11192</v>
      </c>
      <c r="K218" s="2">
        <f t="shared" si="131"/>
        <v>8.1615508696806227E-3</v>
      </c>
      <c r="L218" s="2">
        <f t="shared" si="132"/>
        <v>5.0661186561829878E-2</v>
      </c>
      <c r="W218">
        <v>89958</v>
      </c>
    </row>
    <row r="219" spans="1:23" x14ac:dyDescent="0.3">
      <c r="A219" s="1" cm="1">
        <f t="array" ref="A219">IF(OR(B219:G219=""), "", A218 + 1)</f>
        <v>44124</v>
      </c>
      <c r="B219">
        <f t="shared" si="126"/>
        <v>93519</v>
      </c>
      <c r="C219" s="11">
        <f t="shared" si="127"/>
        <v>3.463666666666667E-2</v>
      </c>
      <c r="D219" s="2">
        <f t="shared" si="128"/>
        <v>5.8510352245226827E-3</v>
      </c>
      <c r="E219" s="18">
        <f t="shared" si="133"/>
        <v>-0.11163383188735154</v>
      </c>
      <c r="F219">
        <f t="shared" si="125"/>
        <v>544</v>
      </c>
      <c r="G219">
        <v>3019</v>
      </c>
      <c r="H219">
        <f t="shared" si="110"/>
        <v>2</v>
      </c>
      <c r="I219">
        <v>1392960</v>
      </c>
      <c r="J219">
        <f t="shared" si="130"/>
        <v>10460</v>
      </c>
      <c r="K219" s="2">
        <f t="shared" si="131"/>
        <v>7.5660036166365074E-3</v>
      </c>
      <c r="L219" s="2">
        <f t="shared" si="132"/>
        <v>5.2007648183556403E-2</v>
      </c>
      <c r="W219">
        <v>90500</v>
      </c>
    </row>
    <row r="220" spans="1:23" x14ac:dyDescent="0.3">
      <c r="A220" s="1" cm="1">
        <f t="array" ref="A220">IF(OR(B220:G220=""), "", A219 + 1)</f>
        <v>44125</v>
      </c>
      <c r="B220">
        <f t="shared" si="126"/>
        <v>94431</v>
      </c>
      <c r="C220" s="11">
        <f t="shared" si="127"/>
        <v>3.4974444444444447E-2</v>
      </c>
      <c r="D220" s="2">
        <f t="shared" si="128"/>
        <v>9.7520289994545983E-3</v>
      </c>
      <c r="E220" s="18">
        <f t="shared" si="133"/>
        <v>0.14145317236984892</v>
      </c>
      <c r="F220">
        <f t="shared" si="125"/>
        <v>912</v>
      </c>
      <c r="G220">
        <v>3025</v>
      </c>
      <c r="H220">
        <f t="shared" si="110"/>
        <v>6</v>
      </c>
      <c r="I220">
        <v>1402768</v>
      </c>
      <c r="J220">
        <f t="shared" si="130"/>
        <v>9808</v>
      </c>
      <c r="K220" s="2">
        <f t="shared" si="131"/>
        <v>7.041121065931577E-3</v>
      </c>
      <c r="L220" s="2">
        <f t="shared" si="132"/>
        <v>9.2985318107667206E-2</v>
      </c>
      <c r="W220">
        <v>91406</v>
      </c>
    </row>
    <row r="221" spans="1:23" x14ac:dyDescent="0.3">
      <c r="A221" s="1" cm="1">
        <f t="array" ref="A221">IF(OR(B221:G221=""), "", A220 + 1)</f>
        <v>44126</v>
      </c>
      <c r="B221">
        <f t="shared" si="126"/>
        <v>95460</v>
      </c>
      <c r="C221" s="11">
        <f t="shared" si="127"/>
        <v>3.5355555555555557E-2</v>
      </c>
      <c r="D221" s="2">
        <f t="shared" si="128"/>
        <v>1.089684531562729E-2</v>
      </c>
      <c r="E221" s="18">
        <f t="shared" si="133"/>
        <v>3.3070057307902995E-2</v>
      </c>
      <c r="F221">
        <f t="shared" si="125"/>
        <v>1029</v>
      </c>
      <c r="G221">
        <v>3029</v>
      </c>
      <c r="H221">
        <f t="shared" si="110"/>
        <v>4</v>
      </c>
      <c r="I221">
        <v>1416933</v>
      </c>
      <c r="J221">
        <f t="shared" si="130"/>
        <v>14165</v>
      </c>
      <c r="K221" s="2">
        <f t="shared" si="131"/>
        <v>1.0097892167485911E-2</v>
      </c>
      <c r="L221" s="2">
        <f t="shared" si="132"/>
        <v>7.2643840451817862E-2</v>
      </c>
      <c r="W221">
        <v>92431</v>
      </c>
    </row>
    <row r="222" spans="1:23" x14ac:dyDescent="0.3">
      <c r="A222" s="1" cm="1">
        <f t="array" ref="A222">IF(OR(B222:G222=""), "", A221 + 1)</f>
        <v>44127</v>
      </c>
      <c r="B222">
        <f t="shared" si="126"/>
        <v>96263</v>
      </c>
      <c r="C222" s="11">
        <f t="shared" si="127"/>
        <v>3.5652962962962963E-2</v>
      </c>
      <c r="D222" s="2">
        <f t="shared" si="128"/>
        <v>8.4119002723654912E-3</v>
      </c>
      <c r="E222" s="18">
        <f t="shared" si="133"/>
        <v>-0.11093874736696067</v>
      </c>
      <c r="F222">
        <f t="shared" si="125"/>
        <v>803</v>
      </c>
      <c r="G222">
        <v>3029</v>
      </c>
      <c r="H222">
        <f t="shared" si="110"/>
        <v>0</v>
      </c>
      <c r="I222">
        <v>1432321</v>
      </c>
      <c r="J222">
        <f t="shared" si="130"/>
        <v>15388</v>
      </c>
      <c r="K222" s="2">
        <f t="shared" si="131"/>
        <v>1.0860075952779713E-2</v>
      </c>
      <c r="L222" s="2">
        <f t="shared" si="132"/>
        <v>5.2183519625682351E-2</v>
      </c>
      <c r="W222">
        <v>93234</v>
      </c>
    </row>
    <row r="223" spans="1:23" x14ac:dyDescent="0.3">
      <c r="A223" s="1" cm="1">
        <f t="array" ref="A223">IF(OR(B223:G223=""), "", A222 + 1)</f>
        <v>44128</v>
      </c>
      <c r="B223">
        <f t="shared" si="126"/>
        <v>97451</v>
      </c>
      <c r="C223" s="11">
        <f t="shared" si="127"/>
        <v>3.6092962962962966E-2</v>
      </c>
      <c r="D223" s="2">
        <f t="shared" si="128"/>
        <v>1.2341190280793279E-2</v>
      </c>
      <c r="E223" s="18">
        <f t="shared" si="133"/>
        <v>9.9628361596082474E-2</v>
      </c>
      <c r="F223">
        <f t="shared" si="125"/>
        <v>1188</v>
      </c>
      <c r="G223">
        <v>3035</v>
      </c>
      <c r="H223">
        <f t="shared" si="110"/>
        <v>6</v>
      </c>
      <c r="I223">
        <v>1446374</v>
      </c>
      <c r="J223">
        <f t="shared" si="130"/>
        <v>14053</v>
      </c>
      <c r="K223" s="2">
        <f t="shared" si="131"/>
        <v>9.8113481544988002E-3</v>
      </c>
      <c r="L223" s="2">
        <f t="shared" si="132"/>
        <v>8.4537109513982786E-2</v>
      </c>
      <c r="W223">
        <v>94416</v>
      </c>
    </row>
    <row r="224" spans="1:23" x14ac:dyDescent="0.3">
      <c r="A224" s="1" cm="1">
        <f t="array" ref="A224">IF(OR(B224:G224=""), "", A223 + 1)</f>
        <v>44129</v>
      </c>
      <c r="B224">
        <f t="shared" si="126"/>
        <v>98504</v>
      </c>
      <c r="C224" s="11">
        <f t="shared" si="127"/>
        <v>3.648296296296296E-2</v>
      </c>
      <c r="D224" s="2">
        <f t="shared" si="128"/>
        <v>1.0805430421442663E-2</v>
      </c>
      <c r="E224" s="18">
        <f t="shared" si="133"/>
        <v>3.7161579189848873E-2</v>
      </c>
      <c r="F224">
        <f t="shared" si="125"/>
        <v>1053</v>
      </c>
      <c r="G224">
        <v>3041</v>
      </c>
      <c r="H224">
        <f t="shared" si="110"/>
        <v>6</v>
      </c>
      <c r="I224">
        <v>1460721</v>
      </c>
      <c r="J224">
        <f t="shared" si="130"/>
        <v>14347</v>
      </c>
      <c r="K224" s="2">
        <f t="shared" si="131"/>
        <v>9.9192878190563771E-3</v>
      </c>
      <c r="L224" s="2">
        <f t="shared" si="132"/>
        <v>7.3395134871401688E-2</v>
      </c>
      <c r="W224">
        <v>95463</v>
      </c>
    </row>
    <row r="225" spans="1:23" x14ac:dyDescent="0.3">
      <c r="A225" s="1" cm="1">
        <f t="array" ref="A225">IF(OR(B225:G225=""), "", A224 + 1)</f>
        <v>44130</v>
      </c>
      <c r="B225">
        <f t="shared" si="126"/>
        <v>99438</v>
      </c>
      <c r="C225" s="11">
        <f t="shared" si="127"/>
        <v>3.682888888888889E-2</v>
      </c>
      <c r="D225" s="2">
        <f t="shared" si="128"/>
        <v>9.4818484528547131E-3</v>
      </c>
      <c r="E225" s="18">
        <f t="shared" si="133"/>
        <v>3.1274755283834839E-2</v>
      </c>
      <c r="F225">
        <f t="shared" si="125"/>
        <v>934</v>
      </c>
      <c r="G225">
        <v>3049</v>
      </c>
      <c r="H225">
        <f t="shared" si="110"/>
        <v>8</v>
      </c>
      <c r="I225">
        <v>1473609</v>
      </c>
      <c r="J225">
        <f t="shared" si="130"/>
        <v>12888</v>
      </c>
      <c r="K225" s="2">
        <f t="shared" si="131"/>
        <v>8.8230401288131866E-3</v>
      </c>
      <c r="L225" s="2">
        <f t="shared" si="132"/>
        <v>7.2470515207945382E-2</v>
      </c>
      <c r="W225">
        <v>96389</v>
      </c>
    </row>
    <row r="226" spans="1:23" x14ac:dyDescent="0.3">
      <c r="A226" s="1" cm="1">
        <f t="array" ref="A226">IF(OR(B226:G226=""), "", A225 + 1)</f>
        <v>44131</v>
      </c>
      <c r="B226">
        <f t="shared" si="126"/>
        <v>100093</v>
      </c>
      <c r="C226" s="11">
        <f t="shared" si="127"/>
        <v>3.7071481481481483E-2</v>
      </c>
      <c r="D226" s="2">
        <f t="shared" si="128"/>
        <v>6.5870190470442846E-3</v>
      </c>
      <c r="E226" s="18">
        <f t="shared" si="133"/>
        <v>-6.5853499162474946E-2</v>
      </c>
      <c r="F226">
        <f t="shared" si="125"/>
        <v>655</v>
      </c>
      <c r="G226">
        <v>3052</v>
      </c>
      <c r="H226">
        <f t="shared" si="110"/>
        <v>3</v>
      </c>
      <c r="I226">
        <v>1484905</v>
      </c>
      <c r="J226">
        <f t="shared" si="130"/>
        <v>11296</v>
      </c>
      <c r="K226" s="2">
        <f t="shared" si="131"/>
        <v>7.6655340731497379E-3</v>
      </c>
      <c r="L226" s="2">
        <f t="shared" si="132"/>
        <v>5.7985127478753541E-2</v>
      </c>
      <c r="W226">
        <v>97041</v>
      </c>
    </row>
    <row r="227" spans="1:23" x14ac:dyDescent="0.3">
      <c r="A227" s="1" cm="1">
        <f t="array" ref="A227">IF(OR(B227:G227=""), "", A226 + 1)</f>
        <v>44132</v>
      </c>
      <c r="B227">
        <f t="shared" si="126"/>
        <v>101098</v>
      </c>
      <c r="C227" s="11">
        <f t="shared" si="127"/>
        <v>3.7443703703703701E-2</v>
      </c>
      <c r="D227" s="2">
        <f t="shared" si="128"/>
        <v>1.0040662184168658E-2</v>
      </c>
      <c r="E227" s="18">
        <f t="shared" si="133"/>
        <v>0.16231366442265663</v>
      </c>
      <c r="F227">
        <f t="shared" si="125"/>
        <v>1005</v>
      </c>
      <c r="G227">
        <v>3058</v>
      </c>
      <c r="H227">
        <f t="shared" si="110"/>
        <v>6</v>
      </c>
      <c r="I227">
        <v>1495165</v>
      </c>
      <c r="J227">
        <f t="shared" si="130"/>
        <v>10260</v>
      </c>
      <c r="K227" s="2">
        <f t="shared" si="131"/>
        <v>6.9095329330832733E-3</v>
      </c>
      <c r="L227" s="2">
        <f t="shared" si="132"/>
        <v>9.7953216374269E-2</v>
      </c>
      <c r="W227">
        <v>98040</v>
      </c>
    </row>
    <row r="228" spans="1:23" x14ac:dyDescent="0.3">
      <c r="A228" s="1" cm="1">
        <f t="array" ref="A228">IF(OR(B228:G228=""), "", A227 + 1)</f>
        <v>44133</v>
      </c>
      <c r="B228">
        <f t="shared" si="126"/>
        <v>102511</v>
      </c>
      <c r="C228" s="11">
        <f t="shared" si="127"/>
        <v>3.7967037037037035E-2</v>
      </c>
      <c r="D228" s="2">
        <f t="shared" si="128"/>
        <v>1.3976537616965823E-2</v>
      </c>
      <c r="E228" s="18">
        <f t="shared" si="133"/>
        <v>0.25093883006062268</v>
      </c>
      <c r="F228">
        <f t="shared" si="125"/>
        <v>1413</v>
      </c>
      <c r="G228">
        <v>3066</v>
      </c>
      <c r="H228">
        <f t="shared" si="110"/>
        <v>8</v>
      </c>
      <c r="I228">
        <v>1506891</v>
      </c>
      <c r="J228">
        <f t="shared" si="130"/>
        <v>11726</v>
      </c>
      <c r="K228" s="2">
        <f t="shared" si="131"/>
        <v>7.8426126882318314E-3</v>
      </c>
      <c r="L228" s="2">
        <f t="shared" si="132"/>
        <v>0.12050144976974245</v>
      </c>
      <c r="W228">
        <v>99445</v>
      </c>
    </row>
    <row r="229" spans="1:23" x14ac:dyDescent="0.3">
      <c r="A229" s="1" cm="1">
        <f t="array" ref="A229">IF(OR(B229:G229=""), "", A228 + 1)</f>
        <v>44134</v>
      </c>
      <c r="B229">
        <f t="shared" si="126"/>
        <v>104020</v>
      </c>
      <c r="C229" s="11">
        <f t="shared" si="127"/>
        <v>3.8525925925925929E-2</v>
      </c>
      <c r="D229" s="2">
        <f t="shared" si="128"/>
        <v>1.4720371472329852E-2</v>
      </c>
      <c r="E229" s="18">
        <f t="shared" si="133"/>
        <v>8.2696008420739209E-2</v>
      </c>
      <c r="F229">
        <f t="shared" si="125"/>
        <v>1509</v>
      </c>
      <c r="G229">
        <v>3068</v>
      </c>
      <c r="H229">
        <f t="shared" si="110"/>
        <v>2</v>
      </c>
      <c r="I229">
        <v>1525227</v>
      </c>
      <c r="J229">
        <f t="shared" si="130"/>
        <v>18336</v>
      </c>
      <c r="K229" s="2">
        <f t="shared" si="131"/>
        <v>1.216809974974975E-2</v>
      </c>
      <c r="L229" s="2">
        <f t="shared" si="132"/>
        <v>8.2297120418848166E-2</v>
      </c>
      <c r="W229">
        <v>100952</v>
      </c>
    </row>
    <row r="230" spans="1:23" x14ac:dyDescent="0.3">
      <c r="A230" s="1" cm="1">
        <f t="array" ref="A230">IF(OR(B230:G230=""), "", A229 + 1)</f>
        <v>44135</v>
      </c>
      <c r="B230">
        <f t="shared" si="126"/>
        <v>105712</v>
      </c>
      <c r="C230" s="11">
        <f t="shared" si="127"/>
        <v>3.9152592592592593E-2</v>
      </c>
      <c r="D230" s="2">
        <f t="shared" si="128"/>
        <v>1.626610267256301E-2</v>
      </c>
      <c r="E230" s="18">
        <f t="shared" si="133"/>
        <v>0.15379427842003315</v>
      </c>
      <c r="F230">
        <f t="shared" si="125"/>
        <v>1692</v>
      </c>
      <c r="G230">
        <v>3074</v>
      </c>
      <c r="H230">
        <f t="shared" si="110"/>
        <v>6</v>
      </c>
      <c r="I230">
        <v>1542638</v>
      </c>
      <c r="J230">
        <f t="shared" si="130"/>
        <v>17411</v>
      </c>
      <c r="K230" s="2">
        <f t="shared" si="131"/>
        <v>1.1415349977413225E-2</v>
      </c>
      <c r="L230" s="2">
        <f t="shared" si="132"/>
        <v>9.717994371374418E-2</v>
      </c>
      <c r="W230">
        <v>102638</v>
      </c>
    </row>
    <row r="231" spans="1:23" x14ac:dyDescent="0.3">
      <c r="A231" s="1" cm="1">
        <f t="array" ref="A231">IF(OR(B231:G231=""), "", A230 + 1)</f>
        <v>44136</v>
      </c>
      <c r="B231">
        <f t="shared" ref="B231:B276" si="137">W231 + G231</f>
        <v>107604</v>
      </c>
      <c r="C231" s="11">
        <f t="shared" ref="C231:C276" si="138">B231/$A$1</f>
        <v>3.9853333333333331E-2</v>
      </c>
      <c r="D231" s="2">
        <f t="shared" ref="D231:D276" si="139">B231/B230 - 1</f>
        <v>1.7897684274254644E-2</v>
      </c>
      <c r="E231" s="18">
        <f t="shared" ref="E231:E276" si="140">IFERROR(LOG(D231/K231), FALSE)</f>
        <v>0.15022522119075138</v>
      </c>
      <c r="F231">
        <f t="shared" ref="F231:F276" si="141">B231 - B230</f>
        <v>1892</v>
      </c>
      <c r="G231">
        <v>3078</v>
      </c>
      <c r="H231">
        <f t="shared" si="110"/>
        <v>4</v>
      </c>
      <c r="I231">
        <v>1562174</v>
      </c>
      <c r="J231">
        <f t="shared" ref="J231:J276" si="142">I231 - I230</f>
        <v>19536</v>
      </c>
      <c r="K231" s="2">
        <f t="shared" ref="K231:K276" si="143">I231/I230 - 1</f>
        <v>1.266402098223951E-2</v>
      </c>
      <c r="L231" s="2">
        <f t="shared" ref="L231:L276" si="144">(B231 - B230)/(I231 - I230)</f>
        <v>9.6846846846846843E-2</v>
      </c>
      <c r="W231">
        <v>104526</v>
      </c>
    </row>
    <row r="232" spans="1:23" x14ac:dyDescent="0.3">
      <c r="A232" s="1" cm="1">
        <f t="array" ref="A232">IF(OR(B232:G232=""), "", A231 + 1)</f>
        <v>44137</v>
      </c>
      <c r="B232">
        <f t="shared" si="137"/>
        <v>109081</v>
      </c>
      <c r="C232" s="11">
        <f t="shared" si="138"/>
        <v>4.0400370370370371E-2</v>
      </c>
      <c r="D232" s="2">
        <f t="shared" si="139"/>
        <v>1.3726255529534326E-2</v>
      </c>
      <c r="E232" s="18">
        <f t="shared" si="140"/>
        <v>0.13018491982745214</v>
      </c>
      <c r="F232">
        <f t="shared" si="141"/>
        <v>1477</v>
      </c>
      <c r="G232">
        <v>3082</v>
      </c>
      <c r="H232">
        <f t="shared" si="110"/>
        <v>4</v>
      </c>
      <c r="I232">
        <v>1578063</v>
      </c>
      <c r="J232">
        <f t="shared" si="142"/>
        <v>15889</v>
      </c>
      <c r="K232" s="2">
        <f t="shared" si="143"/>
        <v>1.0171082094568185E-2</v>
      </c>
      <c r="L232" s="2">
        <f t="shared" si="144"/>
        <v>9.2957391906350301E-2</v>
      </c>
      <c r="W232">
        <v>105999</v>
      </c>
    </row>
    <row r="233" spans="1:23" x14ac:dyDescent="0.3">
      <c r="A233" s="1" cm="1">
        <f t="array" ref="A233">IF(OR(B233:G233=""), "", A232 + 1)</f>
        <v>44138</v>
      </c>
      <c r="B233">
        <f t="shared" si="137"/>
        <v>110267</v>
      </c>
      <c r="C233" s="11">
        <f t="shared" si="138"/>
        <v>4.0839629629629629E-2</v>
      </c>
      <c r="D233" s="2">
        <f t="shared" si="139"/>
        <v>1.0872654266095738E-2</v>
      </c>
      <c r="E233" s="18">
        <f t="shared" si="140"/>
        <v>5.8803168344716557E-2</v>
      </c>
      <c r="F233">
        <f t="shared" si="141"/>
        <v>1186</v>
      </c>
      <c r="G233">
        <v>3084</v>
      </c>
      <c r="H233">
        <f t="shared" si="110"/>
        <v>2</v>
      </c>
      <c r="I233">
        <v>1593048</v>
      </c>
      <c r="J233">
        <f t="shared" si="142"/>
        <v>14985</v>
      </c>
      <c r="K233" s="2">
        <f t="shared" si="143"/>
        <v>9.4958186080023044E-3</v>
      </c>
      <c r="L233" s="2">
        <f t="shared" si="144"/>
        <v>7.9145812479145816E-2</v>
      </c>
      <c r="W233">
        <v>107183</v>
      </c>
    </row>
    <row r="234" spans="1:23" x14ac:dyDescent="0.3">
      <c r="A234" s="1" cm="1">
        <f t="array" ref="A234">IF(OR(B234:G234=""), "", A233 + 1)</f>
        <v>44139</v>
      </c>
      <c r="B234">
        <f t="shared" si="137"/>
        <v>111671</v>
      </c>
      <c r="C234" s="11">
        <f t="shared" si="138"/>
        <v>4.1359629629629628E-2</v>
      </c>
      <c r="D234" s="2">
        <f t="shared" si="139"/>
        <v>1.2732730554018801E-2</v>
      </c>
      <c r="E234" s="18">
        <f t="shared" si="140"/>
        <v>0.25692537258014314</v>
      </c>
      <c r="F234">
        <f t="shared" si="141"/>
        <v>1404</v>
      </c>
      <c r="G234">
        <v>3101</v>
      </c>
      <c r="H234">
        <f t="shared" si="110"/>
        <v>17</v>
      </c>
      <c r="I234">
        <v>1604274</v>
      </c>
      <c r="J234">
        <f t="shared" si="142"/>
        <v>11226</v>
      </c>
      <c r="K234" s="2">
        <f t="shared" si="143"/>
        <v>7.0468686442592965E-3</v>
      </c>
      <c r="L234" s="2">
        <f t="shared" si="144"/>
        <v>0.12506680919294494</v>
      </c>
      <c r="W234">
        <v>108570</v>
      </c>
    </row>
    <row r="235" spans="1:23" x14ac:dyDescent="0.3">
      <c r="A235" s="1" cm="1">
        <f t="array" ref="A235">IF(OR(B235:G235=""), "", A234 + 1)</f>
        <v>44140</v>
      </c>
      <c r="B235">
        <f t="shared" si="137"/>
        <v>113863</v>
      </c>
      <c r="C235" s="11">
        <f t="shared" si="138"/>
        <v>4.2171481481481483E-2</v>
      </c>
      <c r="D235" s="2">
        <f t="shared" si="139"/>
        <v>1.9629089020426038E-2</v>
      </c>
      <c r="E235" s="18">
        <f t="shared" si="140"/>
        <v>0.33642149441549063</v>
      </c>
      <c r="F235">
        <f t="shared" si="141"/>
        <v>2192</v>
      </c>
      <c r="G235">
        <v>3111</v>
      </c>
      <c r="H235">
        <f t="shared" si="110"/>
        <v>10</v>
      </c>
      <c r="I235">
        <v>1618787</v>
      </c>
      <c r="J235">
        <f t="shared" si="142"/>
        <v>14513</v>
      </c>
      <c r="K235" s="2">
        <f t="shared" si="143"/>
        <v>9.0464596446742096E-3</v>
      </c>
      <c r="L235" s="2">
        <f t="shared" si="144"/>
        <v>0.15103700130917108</v>
      </c>
      <c r="W235">
        <v>110752</v>
      </c>
    </row>
    <row r="236" spans="1:23" x14ac:dyDescent="0.3">
      <c r="A236" s="1" cm="1">
        <f t="array" ref="A236">IF(OR(B236:G236=""), "", A235 + 1)</f>
        <v>44141</v>
      </c>
      <c r="B236">
        <f t="shared" si="137"/>
        <v>116456</v>
      </c>
      <c r="C236" s="11">
        <f t="shared" si="138"/>
        <v>4.3131851851851852E-2</v>
      </c>
      <c r="D236" s="2">
        <f t="shared" si="139"/>
        <v>2.2772981565565731E-2</v>
      </c>
      <c r="E236" s="18">
        <f t="shared" si="140"/>
        <v>0.36078294327334104</v>
      </c>
      <c r="F236">
        <f t="shared" si="141"/>
        <v>2593</v>
      </c>
      <c r="G236">
        <v>3121</v>
      </c>
      <c r="H236">
        <f t="shared" si="110"/>
        <v>10</v>
      </c>
      <c r="I236">
        <v>1634850</v>
      </c>
      <c r="J236">
        <f t="shared" si="142"/>
        <v>16063</v>
      </c>
      <c r="K236" s="2">
        <f t="shared" si="143"/>
        <v>9.9228619948146246E-3</v>
      </c>
      <c r="L236" s="2">
        <f t="shared" si="144"/>
        <v>0.1614268816534894</v>
      </c>
      <c r="W236">
        <v>113335</v>
      </c>
    </row>
    <row r="237" spans="1:23" x14ac:dyDescent="0.3">
      <c r="A237" s="1" cm="1">
        <f t="array" ref="A237">IF(OR(B237:G237=""), "", A236 + 1)</f>
        <v>44142</v>
      </c>
      <c r="B237">
        <f t="shared" si="137"/>
        <v>118765</v>
      </c>
      <c r="C237" s="11">
        <f t="shared" si="138"/>
        <v>4.398703703703704E-2</v>
      </c>
      <c r="D237" s="2">
        <f t="shared" si="139"/>
        <v>1.9827230885484548E-2</v>
      </c>
      <c r="E237" s="18">
        <f t="shared" si="140"/>
        <v>0.27693190983494059</v>
      </c>
      <c r="F237">
        <f t="shared" si="141"/>
        <v>2309</v>
      </c>
      <c r="G237">
        <v>3130</v>
      </c>
      <c r="H237">
        <f t="shared" si="110"/>
        <v>9</v>
      </c>
      <c r="I237">
        <v>1651982</v>
      </c>
      <c r="J237">
        <f t="shared" si="142"/>
        <v>17132</v>
      </c>
      <c r="K237" s="2">
        <f t="shared" si="143"/>
        <v>1.0479248860751689E-2</v>
      </c>
      <c r="L237" s="2">
        <f t="shared" si="144"/>
        <v>0.13477702544945133</v>
      </c>
      <c r="W237">
        <v>115635</v>
      </c>
    </row>
    <row r="238" spans="1:23" x14ac:dyDescent="0.3">
      <c r="A238" s="1" cm="1">
        <f t="array" ref="A238">IF(OR(B238:G238=""), "", A237 + 1)</f>
        <v>44143</v>
      </c>
      <c r="B238">
        <f t="shared" si="137"/>
        <v>120662</v>
      </c>
      <c r="C238" s="11">
        <f t="shared" si="138"/>
        <v>4.4689629629629628E-2</v>
      </c>
      <c r="D238" s="2">
        <f t="shared" si="139"/>
        <v>1.597271923546506E-2</v>
      </c>
      <c r="E238" s="18">
        <f t="shared" si="140"/>
        <v>0.18296167285675588</v>
      </c>
      <c r="F238">
        <f t="shared" si="141"/>
        <v>1897</v>
      </c>
      <c r="G238">
        <v>3137</v>
      </c>
      <c r="H238">
        <f t="shared" si="110"/>
        <v>7</v>
      </c>
      <c r="I238">
        <v>1669297</v>
      </c>
      <c r="J238">
        <f t="shared" si="142"/>
        <v>17315</v>
      </c>
      <c r="K238" s="2">
        <f t="shared" si="143"/>
        <v>1.0481349070389445E-2</v>
      </c>
      <c r="L238" s="2">
        <f t="shared" si="144"/>
        <v>0.10955818654345943</v>
      </c>
      <c r="W238">
        <v>117525</v>
      </c>
    </row>
    <row r="239" spans="1:23" x14ac:dyDescent="0.3">
      <c r="A239" s="1" cm="1">
        <f t="array" ref="A239">IF(OR(B239:G239=""), "", A238 + 1)</f>
        <v>44144</v>
      </c>
      <c r="B239">
        <f t="shared" si="137"/>
        <v>123098</v>
      </c>
      <c r="C239" s="11">
        <f t="shared" si="138"/>
        <v>4.5591851851851849E-2</v>
      </c>
      <c r="D239" s="2">
        <f t="shared" si="139"/>
        <v>2.0188626079461702E-2</v>
      </c>
      <c r="E239" s="18">
        <f t="shared" si="140"/>
        <v>0.37581103714357766</v>
      </c>
      <c r="F239">
        <f t="shared" si="141"/>
        <v>2436</v>
      </c>
      <c r="G239">
        <v>3138</v>
      </c>
      <c r="H239">
        <f t="shared" si="110"/>
        <v>1</v>
      </c>
      <c r="I239">
        <v>1683482</v>
      </c>
      <c r="J239">
        <f t="shared" si="142"/>
        <v>14185</v>
      </c>
      <c r="K239" s="2">
        <f t="shared" si="143"/>
        <v>8.4975891048746366E-3</v>
      </c>
      <c r="L239" s="2">
        <f t="shared" si="144"/>
        <v>0.17173070144518857</v>
      </c>
      <c r="W239">
        <v>119960</v>
      </c>
    </row>
    <row r="240" spans="1:23" x14ac:dyDescent="0.3">
      <c r="A240" s="1" cm="1">
        <f t="array" ref="A240">IF(OR(B240:G240=""), "", A239 + 1)</f>
        <v>44145</v>
      </c>
      <c r="B240">
        <f t="shared" si="137"/>
        <v>125193</v>
      </c>
      <c r="C240" s="11">
        <f t="shared" si="138"/>
        <v>4.6367777777777779E-2</v>
      </c>
      <c r="D240" s="2">
        <f t="shared" si="139"/>
        <v>1.7018960503013769E-2</v>
      </c>
      <c r="E240" s="18">
        <f t="shared" si="140"/>
        <v>0.15942475634453851</v>
      </c>
      <c r="F240">
        <f t="shared" si="141"/>
        <v>2095</v>
      </c>
      <c r="G240">
        <v>3153</v>
      </c>
      <c r="H240">
        <f t="shared" si="110"/>
        <v>15</v>
      </c>
      <c r="I240">
        <v>1703330</v>
      </c>
      <c r="J240">
        <f t="shared" si="142"/>
        <v>19848</v>
      </c>
      <c r="K240" s="2">
        <f t="shared" si="143"/>
        <v>1.1789849846924438E-2</v>
      </c>
      <c r="L240" s="2">
        <f t="shared" si="144"/>
        <v>0.1055521966948811</v>
      </c>
      <c r="W240">
        <v>122040</v>
      </c>
    </row>
    <row r="241" spans="1:23" x14ac:dyDescent="0.3">
      <c r="A241" s="1" cm="1">
        <f t="array" ref="A241">IF(OR(B241:G241=""), "", A240 + 1)</f>
        <v>44146</v>
      </c>
      <c r="B241">
        <f t="shared" si="137"/>
        <v>127069</v>
      </c>
      <c r="C241" s="11">
        <f t="shared" si="138"/>
        <v>4.7062592592592593E-2</v>
      </c>
      <c r="D241" s="2">
        <f t="shared" si="139"/>
        <v>1.4984863370955281E-2</v>
      </c>
      <c r="E241" s="18">
        <f t="shared" si="140"/>
        <v>0.22840626849968096</v>
      </c>
      <c r="F241">
        <f t="shared" si="141"/>
        <v>1876</v>
      </c>
      <c r="G241">
        <v>3169</v>
      </c>
      <c r="H241">
        <f t="shared" si="110"/>
        <v>16</v>
      </c>
      <c r="I241">
        <v>1718415</v>
      </c>
      <c r="J241">
        <f t="shared" si="142"/>
        <v>15085</v>
      </c>
      <c r="K241" s="2">
        <f t="shared" si="143"/>
        <v>8.8561817146413091E-3</v>
      </c>
      <c r="L241" s="2">
        <f t="shared" si="144"/>
        <v>0.12436194895591647</v>
      </c>
      <c r="W241">
        <v>123900</v>
      </c>
    </row>
    <row r="242" spans="1:23" x14ac:dyDescent="0.3">
      <c r="A242" s="1" cm="1">
        <f t="array" ref="A242">IF(OR(B242:G242=""), "", A241 + 1)</f>
        <v>44147</v>
      </c>
      <c r="B242">
        <f t="shared" si="137"/>
        <v>129775</v>
      </c>
      <c r="C242" s="11">
        <f t="shared" si="138"/>
        <v>4.8064814814814817E-2</v>
      </c>
      <c r="D242" s="2">
        <f t="shared" si="139"/>
        <v>2.1295516609086462E-2</v>
      </c>
      <c r="E242" s="18">
        <f t="shared" si="140"/>
        <v>0.37115551645007522</v>
      </c>
      <c r="F242">
        <f t="shared" si="141"/>
        <v>2706</v>
      </c>
      <c r="G242">
        <v>3176</v>
      </c>
      <c r="H242">
        <f t="shared" si="110"/>
        <v>7</v>
      </c>
      <c r="I242">
        <v>1733984</v>
      </c>
      <c r="J242">
        <f t="shared" si="142"/>
        <v>15569</v>
      </c>
      <c r="K242" s="2">
        <f t="shared" si="143"/>
        <v>9.0600931672499829E-3</v>
      </c>
      <c r="L242" s="2">
        <f t="shared" si="144"/>
        <v>0.17380692401567216</v>
      </c>
      <c r="W242">
        <v>126599</v>
      </c>
    </row>
    <row r="243" spans="1:23" x14ac:dyDescent="0.3">
      <c r="A243" s="1" cm="1">
        <f t="array" ref="A243">IF(OR(B243:G243=""), "", A242 + 1)</f>
        <v>44148</v>
      </c>
      <c r="B243">
        <f t="shared" si="137"/>
        <v>132763</v>
      </c>
      <c r="C243" s="11">
        <f t="shared" si="138"/>
        <v>4.9171481481481483E-2</v>
      </c>
      <c r="D243" s="2">
        <f t="shared" si="139"/>
        <v>2.3024465420920848E-2</v>
      </c>
      <c r="E243" s="18">
        <f t="shared" si="140"/>
        <v>0.32911443258221729</v>
      </c>
      <c r="F243">
        <f t="shared" si="141"/>
        <v>2988</v>
      </c>
      <c r="G243">
        <v>3178</v>
      </c>
      <c r="H243">
        <f t="shared" si="110"/>
        <v>2</v>
      </c>
      <c r="I243">
        <v>1752696</v>
      </c>
      <c r="J243">
        <f t="shared" si="142"/>
        <v>18712</v>
      </c>
      <c r="K243" s="2">
        <f t="shared" si="143"/>
        <v>1.0791333714728735E-2</v>
      </c>
      <c r="L243" s="2">
        <f t="shared" si="144"/>
        <v>0.15968362548097478</v>
      </c>
      <c r="W243">
        <v>129585</v>
      </c>
    </row>
    <row r="244" spans="1:23" x14ac:dyDescent="0.3">
      <c r="A244" s="1" cm="1">
        <f t="array" ref="A244">IF(OR(B244:G244=""), "", A243 + 1)</f>
        <v>44149</v>
      </c>
      <c r="B244">
        <f t="shared" si="137"/>
        <v>134797</v>
      </c>
      <c r="C244" s="11">
        <f t="shared" si="138"/>
        <v>4.9924814814814818E-2</v>
      </c>
      <c r="D244" s="2">
        <f t="shared" si="139"/>
        <v>1.532053358239871E-2</v>
      </c>
      <c r="E244" s="18">
        <f t="shared" si="140"/>
        <v>9.3883812390958846E-2</v>
      </c>
      <c r="F244">
        <f t="shared" si="141"/>
        <v>2034</v>
      </c>
      <c r="G244">
        <v>3200</v>
      </c>
      <c r="H244">
        <f t="shared" si="110"/>
        <v>22</v>
      </c>
      <c r="I244">
        <v>1774328</v>
      </c>
      <c r="J244">
        <f t="shared" si="142"/>
        <v>21632</v>
      </c>
      <c r="K244" s="2">
        <f t="shared" si="143"/>
        <v>1.2342128925951767E-2</v>
      </c>
      <c r="L244" s="2">
        <f t="shared" si="144"/>
        <v>9.4027366863905323E-2</v>
      </c>
      <c r="W244">
        <v>131597</v>
      </c>
    </row>
    <row r="245" spans="1:23" x14ac:dyDescent="0.3">
      <c r="A245" s="1" cm="1">
        <f t="array" ref="A245">IF(OR(B245:G245=""), "", A244 + 1)</f>
        <v>44150</v>
      </c>
      <c r="B245">
        <f t="shared" si="137"/>
        <v>137087</v>
      </c>
      <c r="C245" s="11">
        <f t="shared" si="138"/>
        <v>5.0772962962962964E-2</v>
      </c>
      <c r="D245" s="2">
        <f t="shared" si="139"/>
        <v>1.6988508646334832E-2</v>
      </c>
      <c r="E245" s="18">
        <f t="shared" si="140"/>
        <v>0.17030474717203237</v>
      </c>
      <c r="F245">
        <f t="shared" si="141"/>
        <v>2290</v>
      </c>
      <c r="G245">
        <v>3213</v>
      </c>
      <c r="H245">
        <f t="shared" si="110"/>
        <v>13</v>
      </c>
      <c r="I245">
        <v>1794693</v>
      </c>
      <c r="J245">
        <f t="shared" si="142"/>
        <v>20365</v>
      </c>
      <c r="K245" s="2">
        <f t="shared" si="143"/>
        <v>1.1477584753213588E-2</v>
      </c>
      <c r="L245" s="2">
        <f t="shared" si="144"/>
        <v>0.11244782715443162</v>
      </c>
      <c r="W245">
        <v>133874</v>
      </c>
    </row>
    <row r="246" spans="1:23" x14ac:dyDescent="0.3">
      <c r="A246" s="1" cm="1">
        <f t="array" ref="A246">IF(OR(B246:G246=""), "", A245 + 1)</f>
        <v>44151</v>
      </c>
      <c r="B246">
        <f t="shared" si="137"/>
        <v>139532</v>
      </c>
      <c r="C246" s="11">
        <f t="shared" si="138"/>
        <v>5.1678518518518519E-2</v>
      </c>
      <c r="D246" s="2">
        <f t="shared" si="139"/>
        <v>1.7835389205395069E-2</v>
      </c>
      <c r="E246" s="18">
        <f t="shared" si="140"/>
        <v>0.28203648678452614</v>
      </c>
      <c r="F246">
        <f t="shared" si="141"/>
        <v>2445</v>
      </c>
      <c r="G246">
        <v>3216</v>
      </c>
      <c r="H246">
        <f t="shared" si="110"/>
        <v>3</v>
      </c>
      <c r="I246">
        <v>1811413</v>
      </c>
      <c r="J246">
        <f t="shared" si="142"/>
        <v>16720</v>
      </c>
      <c r="K246" s="2">
        <f t="shared" si="143"/>
        <v>9.3163566136380549E-3</v>
      </c>
      <c r="L246" s="2">
        <f t="shared" si="144"/>
        <v>0.14623205741626794</v>
      </c>
      <c r="W246">
        <v>136316</v>
      </c>
    </row>
    <row r="247" spans="1:23" x14ac:dyDescent="0.3">
      <c r="A247" s="1" cm="1">
        <f t="array" ref="A247">IF(OR(B247:G247=""), "", A246 + 1)</f>
        <v>44152</v>
      </c>
      <c r="B247">
        <f t="shared" si="137"/>
        <v>141611</v>
      </c>
      <c r="C247" s="11">
        <f t="shared" si="138"/>
        <v>5.2448518518518519E-2</v>
      </c>
      <c r="D247" s="2">
        <f t="shared" si="139"/>
        <v>1.4899807929363851E-2</v>
      </c>
      <c r="E247" s="18">
        <f t="shared" si="140"/>
        <v>0.14011803730280997</v>
      </c>
      <c r="F247">
        <f t="shared" si="141"/>
        <v>2079</v>
      </c>
      <c r="G247">
        <v>3228</v>
      </c>
      <c r="H247">
        <f t="shared" si="110"/>
        <v>12</v>
      </c>
      <c r="I247">
        <v>1830960</v>
      </c>
      <c r="J247">
        <f t="shared" si="142"/>
        <v>19547</v>
      </c>
      <c r="K247" s="2">
        <f t="shared" si="143"/>
        <v>1.0791023361320651E-2</v>
      </c>
      <c r="L247" s="2">
        <f t="shared" si="144"/>
        <v>0.10635903207653348</v>
      </c>
      <c r="W247">
        <v>138383</v>
      </c>
    </row>
    <row r="248" spans="1:23" x14ac:dyDescent="0.3">
      <c r="A248" s="1" cm="1">
        <f t="array" ref="A248">IF(OR(B248:G248=""), "", A247 + 1)</f>
        <v>44153</v>
      </c>
      <c r="B248">
        <f t="shared" si="137"/>
        <v>143100</v>
      </c>
      <c r="C248" s="11">
        <f t="shared" si="138"/>
        <v>5.2999999999999999E-2</v>
      </c>
      <c r="D248" s="2">
        <f t="shared" si="139"/>
        <v>1.0514719901702607E-2</v>
      </c>
      <c r="E248" s="18">
        <f t="shared" si="140"/>
        <v>4.6028987608961305E-2</v>
      </c>
      <c r="F248">
        <f t="shared" si="141"/>
        <v>1489</v>
      </c>
      <c r="G248">
        <v>3272</v>
      </c>
      <c r="H248">
        <f t="shared" si="110"/>
        <v>44</v>
      </c>
      <c r="I248">
        <v>1848276</v>
      </c>
      <c r="J248">
        <f t="shared" si="142"/>
        <v>17316</v>
      </c>
      <c r="K248" s="2">
        <f t="shared" si="143"/>
        <v>9.4573338576484645E-3</v>
      </c>
      <c r="L248" s="2">
        <f t="shared" si="144"/>
        <v>8.5989835989835992E-2</v>
      </c>
      <c r="W248">
        <v>139828</v>
      </c>
    </row>
    <row r="249" spans="1:23" x14ac:dyDescent="0.3">
      <c r="A249" s="1" cm="1">
        <f t="array" ref="A249">IF(OR(B249:G249=""), "", A248 + 1)</f>
        <v>44154</v>
      </c>
      <c r="B249">
        <f t="shared" si="137"/>
        <v>145956</v>
      </c>
      <c r="C249" s="11">
        <f t="shared" si="138"/>
        <v>5.4057777777777781E-2</v>
      </c>
      <c r="D249" s="2">
        <f t="shared" si="139"/>
        <v>1.9958071278826095E-2</v>
      </c>
      <c r="E249" s="18">
        <f t="shared" si="140"/>
        <v>0.31454216916812661</v>
      </c>
      <c r="F249">
        <f t="shared" si="141"/>
        <v>2856</v>
      </c>
      <c r="G249">
        <v>3287</v>
      </c>
      <c r="H249">
        <f t="shared" si="110"/>
        <v>15</v>
      </c>
      <c r="I249">
        <v>1866155</v>
      </c>
      <c r="J249">
        <f t="shared" si="142"/>
        <v>17879</v>
      </c>
      <c r="K249" s="2">
        <f t="shared" si="143"/>
        <v>9.6733388303478218E-3</v>
      </c>
      <c r="L249" s="2">
        <f t="shared" si="144"/>
        <v>0.15974047765534985</v>
      </c>
      <c r="W249">
        <v>142669</v>
      </c>
    </row>
    <row r="250" spans="1:23" x14ac:dyDescent="0.3">
      <c r="A250" s="1" cm="1">
        <f t="array" ref="A250">IF(OR(B250:G250=""), "", A249 + 1)</f>
        <v>44155</v>
      </c>
      <c r="B250">
        <f t="shared" si="137"/>
        <v>148302</v>
      </c>
      <c r="C250" s="11">
        <f t="shared" si="138"/>
        <v>5.4926666666666665E-2</v>
      </c>
      <c r="D250" s="2">
        <f t="shared" si="139"/>
        <v>1.6073337170106061E-2</v>
      </c>
      <c r="E250" s="18">
        <f t="shared" si="140"/>
        <v>0.16772174786237576</v>
      </c>
      <c r="F250">
        <f t="shared" si="141"/>
        <v>2346</v>
      </c>
      <c r="G250">
        <v>3299</v>
      </c>
      <c r="H250">
        <f t="shared" si="110"/>
        <v>12</v>
      </c>
      <c r="I250">
        <v>1886541</v>
      </c>
      <c r="J250">
        <f t="shared" si="142"/>
        <v>20386</v>
      </c>
      <c r="K250" s="2">
        <f t="shared" si="143"/>
        <v>1.0924065793034288E-2</v>
      </c>
      <c r="L250" s="2">
        <f t="shared" si="144"/>
        <v>0.11507897576768371</v>
      </c>
      <c r="W250">
        <v>145003</v>
      </c>
    </row>
    <row r="251" spans="1:23" x14ac:dyDescent="0.3">
      <c r="A251" s="1" cm="1">
        <f t="array" ref="A251">IF(OR(B251:G251=""), "", A250 + 1)</f>
        <v>44156</v>
      </c>
      <c r="B251">
        <f t="shared" si="137"/>
        <v>150464</v>
      </c>
      <c r="C251" s="11">
        <f t="shared" si="138"/>
        <v>5.5727407407407406E-2</v>
      </c>
      <c r="D251" s="2">
        <f t="shared" si="139"/>
        <v>1.4578360372752952E-2</v>
      </c>
      <c r="E251" s="18">
        <f t="shared" si="140"/>
        <v>8.0070787422898235E-2</v>
      </c>
      <c r="F251">
        <f t="shared" si="141"/>
        <v>2162</v>
      </c>
      <c r="G251">
        <v>3316</v>
      </c>
      <c r="H251">
        <f t="shared" si="110"/>
        <v>17</v>
      </c>
      <c r="I251">
        <v>1909413</v>
      </c>
      <c r="J251">
        <f t="shared" si="142"/>
        <v>22872</v>
      </c>
      <c r="K251" s="2">
        <f t="shared" si="143"/>
        <v>1.2123775735592313E-2</v>
      </c>
      <c r="L251" s="2">
        <f t="shared" si="144"/>
        <v>9.4526058062259527E-2</v>
      </c>
      <c r="W251">
        <v>147148</v>
      </c>
    </row>
    <row r="252" spans="1:23" x14ac:dyDescent="0.3">
      <c r="A252" s="1" cm="1">
        <f t="array" ref="A252">IF(OR(B252:G252=""), "", A251 + 1)</f>
        <v>44157</v>
      </c>
      <c r="B252">
        <f t="shared" si="137"/>
        <v>152419</v>
      </c>
      <c r="C252" s="11">
        <f t="shared" si="138"/>
        <v>5.6451481481481484E-2</v>
      </c>
      <c r="D252" s="2">
        <f t="shared" si="139"/>
        <v>1.2993141216503634E-2</v>
      </c>
      <c r="E252" s="18">
        <f t="shared" si="140"/>
        <v>0.12216901465278576</v>
      </c>
      <c r="F252">
        <f t="shared" si="141"/>
        <v>1955</v>
      </c>
      <c r="G252">
        <v>3335</v>
      </c>
      <c r="H252">
        <f t="shared" si="110"/>
        <v>19</v>
      </c>
      <c r="I252">
        <v>1928139</v>
      </c>
      <c r="J252">
        <f t="shared" si="142"/>
        <v>18726</v>
      </c>
      <c r="K252" s="2">
        <f t="shared" si="143"/>
        <v>9.8072025276878527E-3</v>
      </c>
      <c r="L252" s="2">
        <f t="shared" si="144"/>
        <v>0.10440029904944996</v>
      </c>
      <c r="W252">
        <v>149084</v>
      </c>
    </row>
    <row r="253" spans="1:23" x14ac:dyDescent="0.3">
      <c r="A253" s="1" cm="1">
        <f t="array" ref="A253">IF(OR(B253:G253=""), "", A252 + 1)</f>
        <v>44158</v>
      </c>
      <c r="B253">
        <f t="shared" si="137"/>
        <v>154127</v>
      </c>
      <c r="C253" s="11">
        <f t="shared" si="138"/>
        <v>5.7084074074074072E-2</v>
      </c>
      <c r="D253" s="2">
        <f t="shared" si="139"/>
        <v>1.1205952013856546E-2</v>
      </c>
      <c r="E253" s="18">
        <f t="shared" si="140"/>
        <v>-2.4726288333607981E-3</v>
      </c>
      <c r="F253">
        <f t="shared" si="141"/>
        <v>1708</v>
      </c>
      <c r="G253">
        <v>3354</v>
      </c>
      <c r="H253">
        <f t="shared" si="110"/>
        <v>19</v>
      </c>
      <c r="I253">
        <v>1949869</v>
      </c>
      <c r="J253">
        <f t="shared" si="142"/>
        <v>21730</v>
      </c>
      <c r="K253" s="2">
        <f t="shared" si="143"/>
        <v>1.1269934377137858E-2</v>
      </c>
      <c r="L253" s="2">
        <f t="shared" si="144"/>
        <v>7.8601012425218594E-2</v>
      </c>
      <c r="W253">
        <v>150773</v>
      </c>
    </row>
    <row r="254" spans="1:23" x14ac:dyDescent="0.3">
      <c r="A254" s="1" cm="1">
        <f t="array" ref="A254">IF(OR(B254:G254=""), "", A253 + 1)</f>
        <v>44159</v>
      </c>
      <c r="B254">
        <f t="shared" si="137"/>
        <v>155687</v>
      </c>
      <c r="C254" s="11">
        <f t="shared" si="138"/>
        <v>5.7661851851851853E-2</v>
      </c>
      <c r="D254" s="2">
        <f t="shared" si="139"/>
        <v>1.0121523159472456E-2</v>
      </c>
      <c r="E254" s="18">
        <f t="shared" si="140"/>
        <v>5.4602233254733706E-2</v>
      </c>
      <c r="F254">
        <f t="shared" si="141"/>
        <v>1560</v>
      </c>
      <c r="G254">
        <v>3377</v>
      </c>
      <c r="H254">
        <f t="shared" si="110"/>
        <v>23</v>
      </c>
      <c r="I254">
        <v>1967273</v>
      </c>
      <c r="J254">
        <f t="shared" si="142"/>
        <v>17404</v>
      </c>
      <c r="K254" s="2">
        <f t="shared" si="143"/>
        <v>8.9257278309466948E-3</v>
      </c>
      <c r="L254" s="2">
        <f t="shared" si="144"/>
        <v>8.9634566766260623E-2</v>
      </c>
      <c r="W254">
        <v>152310</v>
      </c>
    </row>
    <row r="255" spans="1:23" x14ac:dyDescent="0.3">
      <c r="A255" s="1" cm="1">
        <f t="array" ref="A255">IF(OR(B255:G255=""), "", A254 + 1)</f>
        <v>44160</v>
      </c>
      <c r="B255">
        <f t="shared" si="137"/>
        <v>157709</v>
      </c>
      <c r="C255" s="11">
        <f t="shared" si="138"/>
        <v>5.8410740740740742E-2</v>
      </c>
      <c r="D255" s="2">
        <f t="shared" si="139"/>
        <v>1.2987596909183274E-2</v>
      </c>
      <c r="E255" s="18">
        <f t="shared" si="140"/>
        <v>5.5500540719660846E-2</v>
      </c>
      <c r="F255">
        <f t="shared" si="141"/>
        <v>2022</v>
      </c>
      <c r="G255">
        <v>3394</v>
      </c>
      <c r="H255">
        <f t="shared" si="110"/>
        <v>17</v>
      </c>
      <c r="I255">
        <v>1989758</v>
      </c>
      <c r="J255">
        <f t="shared" si="142"/>
        <v>22485</v>
      </c>
      <c r="K255" s="2">
        <f t="shared" si="143"/>
        <v>1.1429527066146861E-2</v>
      </c>
      <c r="L255" s="2">
        <f t="shared" si="144"/>
        <v>8.9926617745163445E-2</v>
      </c>
      <c r="W255">
        <v>154315</v>
      </c>
    </row>
    <row r="256" spans="1:23" x14ac:dyDescent="0.3">
      <c r="A256" s="1" cm="1">
        <f t="array" ref="A256">IF(OR(B256:G256=""), "", A255 + 1)</f>
        <v>44161</v>
      </c>
      <c r="B256">
        <f t="shared" si="137"/>
        <v>160323</v>
      </c>
      <c r="C256" s="11">
        <f t="shared" si="138"/>
        <v>5.9378888888888891E-2</v>
      </c>
      <c r="D256" s="2">
        <f t="shared" si="139"/>
        <v>1.6574830859367617E-2</v>
      </c>
      <c r="E256" s="18">
        <f t="shared" si="140"/>
        <v>0.15409250864359217</v>
      </c>
      <c r="F256">
        <f t="shared" si="141"/>
        <v>2614</v>
      </c>
      <c r="G256">
        <v>3397</v>
      </c>
      <c r="H256">
        <f t="shared" si="110"/>
        <v>3</v>
      </c>
      <c r="I256">
        <v>2012887</v>
      </c>
      <c r="J256">
        <f t="shared" si="142"/>
        <v>23129</v>
      </c>
      <c r="K256" s="2">
        <f t="shared" si="143"/>
        <v>1.1624026640425722E-2</v>
      </c>
      <c r="L256" s="2">
        <f t="shared" si="144"/>
        <v>0.11301828872843617</v>
      </c>
      <c r="W256">
        <v>156926</v>
      </c>
    </row>
    <row r="257" spans="1:23" x14ac:dyDescent="0.3">
      <c r="A257" s="1" cm="1">
        <f t="array" ref="A257">IF(OR(B257:G257=""), "", A256 + 1)</f>
        <v>44162</v>
      </c>
      <c r="B257">
        <f t="shared" si="137"/>
        <v>161817</v>
      </c>
      <c r="C257" s="11">
        <f t="shared" si="138"/>
        <v>5.993222222222222E-2</v>
      </c>
      <c r="D257" s="2">
        <f t="shared" si="139"/>
        <v>9.3186878988043009E-3</v>
      </c>
      <c r="E257" s="18">
        <f t="shared" si="140"/>
        <v>-1.0298867159197714E-3</v>
      </c>
      <c r="F257">
        <f t="shared" si="141"/>
        <v>1494</v>
      </c>
      <c r="G257">
        <v>3413</v>
      </c>
      <c r="H257">
        <f t="shared" si="110"/>
        <v>16</v>
      </c>
      <c r="I257">
        <v>2031689</v>
      </c>
      <c r="J257">
        <f t="shared" si="142"/>
        <v>18802</v>
      </c>
      <c r="K257" s="2">
        <f t="shared" si="143"/>
        <v>9.3408124748184385E-3</v>
      </c>
      <c r="L257" s="2">
        <f t="shared" si="144"/>
        <v>7.9459631954047441E-2</v>
      </c>
      <c r="W257">
        <v>158404</v>
      </c>
    </row>
    <row r="258" spans="1:23" x14ac:dyDescent="0.3">
      <c r="A258" s="1" cm="1">
        <f t="array" ref="A258">IF(OR(B258:G258=""), "", A257 + 1)</f>
        <v>44163</v>
      </c>
      <c r="B258">
        <f t="shared" si="137"/>
        <v>163047</v>
      </c>
      <c r="C258" s="11">
        <f t="shared" si="138"/>
        <v>6.0387777777777776E-2</v>
      </c>
      <c r="D258" s="2">
        <f t="shared" si="139"/>
        <v>7.6011791097350123E-3</v>
      </c>
      <c r="E258" s="18">
        <f t="shared" si="140"/>
        <v>2.1864244496476962E-2</v>
      </c>
      <c r="F258">
        <f t="shared" si="141"/>
        <v>1230</v>
      </c>
      <c r="G258">
        <v>3443</v>
      </c>
      <c r="H258">
        <f t="shared" si="110"/>
        <v>30</v>
      </c>
      <c r="I258">
        <v>2046374</v>
      </c>
      <c r="J258">
        <f t="shared" si="142"/>
        <v>14685</v>
      </c>
      <c r="K258" s="2">
        <f t="shared" si="143"/>
        <v>7.2279763290543642E-3</v>
      </c>
      <c r="L258" s="2">
        <f t="shared" si="144"/>
        <v>8.3758937691521956E-2</v>
      </c>
      <c r="W258">
        <v>159604</v>
      </c>
    </row>
    <row r="259" spans="1:23" x14ac:dyDescent="0.3">
      <c r="A259" s="1" cm="1">
        <f t="array" ref="A259">IF(OR(B259:G259=""), "", A258 + 1)</f>
        <v>44164</v>
      </c>
      <c r="B259">
        <f t="shared" si="137"/>
        <v>164256</v>
      </c>
      <c r="C259" s="11">
        <f t="shared" si="138"/>
        <v>6.0835555555555552E-2</v>
      </c>
      <c r="D259" s="2">
        <f t="shared" si="139"/>
        <v>7.4150398351395808E-3</v>
      </c>
      <c r="E259" s="18">
        <f t="shared" si="140"/>
        <v>0.16603228376456766</v>
      </c>
      <c r="F259">
        <f t="shared" si="141"/>
        <v>1209</v>
      </c>
      <c r="G259">
        <v>3454</v>
      </c>
      <c r="H259">
        <f t="shared" si="110"/>
        <v>11</v>
      </c>
      <c r="I259">
        <v>2056727</v>
      </c>
      <c r="J259">
        <f t="shared" si="142"/>
        <v>10353</v>
      </c>
      <c r="K259" s="2">
        <f t="shared" si="143"/>
        <v>5.0591925034231267E-3</v>
      </c>
      <c r="L259" s="2">
        <f t="shared" si="144"/>
        <v>0.11677774558099102</v>
      </c>
      <c r="W259">
        <v>160802</v>
      </c>
    </row>
    <row r="260" spans="1:23" x14ac:dyDescent="0.3">
      <c r="A260" s="1" cm="1">
        <f t="array" ref="A260">IF(OR(B260:G260=""), "", A259 + 1)</f>
        <v>44165</v>
      </c>
      <c r="B260">
        <f t="shared" si="137"/>
        <v>165254</v>
      </c>
      <c r="C260" s="11">
        <f t="shared" si="138"/>
        <v>6.1205185185185182E-2</v>
      </c>
      <c r="D260" s="2">
        <f t="shared" si="139"/>
        <v>6.0758815507500064E-3</v>
      </c>
      <c r="E260" s="18">
        <f t="shared" si="140"/>
        <v>4.6444866242628918E-2</v>
      </c>
      <c r="F260">
        <f t="shared" si="141"/>
        <v>998</v>
      </c>
      <c r="G260">
        <v>3478</v>
      </c>
      <c r="H260">
        <f t="shared" si="110"/>
        <v>24</v>
      </c>
      <c r="I260">
        <v>2067956</v>
      </c>
      <c r="J260">
        <f t="shared" si="142"/>
        <v>11229</v>
      </c>
      <c r="K260" s="2">
        <f t="shared" si="143"/>
        <v>5.4596453491397856E-3</v>
      </c>
      <c r="L260" s="2">
        <f t="shared" si="144"/>
        <v>8.8877014872205895E-2</v>
      </c>
      <c r="W260">
        <v>161776</v>
      </c>
    </row>
    <row r="261" spans="1:23" x14ac:dyDescent="0.3">
      <c r="A261" s="1" cm="1">
        <f t="array" ref="A261">IF(OR(B261:G261=""), "", A260 + 1)</f>
        <v>44166</v>
      </c>
      <c r="B261">
        <f t="shared" si="137"/>
        <v>167233</v>
      </c>
      <c r="C261" s="11">
        <f t="shared" si="138"/>
        <v>6.1938148148148145E-2</v>
      </c>
      <c r="D261" s="2">
        <f t="shared" si="139"/>
        <v>1.1975504375083101E-2</v>
      </c>
      <c r="E261" s="18">
        <f t="shared" si="140"/>
        <v>0.15291162897399782</v>
      </c>
      <c r="F261">
        <f t="shared" si="141"/>
        <v>1979</v>
      </c>
      <c r="G261">
        <v>3492</v>
      </c>
      <c r="H261">
        <f t="shared" si="110"/>
        <v>14</v>
      </c>
      <c r="I261">
        <v>2085371</v>
      </c>
      <c r="J261">
        <f t="shared" si="142"/>
        <v>17415</v>
      </c>
      <c r="K261" s="2">
        <f t="shared" si="143"/>
        <v>8.4213590617983058E-3</v>
      </c>
      <c r="L261" s="2">
        <f t="shared" si="144"/>
        <v>0.11363766867642837</v>
      </c>
      <c r="W261">
        <v>163741</v>
      </c>
    </row>
    <row r="262" spans="1:23" x14ac:dyDescent="0.3">
      <c r="A262" s="1" cm="1">
        <f t="array" ref="A262">IF(OR(B262:G262=""), "", A261 + 1)</f>
        <v>44167</v>
      </c>
      <c r="B262">
        <f t="shared" si="137"/>
        <v>168711</v>
      </c>
      <c r="C262" s="11">
        <f t="shared" si="138"/>
        <v>6.2485555555555558E-2</v>
      </c>
      <c r="D262" s="2">
        <f t="shared" si="139"/>
        <v>8.8379685827557619E-3</v>
      </c>
      <c r="E262" s="18">
        <f t="shared" si="140"/>
        <v>0.11764313833927686</v>
      </c>
      <c r="F262">
        <f t="shared" si="141"/>
        <v>1478</v>
      </c>
      <c r="G262">
        <v>3529</v>
      </c>
      <c r="H262">
        <f t="shared" si="110"/>
        <v>37</v>
      </c>
      <c r="I262">
        <v>2099428</v>
      </c>
      <c r="J262">
        <f t="shared" si="142"/>
        <v>14057</v>
      </c>
      <c r="K262" s="2">
        <f t="shared" si="143"/>
        <v>6.7407669906218715E-3</v>
      </c>
      <c r="L262" s="2">
        <f t="shared" si="144"/>
        <v>0.10514334495269261</v>
      </c>
      <c r="W262">
        <v>165182</v>
      </c>
    </row>
    <row r="263" spans="1:23" x14ac:dyDescent="0.3">
      <c r="A263" s="1" cm="1">
        <f t="array" ref="A263">IF(OR(B263:G263=""), "", A262 + 1)</f>
        <v>44168</v>
      </c>
      <c r="B263">
        <f t="shared" si="137"/>
        <v>170950</v>
      </c>
      <c r="C263" s="11">
        <f t="shared" si="138"/>
        <v>6.331481481481481E-2</v>
      </c>
      <c r="D263" s="2">
        <f t="shared" si="139"/>
        <v>1.3271215273455761E-2</v>
      </c>
      <c r="E263" s="18">
        <f t="shared" si="140"/>
        <v>0.18620683980528774</v>
      </c>
      <c r="F263">
        <f t="shared" si="141"/>
        <v>2239</v>
      </c>
      <c r="G263">
        <v>3541</v>
      </c>
      <c r="H263">
        <f t="shared" si="110"/>
        <v>12</v>
      </c>
      <c r="I263">
        <v>2117575</v>
      </c>
      <c r="J263">
        <f t="shared" si="142"/>
        <v>18147</v>
      </c>
      <c r="K263" s="2">
        <f t="shared" si="143"/>
        <v>8.6437829732670668E-3</v>
      </c>
      <c r="L263" s="2">
        <f t="shared" si="144"/>
        <v>0.12338127514189673</v>
      </c>
      <c r="W263">
        <v>167409</v>
      </c>
    </row>
    <row r="264" spans="1:23" x14ac:dyDescent="0.3">
      <c r="A264" s="1" cm="1">
        <f t="array" ref="A264">IF(OR(B264:G264=""), "", A263 + 1)</f>
        <v>44169</v>
      </c>
      <c r="B264">
        <f t="shared" si="137"/>
        <v>172725</v>
      </c>
      <c r="C264" s="11">
        <f t="shared" si="138"/>
        <v>6.3972222222222222E-2</v>
      </c>
      <c r="D264" s="2">
        <f t="shared" si="139"/>
        <v>1.0383152968704401E-2</v>
      </c>
      <c r="E264" s="18">
        <f t="shared" si="140"/>
        <v>4.8518274104124071E-2</v>
      </c>
      <c r="F264">
        <f t="shared" si="141"/>
        <v>1775</v>
      </c>
      <c r="G264">
        <v>3559</v>
      </c>
      <c r="H264">
        <f t="shared" si="110"/>
        <v>18</v>
      </c>
      <c r="I264">
        <v>2137238</v>
      </c>
      <c r="J264">
        <f t="shared" si="142"/>
        <v>19663</v>
      </c>
      <c r="K264" s="2">
        <f t="shared" si="143"/>
        <v>9.2856215246213125E-3</v>
      </c>
      <c r="L264" s="2">
        <f t="shared" si="144"/>
        <v>9.0271067487158629E-2</v>
      </c>
      <c r="W264">
        <v>169166</v>
      </c>
    </row>
    <row r="265" spans="1:23" x14ac:dyDescent="0.3">
      <c r="A265" s="1" cm="1">
        <f t="array" ref="A265">IF(OR(B265:G265=""), "", A264 + 1)</f>
        <v>44170</v>
      </c>
      <c r="B265">
        <f t="shared" si="137"/>
        <v>174651</v>
      </c>
      <c r="C265" s="11">
        <f t="shared" si="138"/>
        <v>6.4685555555555552E-2</v>
      </c>
      <c r="D265" s="2">
        <f t="shared" si="139"/>
        <v>1.1150673035171588E-2</v>
      </c>
      <c r="E265" s="18">
        <f t="shared" si="140"/>
        <v>0.11139305203175319</v>
      </c>
      <c r="F265">
        <f t="shared" si="141"/>
        <v>1926</v>
      </c>
      <c r="G265">
        <v>3589</v>
      </c>
      <c r="H265">
        <f t="shared" si="110"/>
        <v>30</v>
      </c>
      <c r="I265">
        <v>2155678</v>
      </c>
      <c r="J265">
        <f t="shared" si="142"/>
        <v>18440</v>
      </c>
      <c r="K265" s="2">
        <f t="shared" si="143"/>
        <v>8.6279581403663208E-3</v>
      </c>
      <c r="L265" s="2">
        <f t="shared" si="144"/>
        <v>0.1044468546637744</v>
      </c>
      <c r="W265">
        <v>171062</v>
      </c>
    </row>
    <row r="266" spans="1:23" x14ac:dyDescent="0.3">
      <c r="A266" s="1" cm="1">
        <f t="array" ref="A266">IF(OR(B266:G266=""), "", A265 + 1)</f>
        <v>44171</v>
      </c>
      <c r="B266">
        <f t="shared" si="137"/>
        <v>176313</v>
      </c>
      <c r="C266" s="11">
        <f t="shared" si="138"/>
        <v>6.5301111111111115E-2</v>
      </c>
      <c r="D266" s="2">
        <f t="shared" si="139"/>
        <v>9.5161207207516973E-3</v>
      </c>
      <c r="E266" s="18">
        <f t="shared" si="140"/>
        <v>0.13137327937532631</v>
      </c>
      <c r="F266">
        <f t="shared" si="141"/>
        <v>1662</v>
      </c>
      <c r="G266">
        <v>3602</v>
      </c>
      <c r="H266">
        <f t="shared" si="110"/>
        <v>13</v>
      </c>
      <c r="I266">
        <v>2170837</v>
      </c>
      <c r="J266">
        <f t="shared" si="142"/>
        <v>15159</v>
      </c>
      <c r="K266" s="2">
        <f t="shared" si="143"/>
        <v>7.0321263194224048E-3</v>
      </c>
      <c r="L266" s="2">
        <f t="shared" si="144"/>
        <v>0.10963783890757965</v>
      </c>
      <c r="W266">
        <v>172711</v>
      </c>
    </row>
    <row r="267" spans="1:23" x14ac:dyDescent="0.3">
      <c r="A267" s="1" cm="1">
        <f t="array" ref="A267">IF(OR(B267:G267=""), "", A266 + 1)</f>
        <v>44172</v>
      </c>
      <c r="B267">
        <f t="shared" si="137"/>
        <v>178200</v>
      </c>
      <c r="C267" s="11">
        <f t="shared" si="138"/>
        <v>6.6000000000000003E-2</v>
      </c>
      <c r="D267" s="2">
        <f t="shared" si="139"/>
        <v>1.0702557383743594E-2</v>
      </c>
      <c r="E267" s="18">
        <f t="shared" si="140"/>
        <v>0.1634085532090539</v>
      </c>
      <c r="F267">
        <f t="shared" si="141"/>
        <v>1887</v>
      </c>
      <c r="G267">
        <v>3627</v>
      </c>
      <c r="H267">
        <f t="shared" si="110"/>
        <v>25</v>
      </c>
      <c r="I267">
        <v>2186785</v>
      </c>
      <c r="J267">
        <f t="shared" si="142"/>
        <v>15948</v>
      </c>
      <c r="K267" s="2">
        <f t="shared" si="143"/>
        <v>7.346475115358686E-3</v>
      </c>
      <c r="L267" s="2">
        <f t="shared" si="144"/>
        <v>0.11832204665161776</v>
      </c>
      <c r="W267">
        <v>174573</v>
      </c>
    </row>
    <row r="268" spans="1:23" x14ac:dyDescent="0.3">
      <c r="A268" s="1" cm="1">
        <f t="array" ref="A268">IF(OR(B268:G268=""), "", A267 + 1)</f>
        <v>44173</v>
      </c>
      <c r="B268">
        <f t="shared" si="137"/>
        <v>179397</v>
      </c>
      <c r="C268" s="11">
        <f t="shared" si="138"/>
        <v>6.6443333333333326E-2</v>
      </c>
      <c r="D268" s="2">
        <f t="shared" si="139"/>
        <v>6.7171717171716772E-3</v>
      </c>
      <c r="E268" s="18">
        <f t="shared" si="140"/>
        <v>-3.4158690712978799E-2</v>
      </c>
      <c r="F268">
        <f t="shared" si="141"/>
        <v>1197</v>
      </c>
      <c r="G268">
        <v>3645</v>
      </c>
      <c r="H268">
        <f t="shared" si="110"/>
        <v>18</v>
      </c>
      <c r="I268">
        <v>2202676</v>
      </c>
      <c r="J268">
        <f t="shared" si="142"/>
        <v>15891</v>
      </c>
      <c r="K268" s="2">
        <f t="shared" si="143"/>
        <v>7.2668323589195616E-3</v>
      </c>
      <c r="L268" s="2">
        <f t="shared" si="144"/>
        <v>7.5325656031716065E-2</v>
      </c>
      <c r="W268">
        <v>175752</v>
      </c>
    </row>
    <row r="269" spans="1:23" x14ac:dyDescent="0.3">
      <c r="A269" s="1" cm="1">
        <f t="array" ref="A269">IF(OR(B269:G269=""), "", A268 + 1)</f>
        <v>44174</v>
      </c>
      <c r="B269">
        <f t="shared" si="137"/>
        <v>180723</v>
      </c>
      <c r="C269" s="11">
        <f t="shared" si="138"/>
        <v>6.6934444444444449E-2</v>
      </c>
      <c r="D269" s="2">
        <f t="shared" si="139"/>
        <v>7.3914279503002334E-3</v>
      </c>
      <c r="E269" s="18">
        <f t="shared" si="140"/>
        <v>0.11075728736971951</v>
      </c>
      <c r="F269">
        <f t="shared" si="141"/>
        <v>1326</v>
      </c>
      <c r="G269">
        <v>3662</v>
      </c>
      <c r="H269">
        <f t="shared" si="110"/>
        <v>17</v>
      </c>
      <c r="I269">
        <v>2215292</v>
      </c>
      <c r="J269">
        <f t="shared" si="142"/>
        <v>12616</v>
      </c>
      <c r="K269" s="2">
        <f t="shared" si="143"/>
        <v>5.7275786361679071E-3</v>
      </c>
      <c r="L269" s="2">
        <f t="shared" si="144"/>
        <v>0.10510462904248573</v>
      </c>
      <c r="W269">
        <v>177061</v>
      </c>
    </row>
    <row r="270" spans="1:23" x14ac:dyDescent="0.3">
      <c r="A270" s="1" cm="1">
        <f t="array" ref="A270">IF(OR(B270:G270=""), "", A269 + 1)</f>
        <v>44175</v>
      </c>
      <c r="B270">
        <f t="shared" si="137"/>
        <v>182857</v>
      </c>
      <c r="C270" s="11">
        <f t="shared" si="138"/>
        <v>6.7724814814814821E-2</v>
      </c>
      <c r="D270" s="2">
        <f t="shared" si="139"/>
        <v>1.1808126248457507E-2</v>
      </c>
      <c r="E270" s="18">
        <f t="shared" si="140"/>
        <v>0.14055313122790791</v>
      </c>
      <c r="F270">
        <f t="shared" si="141"/>
        <v>2134</v>
      </c>
      <c r="G270">
        <v>3698</v>
      </c>
      <c r="H270">
        <f t="shared" si="110"/>
        <v>36</v>
      </c>
      <c r="I270">
        <v>2234218</v>
      </c>
      <c r="J270">
        <f t="shared" si="142"/>
        <v>18926</v>
      </c>
      <c r="K270" s="2">
        <f t="shared" si="143"/>
        <v>8.5433432703228007E-3</v>
      </c>
      <c r="L270" s="2">
        <f t="shared" si="144"/>
        <v>0.11275494029377575</v>
      </c>
      <c r="W270">
        <v>179159</v>
      </c>
    </row>
    <row r="271" spans="1:23" x14ac:dyDescent="0.3">
      <c r="A271" s="1" cm="1">
        <f t="array" ref="A271">IF(OR(B271:G271=""), "", A270 + 1)</f>
        <v>44176</v>
      </c>
      <c r="B271">
        <f t="shared" si="137"/>
        <v>184745</v>
      </c>
      <c r="C271" s="11">
        <f t="shared" si="138"/>
        <v>6.8424074074074068E-2</v>
      </c>
      <c r="D271" s="2">
        <f t="shared" si="139"/>
        <v>1.0325008066412567E-2</v>
      </c>
      <c r="E271" s="18">
        <f t="shared" si="140"/>
        <v>9.3316248625115034E-2</v>
      </c>
      <c r="F271">
        <f t="shared" si="141"/>
        <v>1888</v>
      </c>
      <c r="G271">
        <v>3750</v>
      </c>
      <c r="H271">
        <f t="shared" si="110"/>
        <v>52</v>
      </c>
      <c r="I271">
        <v>2252826</v>
      </c>
      <c r="J271">
        <f t="shared" si="142"/>
        <v>18608</v>
      </c>
      <c r="K271" s="2">
        <f t="shared" si="143"/>
        <v>8.3286411621426026E-3</v>
      </c>
      <c r="L271" s="2">
        <f t="shared" si="144"/>
        <v>0.10146173688736028</v>
      </c>
      <c r="W271">
        <v>180995</v>
      </c>
    </row>
    <row r="272" spans="1:23" x14ac:dyDescent="0.3">
      <c r="A272" s="1" cm="1">
        <f t="array" ref="A272">IF(OR(B272:G272=""), "", A271 + 1)</f>
        <v>44177</v>
      </c>
      <c r="B272">
        <f t="shared" si="137"/>
        <v>186471</v>
      </c>
      <c r="C272" s="11">
        <f t="shared" si="138"/>
        <v>6.9063333333333338E-2</v>
      </c>
      <c r="D272" s="2">
        <f t="shared" si="139"/>
        <v>9.3426073777369556E-3</v>
      </c>
      <c r="E272" s="18">
        <f t="shared" si="140"/>
        <v>4.3528803704438894E-2</v>
      </c>
      <c r="F272">
        <f t="shared" si="141"/>
        <v>1726</v>
      </c>
      <c r="G272">
        <v>3752</v>
      </c>
      <c r="H272">
        <f t="shared" si="110"/>
        <v>2</v>
      </c>
      <c r="I272">
        <v>2271866</v>
      </c>
      <c r="J272">
        <f t="shared" si="142"/>
        <v>19040</v>
      </c>
      <c r="K272" s="2">
        <f t="shared" si="143"/>
        <v>8.4516070038254121E-3</v>
      </c>
      <c r="L272" s="2">
        <f t="shared" si="144"/>
        <v>9.0651260504201678E-2</v>
      </c>
      <c r="W272">
        <v>182719</v>
      </c>
    </row>
    <row r="273" spans="1:23" x14ac:dyDescent="0.3">
      <c r="A273" s="1" cm="1">
        <f t="array" ref="A273">IF(OR(B273:G273=""), "", A272 + 1)</f>
        <v>44178</v>
      </c>
      <c r="B273">
        <f t="shared" si="137"/>
        <v>187954</v>
      </c>
      <c r="C273" s="11">
        <f t="shared" si="138"/>
        <v>6.9612592592592587E-2</v>
      </c>
      <c r="D273" s="2">
        <f t="shared" si="139"/>
        <v>7.9529792836419144E-3</v>
      </c>
      <c r="E273" s="18">
        <f t="shared" si="140"/>
        <v>0.20180192541031772</v>
      </c>
      <c r="F273">
        <f t="shared" si="141"/>
        <v>1483</v>
      </c>
      <c r="G273">
        <v>3762</v>
      </c>
      <c r="H273">
        <f t="shared" si="110"/>
        <v>10</v>
      </c>
      <c r="I273">
        <v>2283219</v>
      </c>
      <c r="J273">
        <f t="shared" si="142"/>
        <v>11353</v>
      </c>
      <c r="K273" s="2">
        <f t="shared" si="143"/>
        <v>4.9972137441205433E-3</v>
      </c>
      <c r="L273" s="2">
        <f t="shared" si="144"/>
        <v>0.1306262661851493</v>
      </c>
      <c r="W273">
        <v>184192</v>
      </c>
    </row>
    <row r="274" spans="1:23" x14ac:dyDescent="0.3">
      <c r="A274" s="1" cm="1">
        <f t="array" ref="A274">IF(OR(B274:G274=""), "", A273 + 1)</f>
        <v>44179</v>
      </c>
      <c r="B274">
        <f t="shared" si="137"/>
        <v>189688</v>
      </c>
      <c r="C274" s="11">
        <f t="shared" si="138"/>
        <v>7.0254814814814812E-2</v>
      </c>
      <c r="D274" s="2">
        <f t="shared" si="139"/>
        <v>9.2256615980506051E-3</v>
      </c>
      <c r="E274" s="18">
        <f t="shared" si="140"/>
        <v>4.1852823065337087E-2</v>
      </c>
      <c r="F274">
        <f t="shared" si="141"/>
        <v>1734</v>
      </c>
      <c r="G274">
        <v>3805</v>
      </c>
      <c r="H274">
        <f t="shared" si="110"/>
        <v>43</v>
      </c>
      <c r="I274">
        <v>2302348</v>
      </c>
      <c r="J274">
        <f t="shared" si="142"/>
        <v>19129</v>
      </c>
      <c r="K274" s="2">
        <f t="shared" si="143"/>
        <v>8.3780837493030447E-3</v>
      </c>
      <c r="L274" s="2">
        <f t="shared" si="144"/>
        <v>9.0647707668984265E-2</v>
      </c>
      <c r="W274">
        <v>185883</v>
      </c>
    </row>
    <row r="275" spans="1:23" x14ac:dyDescent="0.3">
      <c r="A275" s="1" cm="1">
        <f t="array" ref="A275">IF(OR(B275:G275=""), "", A274 + 1)</f>
        <v>44180</v>
      </c>
      <c r="B275">
        <f t="shared" si="137"/>
        <v>190888</v>
      </c>
      <c r="C275" s="11">
        <f t="shared" si="138"/>
        <v>7.0699259259259253E-2</v>
      </c>
      <c r="D275" s="2">
        <f t="shared" si="139"/>
        <v>6.3261777234195904E-3</v>
      </c>
      <c r="E275" s="18">
        <f t="shared" si="140"/>
        <v>-5.9820006055793892E-2</v>
      </c>
      <c r="F275">
        <f t="shared" si="141"/>
        <v>1200</v>
      </c>
      <c r="G275">
        <v>3808</v>
      </c>
      <c r="H275">
        <f t="shared" si="110"/>
        <v>3</v>
      </c>
      <c r="I275">
        <v>2319064</v>
      </c>
      <c r="J275">
        <f t="shared" si="142"/>
        <v>16716</v>
      </c>
      <c r="K275" s="2">
        <f t="shared" si="143"/>
        <v>7.260414151118777E-3</v>
      </c>
      <c r="L275" s="2">
        <f t="shared" si="144"/>
        <v>7.1787508973438621E-2</v>
      </c>
      <c r="W275">
        <v>187080</v>
      </c>
    </row>
    <row r="276" spans="1:23" x14ac:dyDescent="0.3">
      <c r="A276" s="1" cm="1">
        <f t="array" ref="A276">IF(OR(B276:G276=""), "", A275 + 1)</f>
        <v>44181</v>
      </c>
      <c r="B276">
        <f t="shared" si="137"/>
        <v>192121</v>
      </c>
      <c r="C276" s="11">
        <f t="shared" si="138"/>
        <v>7.1155925925925928E-2</v>
      </c>
      <c r="D276" s="2">
        <f t="shared" si="139"/>
        <v>6.4592850257743084E-3</v>
      </c>
      <c r="E276" s="18">
        <f t="shared" si="140"/>
        <v>-1.9044908395336527E-2</v>
      </c>
      <c r="F276">
        <f t="shared" si="141"/>
        <v>1233</v>
      </c>
      <c r="G276">
        <v>3832</v>
      </c>
      <c r="H276">
        <f t="shared" si="110"/>
        <v>24</v>
      </c>
      <c r="I276">
        <v>2334715</v>
      </c>
      <c r="J276">
        <f t="shared" si="142"/>
        <v>15651</v>
      </c>
      <c r="K276" s="2">
        <f t="shared" si="143"/>
        <v>6.7488434989289026E-3</v>
      </c>
      <c r="L276" s="2">
        <f t="shared" si="144"/>
        <v>7.8780908568142613E-2</v>
      </c>
      <c r="W276">
        <v>188289</v>
      </c>
    </row>
  </sheetData>
  <conditionalFormatting sqref="D7:D276">
    <cfRule type="colorScale" priority="8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E1">
    <cfRule type="colorScale" priority="7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L1">
    <cfRule type="colorScale" priority="4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L5:L276">
    <cfRule type="colorScale" priority="3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E5:E111">
    <cfRule type="colorScale" priority="2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E112:E276">
    <cfRule type="colorScale" priority="1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08969-CDF8-4BC2-9161-A1B06F6CFFDF}">
  <sheetPr codeName="Sheet4">
    <pageSetUpPr autoPageBreaks="0"/>
  </sheetPr>
  <dimension ref="A1:AS223"/>
  <sheetViews>
    <sheetView tabSelected="1" topLeftCell="G1" zoomScaleNormal="100" workbookViewId="0">
      <pane ySplit="1" topLeftCell="A209" activePane="bottomLeft" state="frozen"/>
      <selection activeCell="G1" sqref="G1"/>
      <selection pane="bottomLeft" activeCell="Q82" sqref="Q82"/>
    </sheetView>
  </sheetViews>
  <sheetFormatPr defaultRowHeight="14.4" x14ac:dyDescent="0.3"/>
  <cols>
    <col min="2" max="11" width="8.88671875" customWidth="1"/>
    <col min="12" max="12" width="8.88671875" style="2" customWidth="1"/>
    <col min="13" max="26" width="8.88671875" customWidth="1"/>
    <col min="35" max="35" width="8.88671875" style="2"/>
  </cols>
  <sheetData>
    <row r="1" spans="1:45" x14ac:dyDescent="0.3">
      <c r="A1">
        <v>57000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222</v>
      </c>
      <c r="U1" t="s">
        <v>0</v>
      </c>
    </row>
    <row r="2" spans="1:45" x14ac:dyDescent="0.3">
      <c r="A2" s="1">
        <f>Y3+1</f>
        <v>43960</v>
      </c>
      <c r="B2">
        <f t="shared" ref="B2:B9" si="0">U2 + G2</f>
        <v>472</v>
      </c>
      <c r="C2" s="11">
        <f t="shared" ref="C2" si="1">B2/$A$1</f>
        <v>8.2807017543859648E-3</v>
      </c>
      <c r="D2" s="2">
        <f>B2/Z3 - 1</f>
        <v>3.0567685589519611E-2</v>
      </c>
      <c r="E2" s="15">
        <f t="shared" ref="E2" si="2">LOG(D2/K2)</f>
        <v>-9.5552989579212363E-2</v>
      </c>
      <c r="F2">
        <f>B2 - Z3</f>
        <v>14</v>
      </c>
      <c r="G2" t="b">
        <f>FALSE</f>
        <v>0</v>
      </c>
      <c r="H2">
        <f>G2-AE3</f>
        <v>0</v>
      </c>
      <c r="I2">
        <v>2044</v>
      </c>
      <c r="J2">
        <f>I2 - AG3</f>
        <v>75</v>
      </c>
      <c r="K2" s="2">
        <f>I2/AG3 - 1</f>
        <v>3.8090401218892733E-2</v>
      </c>
      <c r="L2" s="2">
        <f>(B2 - Z3)/(I2 - AG3)</f>
        <v>0.18666666666666668</v>
      </c>
      <c r="U2">
        <v>472</v>
      </c>
      <c r="Y2" s="1" t="s">
        <v>15</v>
      </c>
      <c r="Z2">
        <f>AS2 + AE2</f>
        <v>411</v>
      </c>
      <c r="AA2" s="11">
        <f>Z2/$A$1</f>
        <v>7.2105263157894737E-3</v>
      </c>
      <c r="AB2" s="2"/>
      <c r="AC2" s="15"/>
      <c r="AE2" t="b">
        <f>FALSE</f>
        <v>0</v>
      </c>
      <c r="AF2">
        <f>G8-G7</f>
        <v>0</v>
      </c>
      <c r="AG2">
        <v>1773</v>
      </c>
      <c r="AJ2" s="2"/>
      <c r="AS2">
        <v>411</v>
      </c>
    </row>
    <row r="3" spans="1:45" x14ac:dyDescent="0.3">
      <c r="A3" s="1">
        <f t="shared" ref="A3:A22" si="3">A2+1</f>
        <v>43961</v>
      </c>
      <c r="B3">
        <f t="shared" si="0"/>
        <v>481</v>
      </c>
      <c r="C3" s="11">
        <f t="shared" ref="C3" si="4">B3/$A$1</f>
        <v>8.43859649122807E-3</v>
      </c>
      <c r="D3" s="2">
        <f t="shared" ref="D3" si="5">B3/B2 - 1</f>
        <v>1.9067796610169552E-2</v>
      </c>
      <c r="E3" s="15">
        <f t="shared" ref="E3" si="6">LOG(D3/K3)</f>
        <v>-0.12522194136688458</v>
      </c>
      <c r="F3">
        <f t="shared" ref="F3" si="7">B3 - B2</f>
        <v>9</v>
      </c>
      <c r="G3" t="b">
        <f>FALSE</f>
        <v>0</v>
      </c>
      <c r="H3">
        <f t="shared" ref="H3:H9" si="8">G3-G2</f>
        <v>0</v>
      </c>
      <c r="I3">
        <v>2096</v>
      </c>
      <c r="J3">
        <f t="shared" ref="J3" si="9">I3 - I2</f>
        <v>52</v>
      </c>
      <c r="K3" s="2">
        <f t="shared" ref="K3" si="10">I3/I2 - 1</f>
        <v>2.5440313111545931E-2</v>
      </c>
      <c r="L3" s="2">
        <f t="shared" ref="L3" si="11">(B3 - B2)/(I3 - I2)</f>
        <v>0.17307692307692307</v>
      </c>
      <c r="U3">
        <v>481</v>
      </c>
      <c r="Y3" s="1">
        <v>43959</v>
      </c>
      <c r="Z3">
        <f>AS3 + AE3</f>
        <v>458</v>
      </c>
      <c r="AA3" s="11">
        <f t="shared" ref="AA3" si="12">Z3/$A$1</f>
        <v>8.0350877192982458E-3</v>
      </c>
      <c r="AB3" s="2">
        <f>Z3/Z2 - 1</f>
        <v>0.11435523114355228</v>
      </c>
      <c r="AC3" s="15">
        <f t="shared" ref="AC3" si="13">LOG(AB3/AI3)</f>
        <v>1.4708700304089967E-2</v>
      </c>
      <c r="AD3">
        <f>Z3 - Z2</f>
        <v>47</v>
      </c>
      <c r="AE3" t="b">
        <f>FALSE</f>
        <v>0</v>
      </c>
      <c r="AF3">
        <f>G9-G8</f>
        <v>0</v>
      </c>
      <c r="AG3">
        <v>1969</v>
      </c>
      <c r="AH3">
        <f>AG3 - AG2</f>
        <v>196</v>
      </c>
      <c r="AI3" s="2">
        <f>AG3/AG2 - 1</f>
        <v>0.11054709531866891</v>
      </c>
      <c r="AJ3" s="2">
        <f>(Z3 - Z2)/(AG3 - AG2)</f>
        <v>0.23979591836734693</v>
      </c>
      <c r="AS3">
        <v>458</v>
      </c>
    </row>
    <row r="4" spans="1:45" x14ac:dyDescent="0.3">
      <c r="A4" s="1">
        <f t="shared" si="3"/>
        <v>43962</v>
      </c>
      <c r="B4">
        <f t="shared" si="0"/>
        <v>488</v>
      </c>
      <c r="C4" s="11">
        <f t="shared" ref="C4" si="14">B4/$A$1</f>
        <v>8.5614035087719295E-3</v>
      </c>
      <c r="D4" s="2">
        <f t="shared" ref="D4" si="15">B4/B3 - 1</f>
        <v>1.4553014553014609E-2</v>
      </c>
      <c r="E4" s="15">
        <f t="shared" ref="E4" si="16">LOG(D4/K4)</f>
        <v>-0.1491242136274728</v>
      </c>
      <c r="F4">
        <f t="shared" ref="F4" si="17">B4 - B3</f>
        <v>7</v>
      </c>
      <c r="G4" t="b">
        <f>FALSE</f>
        <v>0</v>
      </c>
      <c r="H4">
        <f t="shared" si="8"/>
        <v>0</v>
      </c>
      <c r="I4">
        <v>2139</v>
      </c>
      <c r="J4">
        <f t="shared" ref="J4" si="18">I4 - I3</f>
        <v>43</v>
      </c>
      <c r="K4" s="2">
        <f t="shared" ref="K4" si="19">I4/I3 - 1</f>
        <v>2.0515267175572616E-2</v>
      </c>
      <c r="L4" s="2">
        <f t="shared" ref="L4" si="20">(B4 - B3)/(I4 - I3)</f>
        <v>0.16279069767441862</v>
      </c>
      <c r="U4">
        <v>488</v>
      </c>
    </row>
    <row r="5" spans="1:45" x14ac:dyDescent="0.3">
      <c r="A5" s="1">
        <f t="shared" si="3"/>
        <v>43963</v>
      </c>
      <c r="B5">
        <f t="shared" si="0"/>
        <v>502</v>
      </c>
      <c r="C5" s="11">
        <f t="shared" ref="C5" si="21">B5/$A$1</f>
        <v>8.8070175438596486E-3</v>
      </c>
      <c r="D5" s="2">
        <f t="shared" ref="D5" si="22">B5/B4 - 1</f>
        <v>2.8688524590164022E-2</v>
      </c>
      <c r="E5" s="15">
        <f t="shared" ref="E5" si="23">LOG(D5/K5)</f>
        <v>-0.17112239407403643</v>
      </c>
      <c r="F5">
        <f t="shared" ref="F5" si="24">B5 - B4</f>
        <v>14</v>
      </c>
      <c r="G5" t="b">
        <f>FALSE</f>
        <v>0</v>
      </c>
      <c r="H5">
        <f t="shared" si="8"/>
        <v>0</v>
      </c>
      <c r="I5">
        <v>2230</v>
      </c>
      <c r="J5">
        <f t="shared" ref="J5" si="25">I5 - I4</f>
        <v>91</v>
      </c>
      <c r="K5" s="2">
        <f t="shared" ref="K5" si="26">I5/I4 - 1</f>
        <v>4.2543244506778821E-2</v>
      </c>
      <c r="L5" s="2">
        <f t="shared" ref="L5" si="27">(B5 - B4)/(I5 - I4)</f>
        <v>0.15384615384615385</v>
      </c>
      <c r="U5">
        <v>502</v>
      </c>
    </row>
    <row r="6" spans="1:45" x14ac:dyDescent="0.3">
      <c r="A6" s="1">
        <f t="shared" si="3"/>
        <v>43964</v>
      </c>
      <c r="B6">
        <f t="shared" si="0"/>
        <v>512</v>
      </c>
      <c r="C6" s="11">
        <f t="shared" ref="C6" si="28">B6/$A$1</f>
        <v>8.9824561403508765E-3</v>
      </c>
      <c r="D6" s="2">
        <f t="shared" ref="D6" si="29">B6/B5 - 1</f>
        <v>1.9920318725099584E-2</v>
      </c>
      <c r="E6" s="15">
        <f t="shared" ref="E6" si="30">LOG(D6/K6)</f>
        <v>-5.1368858432879097E-2</v>
      </c>
      <c r="F6">
        <f t="shared" ref="F6" si="31">B6 - B5</f>
        <v>10</v>
      </c>
      <c r="G6" t="b">
        <f>FALSE</f>
        <v>0</v>
      </c>
      <c r="H6">
        <f t="shared" si="8"/>
        <v>0</v>
      </c>
      <c r="I6">
        <v>2280</v>
      </c>
      <c r="J6">
        <f t="shared" ref="J6" si="32">I6 - I5</f>
        <v>50</v>
      </c>
      <c r="K6" s="2">
        <f t="shared" ref="K6" si="33">I6/I5 - 1</f>
        <v>2.2421524663677195E-2</v>
      </c>
      <c r="L6" s="2">
        <f t="shared" ref="L6" si="34">(B6 - B5)/(I6 - I5)</f>
        <v>0.2</v>
      </c>
      <c r="U6">
        <v>512</v>
      </c>
    </row>
    <row r="7" spans="1:45" x14ac:dyDescent="0.3">
      <c r="A7" s="1">
        <f t="shared" si="3"/>
        <v>43965</v>
      </c>
      <c r="B7">
        <f t="shared" si="0"/>
        <v>544</v>
      </c>
      <c r="C7" s="11">
        <f t="shared" ref="C7" si="35">B7/$A$1</f>
        <v>9.5438596491228076E-3</v>
      </c>
      <c r="D7" s="2">
        <f t="shared" ref="D7" si="36">B7/B6 - 1</f>
        <v>6.25E-2</v>
      </c>
      <c r="E7" s="15">
        <f t="shared" ref="E7" si="37">LOG(D7/K7)</f>
        <v>0.1715436313049615</v>
      </c>
      <c r="F7">
        <f t="shared" ref="F7" si="38">B7 - B6</f>
        <v>32</v>
      </c>
      <c r="G7" t="b">
        <f>FALSE</f>
        <v>0</v>
      </c>
      <c r="H7">
        <f t="shared" si="8"/>
        <v>0</v>
      </c>
      <c r="I7">
        <v>2376</v>
      </c>
      <c r="J7">
        <f t="shared" ref="J7" si="39">I7 - I6</f>
        <v>96</v>
      </c>
      <c r="K7" s="2">
        <f t="shared" ref="K7" si="40">I7/I6 - 1</f>
        <v>4.2105263157894646E-2</v>
      </c>
      <c r="L7" s="2">
        <f t="shared" ref="L7" si="41">(B7 - B6)/(I7 - I6)</f>
        <v>0.33333333333333331</v>
      </c>
      <c r="U7">
        <v>544</v>
      </c>
    </row>
    <row r="8" spans="1:45" x14ac:dyDescent="0.3">
      <c r="A8" s="1">
        <f t="shared" si="3"/>
        <v>43966</v>
      </c>
      <c r="B8">
        <f t="shared" si="0"/>
        <v>556</v>
      </c>
      <c r="C8" s="11">
        <f t="shared" ref="C8" si="42">B8/$A$1</f>
        <v>9.7543859649122811E-3</v>
      </c>
      <c r="D8" s="2">
        <f t="shared" ref="D8" si="43">B8/B7 - 1</f>
        <v>2.2058823529411686E-2</v>
      </c>
      <c r="E8" s="15">
        <f t="shared" ref="E8" si="44">LOG(D8/K8)</f>
        <v>-0.20999014305569225</v>
      </c>
      <c r="F8">
        <f t="shared" ref="F8" si="45">B8 - B7</f>
        <v>12</v>
      </c>
      <c r="G8" t="b">
        <f>FALSE</f>
        <v>0</v>
      </c>
      <c r="H8">
        <f t="shared" si="8"/>
        <v>0</v>
      </c>
      <c r="I8">
        <v>2461</v>
      </c>
      <c r="J8">
        <f t="shared" ref="J8" si="46">I8 - I7</f>
        <v>85</v>
      </c>
      <c r="K8" s="2">
        <f t="shared" ref="K8" si="47">I8/I7 - 1</f>
        <v>3.5774410774410681E-2</v>
      </c>
      <c r="L8" s="2">
        <f t="shared" ref="L8" si="48">(B8 - B7)/(I8 - I7)</f>
        <v>0.14117647058823529</v>
      </c>
      <c r="U8">
        <v>556</v>
      </c>
    </row>
    <row r="9" spans="1:45" x14ac:dyDescent="0.3">
      <c r="A9" s="1">
        <f t="shared" si="3"/>
        <v>43967</v>
      </c>
      <c r="B9">
        <f t="shared" si="0"/>
        <v>565</v>
      </c>
      <c r="C9" s="11">
        <f t="shared" ref="C9" si="49">B9/$A$1</f>
        <v>9.9122807017543862E-3</v>
      </c>
      <c r="D9" s="2">
        <f t="shared" ref="D9" si="50">B9/B8 - 1</f>
        <v>1.618705035971213E-2</v>
      </c>
      <c r="E9" s="15">
        <f t="shared" ref="E9" si="51">LOG(D9/K9)</f>
        <v>-0.19211235793818784</v>
      </c>
      <c r="F9">
        <f t="shared" ref="F9" si="52">B9 - B8</f>
        <v>9</v>
      </c>
      <c r="G9" t="b">
        <f>FALSE</f>
        <v>0</v>
      </c>
      <c r="H9">
        <f t="shared" si="8"/>
        <v>0</v>
      </c>
      <c r="I9">
        <v>2523</v>
      </c>
      <c r="J9">
        <f t="shared" ref="J9" si="53">I9 - I8</f>
        <v>62</v>
      </c>
      <c r="K9" s="2">
        <f t="shared" ref="K9" si="54">I9/I8 - 1</f>
        <v>2.5193010971150009E-2</v>
      </c>
      <c r="L9" s="2">
        <f t="shared" ref="L9" si="55">(B9 - B8)/(I9 - I8)</f>
        <v>0.14516129032258066</v>
      </c>
      <c r="U9">
        <v>565</v>
      </c>
    </row>
    <row r="10" spans="1:45" x14ac:dyDescent="0.3">
      <c r="A10" s="1">
        <f t="shared" si="3"/>
        <v>43968</v>
      </c>
      <c r="B10">
        <f t="shared" ref="B10" si="56">U10 + G10</f>
        <v>578</v>
      </c>
      <c r="C10" s="11">
        <f t="shared" ref="C10" si="57">B10/$A$1</f>
        <v>1.0140350877192983E-2</v>
      </c>
      <c r="D10" s="2">
        <f t="shared" ref="D10" si="58">B10/B9 - 1</f>
        <v>2.3008849557522026E-2</v>
      </c>
      <c r="E10" s="15">
        <f t="shared" ref="E10" si="59">LOG(D10/K10)</f>
        <v>-0.17570709761364839</v>
      </c>
      <c r="F10">
        <f t="shared" ref="F10" si="60">B10 - B9</f>
        <v>13</v>
      </c>
      <c r="G10" t="b">
        <f>FALSE</f>
        <v>0</v>
      </c>
      <c r="H10">
        <f t="shared" ref="H10" si="61">G10-G9</f>
        <v>0</v>
      </c>
      <c r="I10">
        <v>2610</v>
      </c>
      <c r="J10">
        <f t="shared" ref="J10" si="62">I10 - I9</f>
        <v>87</v>
      </c>
      <c r="K10" s="2">
        <f t="shared" ref="K10" si="63">I10/I9 - 1</f>
        <v>3.4482758620689724E-2</v>
      </c>
      <c r="L10" s="2">
        <f t="shared" ref="L10" si="64">(B10 - B9)/(I10 - I9)</f>
        <v>0.14942528735632185</v>
      </c>
      <c r="U10">
        <v>578</v>
      </c>
    </row>
    <row r="11" spans="1:45" x14ac:dyDescent="0.3">
      <c r="A11" s="1">
        <f t="shared" si="3"/>
        <v>43969</v>
      </c>
      <c r="B11">
        <f t="shared" ref="B11" si="65">U11 + G11</f>
        <v>597</v>
      </c>
      <c r="C11" s="11">
        <f t="shared" ref="C11" si="66">B11/$A$1</f>
        <v>1.0473684210526316E-2</v>
      </c>
      <c r="D11" s="2">
        <f t="shared" ref="D11" si="67">B11/B10 - 1</f>
        <v>3.2871972318339049E-2</v>
      </c>
      <c r="E11" s="15">
        <f t="shared" ref="E11" si="68">LOG(D11/K11)</f>
        <v>0.14107458037232587</v>
      </c>
      <c r="F11">
        <f t="shared" ref="F11" si="69">B11 - B10</f>
        <v>19</v>
      </c>
      <c r="G11" t="b">
        <f>FALSE</f>
        <v>0</v>
      </c>
      <c r="H11">
        <f t="shared" ref="H11" si="70">G11-G10</f>
        <v>0</v>
      </c>
      <c r="I11">
        <v>2672</v>
      </c>
      <c r="J11">
        <f t="shared" ref="J11" si="71">I11 - I10</f>
        <v>62</v>
      </c>
      <c r="K11" s="2">
        <f t="shared" ref="K11" si="72">I11/I10 - 1</f>
        <v>2.3754789272030674E-2</v>
      </c>
      <c r="L11" s="2">
        <f t="shared" ref="L11" si="73">(B11 - B10)/(I11 - I10)</f>
        <v>0.30645161290322581</v>
      </c>
      <c r="U11">
        <v>597</v>
      </c>
    </row>
    <row r="12" spans="1:45" x14ac:dyDescent="0.3">
      <c r="A12" s="1">
        <f t="shared" si="3"/>
        <v>43970</v>
      </c>
      <c r="B12">
        <f t="shared" ref="B12" si="74">U12 + G12</f>
        <v>609</v>
      </c>
      <c r="C12" s="11">
        <f t="shared" ref="C12" si="75">B12/$A$1</f>
        <v>1.0684210526315789E-2</v>
      </c>
      <c r="D12" s="2">
        <f t="shared" ref="D12" si="76">B12/B11 - 1</f>
        <v>2.0100502512562901E-2</v>
      </c>
      <c r="E12" s="15">
        <f t="shared" ref="E12" si="77">LOG(D12/K12)</f>
        <v>-4.810788166187762E-2</v>
      </c>
      <c r="F12">
        <f t="shared" ref="F12" si="78">B12 - B11</f>
        <v>12</v>
      </c>
      <c r="G12" t="b">
        <f>FALSE</f>
        <v>0</v>
      </c>
      <c r="H12">
        <f t="shared" ref="H12" si="79">G12-G11</f>
        <v>0</v>
      </c>
      <c r="I12">
        <v>2732</v>
      </c>
      <c r="J12">
        <f t="shared" ref="J12" si="80">I12 - I11</f>
        <v>60</v>
      </c>
      <c r="K12" s="2">
        <f t="shared" ref="K12" si="81">I12/I11 - 1</f>
        <v>2.2455089820359264E-2</v>
      </c>
      <c r="L12" s="2">
        <f t="shared" ref="L12" si="82">(B12 - B11)/(I12 - I11)</f>
        <v>0.2</v>
      </c>
      <c r="U12">
        <v>609</v>
      </c>
    </row>
    <row r="13" spans="1:45" x14ac:dyDescent="0.3">
      <c r="A13" s="1">
        <f t="shared" si="3"/>
        <v>43971</v>
      </c>
      <c r="B13">
        <f t="shared" ref="B13" si="83">U13 + G13</f>
        <v>625</v>
      </c>
      <c r="C13" s="11">
        <f t="shared" ref="C13" si="84">B13/$A$1</f>
        <v>1.0964912280701754E-2</v>
      </c>
      <c r="D13" s="2">
        <f t="shared" ref="D13" si="85">B13/B12 - 1</f>
        <v>2.6272577996715896E-2</v>
      </c>
      <c r="E13" s="15">
        <f t="shared" ref="E13" si="86">LOG(D13/K13)</f>
        <v>-0.34813659762338095</v>
      </c>
      <c r="F13">
        <f t="shared" ref="F13" si="87">B13 - B12</f>
        <v>16</v>
      </c>
      <c r="G13" t="b">
        <f>FALSE</f>
        <v>0</v>
      </c>
      <c r="H13">
        <f t="shared" ref="H13" si="88">G13-G12</f>
        <v>0</v>
      </c>
      <c r="I13">
        <v>2892</v>
      </c>
      <c r="J13">
        <f t="shared" ref="J13" si="89">I13 - I12</f>
        <v>160</v>
      </c>
      <c r="K13" s="2">
        <f t="shared" ref="K13" si="90">I13/I12 - 1</f>
        <v>5.8565153733528552E-2</v>
      </c>
      <c r="L13" s="2">
        <f t="shared" ref="L13" si="91">(B13 - B12)/(I13 - I12)</f>
        <v>0.1</v>
      </c>
      <c r="U13">
        <v>625</v>
      </c>
    </row>
    <row r="14" spans="1:45" x14ac:dyDescent="0.3">
      <c r="A14" s="1">
        <f t="shared" si="3"/>
        <v>43972</v>
      </c>
      <c r="B14">
        <f t="shared" ref="B14" si="92">U14 + G14</f>
        <v>637</v>
      </c>
      <c r="C14" s="11">
        <f t="shared" ref="C14" si="93">B14/$A$1</f>
        <v>1.1175438596491227E-2</v>
      </c>
      <c r="D14" s="2">
        <f t="shared" ref="D14" si="94">B14/B13 - 1</f>
        <v>1.9200000000000106E-2</v>
      </c>
      <c r="E14" s="15">
        <f t="shared" ref="E14" si="95">LOG(D14/K14)</f>
        <v>-0.19998315482412191</v>
      </c>
      <c r="F14">
        <f t="shared" ref="F14" si="96">B14 - B13</f>
        <v>12</v>
      </c>
      <c r="G14" t="b">
        <f>FALSE</f>
        <v>0</v>
      </c>
      <c r="H14">
        <f t="shared" ref="H14" si="97">G14-G13</f>
        <v>0</v>
      </c>
      <c r="I14">
        <v>2980</v>
      </c>
      <c r="J14">
        <f t="shared" ref="J14" si="98">I14 - I13</f>
        <v>88</v>
      </c>
      <c r="K14" s="2">
        <f t="shared" ref="K14" si="99">I14/I13 - 1</f>
        <v>3.0428769017980528E-2</v>
      </c>
      <c r="L14" s="2">
        <f t="shared" ref="L14" si="100">(B14 - B13)/(I14 - I13)</f>
        <v>0.13636363636363635</v>
      </c>
      <c r="U14">
        <v>637</v>
      </c>
    </row>
    <row r="15" spans="1:45" x14ac:dyDescent="0.3">
      <c r="A15" s="1">
        <f t="shared" si="3"/>
        <v>43973</v>
      </c>
      <c r="B15">
        <f t="shared" ref="B15" si="101">U15 + G15</f>
        <v>649</v>
      </c>
      <c r="C15" s="11">
        <f t="shared" ref="C15" si="102">B15/$A$1</f>
        <v>1.1385964912280703E-2</v>
      </c>
      <c r="D15" s="2">
        <f t="shared" ref="D15" si="103">B15/B14 - 1</f>
        <v>1.8838304552590168E-2</v>
      </c>
      <c r="E15" s="15">
        <f t="shared" ref="E15" si="104">LOG(D15/K15)</f>
        <v>-0.2238697758111711</v>
      </c>
      <c r="F15">
        <f t="shared" ref="F15" si="105">B15 - B14</f>
        <v>12</v>
      </c>
      <c r="G15" t="b">
        <f>FALSE</f>
        <v>0</v>
      </c>
      <c r="H15">
        <f t="shared" ref="H15" si="106">G15-G14</f>
        <v>0</v>
      </c>
      <c r="I15">
        <v>3074</v>
      </c>
      <c r="J15">
        <f t="shared" ref="J15" si="107">I15 - I14</f>
        <v>94</v>
      </c>
      <c r="K15" s="2">
        <f t="shared" ref="K15" si="108">I15/I14 - 1</f>
        <v>3.1543624161073813E-2</v>
      </c>
      <c r="L15" s="2">
        <f t="shared" ref="L15" si="109">(B15 - B14)/(I15 - I14)</f>
        <v>0.1276595744680851</v>
      </c>
      <c r="U15">
        <v>649</v>
      </c>
    </row>
    <row r="16" spans="1:45" x14ac:dyDescent="0.3">
      <c r="A16" s="1">
        <f t="shared" si="3"/>
        <v>43974</v>
      </c>
      <c r="B16">
        <f t="shared" ref="B16" si="110">U16 + G16</f>
        <v>672</v>
      </c>
      <c r="C16" s="11">
        <f t="shared" ref="C16" si="111">B16/$A$1</f>
        <v>1.1789473684210527E-2</v>
      </c>
      <c r="D16" s="2">
        <f t="shared" ref="D16" si="112">B16/B15 - 1</f>
        <v>3.5439137134052334E-2</v>
      </c>
      <c r="E16" s="15">
        <f t="shared" ref="E16" si="113">LOG(D16/K16)</f>
        <v>-0.34302423933065629</v>
      </c>
      <c r="F16">
        <f t="shared" ref="F16" si="114">B16 - B15</f>
        <v>23</v>
      </c>
      <c r="G16" t="b">
        <f>FALSE</f>
        <v>0</v>
      </c>
      <c r="H16">
        <f t="shared" ref="H16" si="115">G16-G15</f>
        <v>0</v>
      </c>
      <c r="I16">
        <v>3314</v>
      </c>
      <c r="J16">
        <f t="shared" ref="J16" si="116">I16 - I15</f>
        <v>240</v>
      </c>
      <c r="K16" s="2">
        <f t="shared" ref="K16" si="117">I16/I15 - 1</f>
        <v>7.8074170461938763E-2</v>
      </c>
      <c r="L16" s="2">
        <f t="shared" ref="L16" si="118">(B16 - B15)/(I16 - I15)</f>
        <v>9.583333333333334E-2</v>
      </c>
      <c r="U16">
        <v>672</v>
      </c>
    </row>
    <row r="17" spans="1:23" x14ac:dyDescent="0.3">
      <c r="A17" s="1">
        <f t="shared" si="3"/>
        <v>43975</v>
      </c>
      <c r="B17">
        <f t="shared" ref="B17" si="119">U17 + G17</f>
        <v>691</v>
      </c>
      <c r="C17" s="11">
        <f t="shared" ref="C17" si="120">B17/$A$1</f>
        <v>1.212280701754386E-2</v>
      </c>
      <c r="D17" s="2">
        <f t="shared" ref="D17" si="121">B17/B16 - 1</f>
        <v>2.8273809523809534E-2</v>
      </c>
      <c r="E17" s="15">
        <f t="shared" ref="E17" si="122">LOG(D17/K17)</f>
        <v>-7.748119068786026E-2</v>
      </c>
      <c r="F17">
        <f t="shared" ref="F17" si="123">B17 - B16</f>
        <v>19</v>
      </c>
      <c r="G17" t="b">
        <f>FALSE</f>
        <v>0</v>
      </c>
      <c r="H17">
        <f t="shared" ref="H17" si="124">G17-G16</f>
        <v>0</v>
      </c>
      <c r="I17">
        <v>3426</v>
      </c>
      <c r="J17">
        <f t="shared" ref="J17" si="125">I17 - I16</f>
        <v>112</v>
      </c>
      <c r="K17" s="2">
        <f t="shared" ref="K17" si="126">I17/I16 - 1</f>
        <v>3.3796016898008485E-2</v>
      </c>
      <c r="L17" s="2">
        <f t="shared" ref="L17" si="127">(B17 - B16)/(I17 - I16)</f>
        <v>0.16964285714285715</v>
      </c>
      <c r="U17">
        <v>691</v>
      </c>
    </row>
    <row r="18" spans="1:23" x14ac:dyDescent="0.3">
      <c r="A18" s="1">
        <f t="shared" si="3"/>
        <v>43976</v>
      </c>
      <c r="B18">
        <f t="shared" ref="B18" si="128">U18 + G18</f>
        <v>698</v>
      </c>
      <c r="C18" s="11">
        <f t="shared" ref="C18" si="129">B18/$A$1</f>
        <v>1.2245614035087719E-2</v>
      </c>
      <c r="D18" s="2">
        <f t="shared" ref="D18" si="130">B18/B17 - 1</f>
        <v>1.013024602026058E-2</v>
      </c>
      <c r="E18" s="15">
        <f t="shared" ref="E18" si="131">LOG(D18/K18)</f>
        <v>-0.49701914667106983</v>
      </c>
      <c r="F18">
        <f t="shared" ref="F18" si="132">B18 - B17</f>
        <v>7</v>
      </c>
      <c r="G18" t="b">
        <f>FALSE</f>
        <v>0</v>
      </c>
      <c r="H18">
        <f t="shared" ref="H18" si="133">G18-G17</f>
        <v>0</v>
      </c>
      <c r="I18">
        <v>3535</v>
      </c>
      <c r="J18">
        <f t="shared" ref="J18" si="134">I18 - I17</f>
        <v>109</v>
      </c>
      <c r="K18" s="2">
        <f t="shared" ref="K18" si="135">I18/I17 - 1</f>
        <v>3.1815528312901353E-2</v>
      </c>
      <c r="L18" s="2">
        <f t="shared" ref="L18" si="136">(B18 - B17)/(I18 - I17)</f>
        <v>6.4220183486238536E-2</v>
      </c>
      <c r="U18">
        <v>698</v>
      </c>
    </row>
    <row r="19" spans="1:23" x14ac:dyDescent="0.3">
      <c r="A19" s="1">
        <f t="shared" si="3"/>
        <v>43977</v>
      </c>
      <c r="B19">
        <f t="shared" ref="B19" si="137">U19 + G19</f>
        <v>705</v>
      </c>
      <c r="C19" s="11">
        <f t="shared" ref="C19" si="138">B19/$A$1</f>
        <v>1.2368421052631579E-2</v>
      </c>
      <c r="D19" s="2">
        <f t="shared" ref="D19" si="139">B19/B18 - 1</f>
        <v>1.0028653295129031E-2</v>
      </c>
      <c r="E19" s="15">
        <f t="shared" ref="E19" si="140">LOG(D19/K19)</f>
        <v>-0.45036796447598348</v>
      </c>
      <c r="F19">
        <f t="shared" ref="F19" si="141">B19 - B18</f>
        <v>7</v>
      </c>
      <c r="G19" t="b">
        <f>FALSE</f>
        <v>0</v>
      </c>
      <c r="H19">
        <f t="shared" ref="H19" si="142">G19-G18</f>
        <v>0</v>
      </c>
      <c r="I19">
        <v>3635</v>
      </c>
      <c r="J19">
        <f t="shared" ref="J19" si="143">I19 - I18</f>
        <v>100</v>
      </c>
      <c r="K19" s="2">
        <f t="shared" ref="K19" si="144">I19/I18 - 1</f>
        <v>2.8288543140028377E-2</v>
      </c>
      <c r="L19" s="2">
        <f t="shared" ref="L19" si="145">(B19 - B18)/(I19 - I18)</f>
        <v>7.0000000000000007E-2</v>
      </c>
      <c r="U19">
        <v>705</v>
      </c>
    </row>
    <row r="20" spans="1:23" x14ac:dyDescent="0.3">
      <c r="A20" s="1">
        <f t="shared" si="3"/>
        <v>43978</v>
      </c>
      <c r="B20">
        <f t="shared" ref="B20" si="146">U20 + G20</f>
        <v>714</v>
      </c>
      <c r="C20" s="11">
        <f t="shared" ref="C20" si="147">B20/$A$1</f>
        <v>1.2526315789473684E-2</v>
      </c>
      <c r="D20" s="2">
        <f t="shared" ref="D20" si="148">B20/B19 - 1</f>
        <v>1.2765957446808418E-2</v>
      </c>
      <c r="E20" s="15">
        <f t="shared" ref="E20" si="149">LOG(D20/K20)</f>
        <v>-0.16595110506325839</v>
      </c>
      <c r="F20">
        <f t="shared" ref="F20" si="150">B20 - B19</f>
        <v>9</v>
      </c>
      <c r="G20" t="b">
        <f>FALSE</f>
        <v>0</v>
      </c>
      <c r="H20">
        <f t="shared" ref="H20" si="151">G20-G19</f>
        <v>0</v>
      </c>
      <c r="I20">
        <v>3703</v>
      </c>
      <c r="J20">
        <f t="shared" ref="J20" si="152">I20 - I19</f>
        <v>68</v>
      </c>
      <c r="K20" s="2">
        <f t="shared" ref="K20" si="153">I20/I19 - 1</f>
        <v>1.8707015130674076E-2</v>
      </c>
      <c r="L20" s="2">
        <f t="shared" ref="L20" si="154">(B20 - B19)/(I20 - I19)</f>
        <v>0.13235294117647059</v>
      </c>
      <c r="U20">
        <v>714</v>
      </c>
    </row>
    <row r="21" spans="1:23" x14ac:dyDescent="0.3">
      <c r="A21" s="1">
        <f t="shared" si="3"/>
        <v>43979</v>
      </c>
      <c r="B21">
        <f t="shared" ref="B21" si="155">U21 + G21</f>
        <v>721</v>
      </c>
      <c r="C21" s="11">
        <f t="shared" ref="C21" si="156">B21/$A$1</f>
        <v>1.2649122807017544E-2</v>
      </c>
      <c r="D21" s="2">
        <f t="shared" ref="D21" si="157">B21/B20 - 1</f>
        <v>9.8039215686274161E-3</v>
      </c>
      <c r="E21" s="15">
        <f t="shared" ref="E21" si="158">LOG(D21/K21)</f>
        <v>-0.44436783349511766</v>
      </c>
      <c r="F21">
        <f t="shared" ref="F21" si="159">B21 - B20</f>
        <v>7</v>
      </c>
      <c r="G21" t="b">
        <f>FALSE</f>
        <v>0</v>
      </c>
      <c r="H21">
        <f t="shared" ref="H21" si="160">G21-G20</f>
        <v>0</v>
      </c>
      <c r="I21">
        <v>3804</v>
      </c>
      <c r="J21">
        <f t="shared" ref="J21" si="161">I21 - I20</f>
        <v>101</v>
      </c>
      <c r="K21" s="2">
        <f t="shared" ref="K21" si="162">I21/I20 - 1</f>
        <v>2.7275182284633992E-2</v>
      </c>
      <c r="L21" s="2">
        <f t="shared" ref="L21" si="163">(B21 - B20)/(I21 - I20)</f>
        <v>6.9306930693069313E-2</v>
      </c>
      <c r="U21">
        <v>721</v>
      </c>
    </row>
    <row r="22" spans="1:23" x14ac:dyDescent="0.3">
      <c r="A22" s="1">
        <f t="shared" si="3"/>
        <v>43980</v>
      </c>
      <c r="B22">
        <f t="shared" ref="B22" si="164">U22 + G22</f>
        <v>735</v>
      </c>
      <c r="C22" s="11">
        <f t="shared" ref="C22" si="165">B22/$A$1</f>
        <v>1.2894736842105263E-2</v>
      </c>
      <c r="D22" s="2">
        <f t="shared" ref="D22" si="166">B22/B21 - 1</f>
        <v>1.9417475728155331E-2</v>
      </c>
      <c r="E22" s="15">
        <f t="shared" ref="E22" si="167">LOG(D22/K22)</f>
        <v>-4.0051739654466435E-2</v>
      </c>
      <c r="F22">
        <f t="shared" ref="F22" si="168">B22 - B21</f>
        <v>14</v>
      </c>
      <c r="G22" t="b">
        <f>FALSE</f>
        <v>0</v>
      </c>
      <c r="H22">
        <f t="shared" ref="H22" si="169">G22-G21</f>
        <v>0</v>
      </c>
      <c r="I22">
        <v>3885</v>
      </c>
      <c r="J22">
        <f t="shared" ref="J22" si="170">I22 - I21</f>
        <v>81</v>
      </c>
      <c r="K22" s="2">
        <f t="shared" ref="K22" si="171">I22/I21 - 1</f>
        <v>2.1293375394321856E-2</v>
      </c>
      <c r="L22" s="2">
        <f t="shared" ref="L22" si="172">(B22 - B21)/(I22 - I21)</f>
        <v>0.1728395061728395</v>
      </c>
      <c r="U22">
        <v>735</v>
      </c>
    </row>
    <row r="23" spans="1:23" x14ac:dyDescent="0.3">
      <c r="A23" s="1" cm="1">
        <f t="array" ref="A23">IF(OR(B23:L23=""), "", A22 + 1)</f>
        <v>43981</v>
      </c>
      <c r="B23">
        <f t="shared" ref="B23" si="173">U23 + G23</f>
        <v>744</v>
      </c>
      <c r="C23" s="11">
        <f t="shared" ref="C23" si="174">B23/$A$1</f>
        <v>1.3052631578947368E-2</v>
      </c>
      <c r="D23" s="2">
        <f t="shared" ref="D23" si="175">B23/B22 - 1</f>
        <v>1.2244897959183598E-2</v>
      </c>
      <c r="E23" s="15">
        <f t="shared" ref="E23" si="176">LOG(D23/K23)</f>
        <v>-0.33125397826985853</v>
      </c>
      <c r="F23">
        <f t="shared" ref="F23" si="177">B23 - B22</f>
        <v>9</v>
      </c>
      <c r="G23" t="b">
        <f>FALSE</f>
        <v>0</v>
      </c>
      <c r="H23">
        <f t="shared" ref="H23" si="178">G23-G22</f>
        <v>0</v>
      </c>
      <c r="I23">
        <v>3987</v>
      </c>
      <c r="J23">
        <f t="shared" ref="J23" si="179">I23 - I22</f>
        <v>102</v>
      </c>
      <c r="K23" s="2">
        <f t="shared" ref="K23" si="180">I23/I22 - 1</f>
        <v>2.6254826254826336E-2</v>
      </c>
      <c r="L23" s="2">
        <f t="shared" ref="L23" si="181">(B23 - B22)/(I23 - I22)</f>
        <v>8.8235294117647065E-2</v>
      </c>
      <c r="U23">
        <v>744</v>
      </c>
    </row>
    <row r="24" spans="1:23" x14ac:dyDescent="0.3">
      <c r="A24" s="1" cm="1">
        <f t="array" ref="A24">IF(OR(B24:L24=""), "", A23 + 1)</f>
        <v>43982</v>
      </c>
      <c r="B24">
        <f t="shared" ref="B24" si="182">U24 + G24</f>
        <v>749</v>
      </c>
      <c r="C24" s="11">
        <f t="shared" ref="C24" si="183">B24/$A$1</f>
        <v>1.3140350877192982E-2</v>
      </c>
      <c r="D24" s="2">
        <f t="shared" ref="D24" si="184">B24/B23 - 1</f>
        <v>6.7204301075269868E-3</v>
      </c>
      <c r="E24" s="15">
        <f t="shared" ref="E24" si="185">LOG(D24/K24)</f>
        <v>-0.62886154688393159</v>
      </c>
      <c r="F24">
        <f t="shared" ref="F24" si="186">B24 - B23</f>
        <v>5</v>
      </c>
      <c r="G24" t="b">
        <f>FALSE</f>
        <v>0</v>
      </c>
      <c r="H24">
        <f t="shared" ref="H24" si="187">G24-G23</f>
        <v>0</v>
      </c>
      <c r="I24">
        <v>4101</v>
      </c>
      <c r="J24">
        <f t="shared" ref="J24" si="188">I24 - I23</f>
        <v>114</v>
      </c>
      <c r="K24" s="2">
        <f t="shared" ref="K24" si="189">I24/I23 - 1</f>
        <v>2.8592927012791591E-2</v>
      </c>
      <c r="L24" s="2">
        <f t="shared" ref="L24" si="190">(B24 - B23)/(I24 - I23)</f>
        <v>4.3859649122807015E-2</v>
      </c>
      <c r="U24">
        <v>749</v>
      </c>
    </row>
    <row r="25" spans="1:23" x14ac:dyDescent="0.3">
      <c r="A25" s="1" cm="1">
        <f t="array" ref="A25">IF(OR(B25:L25=""), "", A24 + 1)</f>
        <v>43983</v>
      </c>
      <c r="B25">
        <f t="shared" ref="B25" si="191">U25 + G25</f>
        <v>759</v>
      </c>
      <c r="C25" s="11">
        <f t="shared" ref="C25" si="192">B25/$A$1</f>
        <v>1.331578947368421E-2</v>
      </c>
      <c r="D25" s="2">
        <f t="shared" ref="D25" si="193">B25/B24 - 1</f>
        <v>1.3351134846461887E-2</v>
      </c>
      <c r="E25" s="15">
        <f t="shared" ref="E25" si="194">LOG(D25/K25)</f>
        <v>-0.26159204841198441</v>
      </c>
      <c r="F25">
        <f t="shared" ref="F25" si="195">B25 - B24</f>
        <v>10</v>
      </c>
      <c r="G25" t="b">
        <f>FALSE</f>
        <v>0</v>
      </c>
      <c r="H25">
        <f t="shared" ref="H25" si="196">G25-G24</f>
        <v>0</v>
      </c>
      <c r="I25">
        <v>4201</v>
      </c>
      <c r="J25">
        <f t="shared" ref="J25" si="197">I25 - I24</f>
        <v>100</v>
      </c>
      <c r="K25" s="2">
        <f t="shared" ref="K25" si="198">I25/I24 - 1</f>
        <v>2.4384296513045634E-2</v>
      </c>
      <c r="L25" s="2">
        <f t="shared" ref="L25" si="199">(B25 - B24)/(I25 - I24)</f>
        <v>0.1</v>
      </c>
      <c r="U25">
        <v>759</v>
      </c>
    </row>
    <row r="26" spans="1:23" x14ac:dyDescent="0.3">
      <c r="A26" s="1" cm="1">
        <f t="array" ref="A26">IF(OR(B26:L26=""), "", A25 + 1)</f>
        <v>43984</v>
      </c>
      <c r="B26">
        <f t="shared" ref="B26" si="200">U26 + G26</f>
        <v>767</v>
      </c>
      <c r="C26" s="11">
        <f t="shared" ref="C26" si="201">B26/$A$1</f>
        <v>1.3456140350877194E-2</v>
      </c>
      <c r="D26" s="2">
        <f t="shared" ref="D26" si="202">B26/B25 - 1</f>
        <v>1.0540184453228019E-2</v>
      </c>
      <c r="E26" s="15">
        <f t="shared" ref="E26" si="203">LOG(D26/K26)</f>
        <v>-0.23461269964633258</v>
      </c>
      <c r="F26">
        <f t="shared" ref="F26" si="204">B26 - B25</f>
        <v>8</v>
      </c>
      <c r="G26" t="b">
        <f>FALSE</f>
        <v>0</v>
      </c>
      <c r="H26">
        <f t="shared" ref="H26" si="205">G26-G25</f>
        <v>0</v>
      </c>
      <c r="I26">
        <v>4277</v>
      </c>
      <c r="J26">
        <f t="shared" ref="J26" si="206">I26 - I25</f>
        <v>76</v>
      </c>
      <c r="K26" s="2">
        <f t="shared" ref="K26" si="207">I26/I25 - 1</f>
        <v>1.8090930730778387E-2</v>
      </c>
      <c r="L26" s="2">
        <f t="shared" ref="L26" si="208">(B26 - B25)/(I26 - I25)</f>
        <v>0.10526315789473684</v>
      </c>
      <c r="U26">
        <v>767</v>
      </c>
    </row>
    <row r="27" spans="1:23" x14ac:dyDescent="0.3">
      <c r="A27" s="1" cm="1">
        <f t="array" ref="A27">IF(OR(B27:L27=""), "", A26 + 1)</f>
        <v>43985</v>
      </c>
      <c r="B27">
        <f t="shared" ref="B27" si="209">U27 + G27</f>
        <v>772</v>
      </c>
      <c r="C27" s="11">
        <f t="shared" ref="C27" si="210">B27/$A$1</f>
        <v>1.3543859649122808E-2</v>
      </c>
      <c r="D27" s="2">
        <f t="shared" ref="D27" si="211">B27/B26 - 1</f>
        <v>6.5189048239895353E-3</v>
      </c>
      <c r="E27" s="15">
        <f t="shared" ref="E27" si="212">LOG(D27/K27)</f>
        <v>-0.36086608334003761</v>
      </c>
      <c r="F27">
        <f t="shared" ref="F27" si="213">B27 - B26</f>
        <v>5</v>
      </c>
      <c r="G27" t="b">
        <f>FALSE</f>
        <v>0</v>
      </c>
      <c r="H27">
        <f t="shared" ref="H27" si="214">G27-G26</f>
        <v>0</v>
      </c>
      <c r="I27">
        <v>4341</v>
      </c>
      <c r="J27">
        <f t="shared" ref="J27" si="215">I27 - I26</f>
        <v>64</v>
      </c>
      <c r="K27" s="2">
        <f t="shared" ref="K27" si="216">I27/I26 - 1</f>
        <v>1.4963759644610608E-2</v>
      </c>
      <c r="L27" s="2">
        <f t="shared" ref="L27" si="217">(B27 - B26)/(I27 - I26)</f>
        <v>7.8125E-2</v>
      </c>
      <c r="U27">
        <v>772</v>
      </c>
    </row>
    <row r="28" spans="1:23" x14ac:dyDescent="0.3">
      <c r="A28" s="1" cm="1">
        <f t="array" ref="A28">IF(OR(B28:L28=""), "", A27 + 1)</f>
        <v>43986</v>
      </c>
      <c r="B28">
        <f t="shared" ref="B28" si="218">U28 + G28</f>
        <v>774</v>
      </c>
      <c r="C28" s="11">
        <f t="shared" ref="C28" si="219">B28/$A$1</f>
        <v>1.3578947368421053E-2</v>
      </c>
      <c r="D28" s="2">
        <f t="shared" ref="D28" si="220">B28/B27 - 1</f>
        <v>2.5906735751295429E-3</v>
      </c>
      <c r="E28" s="15">
        <f t="shared" ref="E28" si="221">LOG(D28/K28)</f>
        <v>-0.85748253771170257</v>
      </c>
      <c r="F28">
        <f t="shared" ref="F28" si="222">B28 - B27</f>
        <v>2</v>
      </c>
      <c r="G28" t="b">
        <f>FALSE</f>
        <v>0</v>
      </c>
      <c r="H28">
        <f t="shared" ref="H28" si="223">G28-G27</f>
        <v>0</v>
      </c>
      <c r="I28">
        <v>4422</v>
      </c>
      <c r="J28">
        <f t="shared" ref="J28" si="224">I28 - I27</f>
        <v>81</v>
      </c>
      <c r="K28" s="2">
        <f t="shared" ref="K28" si="225">I28/I27 - 1</f>
        <v>1.8659295093296446E-2</v>
      </c>
      <c r="L28" s="2">
        <f t="shared" ref="L28" si="226">(B28 - B27)/(I28 - I27)</f>
        <v>2.4691358024691357E-2</v>
      </c>
      <c r="U28">
        <v>774</v>
      </c>
    </row>
    <row r="29" spans="1:23" x14ac:dyDescent="0.3">
      <c r="A29" s="1" cm="1">
        <f t="array" ref="A29">IF(OR(B29:L29=""), "", A28 + 1)</f>
        <v>43987</v>
      </c>
      <c r="B29">
        <f t="shared" ref="B29" si="227">U29 + G29</f>
        <v>782</v>
      </c>
      <c r="C29" s="11">
        <f t="shared" ref="C29" si="228">B29/$A$1</f>
        <v>1.3719298245614036E-2</v>
      </c>
      <c r="D29" s="2">
        <f t="shared" ref="D29" si="229">B29/B28 - 1</f>
        <v>1.0335917312661591E-2</v>
      </c>
      <c r="E29" s="15">
        <f t="shared" ref="E29" si="230">LOG(D29/K29)</f>
        <v>-0.12536207045902034</v>
      </c>
      <c r="F29">
        <f t="shared" ref="F29" si="231">B29 - B28</f>
        <v>8</v>
      </c>
      <c r="G29" t="b">
        <f>FALSE</f>
        <v>0</v>
      </c>
      <c r="H29">
        <f t="shared" ref="H29" si="232">G29-G28</f>
        <v>0</v>
      </c>
      <c r="I29">
        <v>4483</v>
      </c>
      <c r="J29">
        <f t="shared" ref="J29" si="233">I29 - I28</f>
        <v>61</v>
      </c>
      <c r="K29" s="2">
        <f t="shared" ref="K29" si="234">I29/I28 - 1</f>
        <v>1.3794663048394495E-2</v>
      </c>
      <c r="L29" s="2">
        <f t="shared" ref="L29" si="235">(B29 - B28)/(I29 - I28)</f>
        <v>0.13114754098360656</v>
      </c>
      <c r="U29">
        <v>782</v>
      </c>
    </row>
    <row r="30" spans="1:23" x14ac:dyDescent="0.3">
      <c r="A30" s="1" cm="1">
        <f t="array" ref="A30">IF(OR(B30:L30=""), "", A29 + 1)</f>
        <v>43988</v>
      </c>
      <c r="B30">
        <f t="shared" ref="B30" si="236">U30 + G30</f>
        <v>785</v>
      </c>
      <c r="C30" s="11">
        <f t="shared" ref="C30" si="237">B30/$A$1</f>
        <v>1.3771929824561404E-2</v>
      </c>
      <c r="D30" s="2">
        <f t="shared" ref="D30" si="238">B30/B29 - 1</f>
        <v>3.8363171355497716E-3</v>
      </c>
      <c r="E30" s="15">
        <f t="shared" ref="E30" si="239">LOG(D30/K30)</f>
        <v>-0.69393568518869764</v>
      </c>
      <c r="F30">
        <f t="shared" ref="F30" si="240">B30 - B29</f>
        <v>3</v>
      </c>
      <c r="G30" t="b">
        <f>FALSE</f>
        <v>0</v>
      </c>
      <c r="H30">
        <f t="shared" ref="H30" si="241">G30-G29</f>
        <v>0</v>
      </c>
      <c r="I30">
        <v>4568</v>
      </c>
      <c r="J30">
        <f t="shared" ref="J30" si="242">I30 - I29</f>
        <v>85</v>
      </c>
      <c r="K30" s="2">
        <f t="shared" ref="K30" si="243">I30/I29 - 1</f>
        <v>1.8960517510595576E-2</v>
      </c>
      <c r="L30" s="2">
        <f t="shared" ref="L30" si="244">(B30 - B29)/(I30 - I29)</f>
        <v>3.5294117647058823E-2</v>
      </c>
      <c r="U30">
        <v>785</v>
      </c>
    </row>
    <row r="31" spans="1:23" x14ac:dyDescent="0.3">
      <c r="A31" s="1" cm="1">
        <f t="array" ref="A31">IF(OR(B31:L31=""), "", A30 + 1)</f>
        <v>43989</v>
      </c>
      <c r="B31">
        <f t="shared" ref="B31" si="245">U31 + G31</f>
        <v>791</v>
      </c>
      <c r="C31" s="11">
        <f t="shared" ref="C31" si="246">B31/$A$1</f>
        <v>1.3877192982456141E-2</v>
      </c>
      <c r="D31" s="2">
        <f t="shared" ref="D31" si="247">B31/B30 - 1</f>
        <v>7.6433121019108263E-3</v>
      </c>
      <c r="E31" s="15">
        <f t="shared" ref="E31" si="248">LOG(D31/K31)</f>
        <v>-0.41123482056314015</v>
      </c>
      <c r="F31">
        <f t="shared" ref="F31" si="249">B31 - B30</f>
        <v>6</v>
      </c>
      <c r="G31" t="b">
        <f>FALSE</f>
        <v>0</v>
      </c>
      <c r="H31">
        <f t="shared" ref="H31" si="250">G31-G30</f>
        <v>0</v>
      </c>
      <c r="I31">
        <v>4658</v>
      </c>
      <c r="J31">
        <f t="shared" ref="J31" si="251">I31 - I30</f>
        <v>90</v>
      </c>
      <c r="K31" s="2">
        <f t="shared" ref="K31" si="252">I31/I30 - 1</f>
        <v>1.9702276707530553E-2</v>
      </c>
      <c r="L31" s="2">
        <f t="shared" ref="L31" si="253">(B31 - B30)/(I31 - I30)</f>
        <v>6.6666666666666666E-2</v>
      </c>
      <c r="U31">
        <v>791</v>
      </c>
    </row>
    <row r="32" spans="1:23" x14ac:dyDescent="0.3">
      <c r="A32" s="1" cm="1">
        <f t="array" ref="A32">IF(OR(B32:L32=""), "", A31 + 1)</f>
        <v>43990</v>
      </c>
      <c r="B32" s="6">
        <f t="shared" ref="B32" si="254">U32 + G32</f>
        <v>793.49606174195981</v>
      </c>
      <c r="C32" s="13">
        <f t="shared" ref="C32" si="255">B32/$A$1</f>
        <v>1.3920983539332629E-2</v>
      </c>
      <c r="D32" s="7">
        <f t="shared" ref="D32" si="256">B32/B31 - 1</f>
        <v>3.155577423463729E-3</v>
      </c>
      <c r="E32" s="17">
        <f t="shared" ref="E32" si="257">LOG(D32/K32)</f>
        <v>-0.54872501919073013</v>
      </c>
      <c r="F32" s="6">
        <f t="shared" ref="F32" si="258">B32 - B31</f>
        <v>2.4960617419598066</v>
      </c>
      <c r="G32" t="b">
        <f>FALSE</f>
        <v>0</v>
      </c>
      <c r="H32">
        <f t="shared" ref="H32" si="259">G32-G31</f>
        <v>0</v>
      </c>
      <c r="I32">
        <v>4710</v>
      </c>
      <c r="J32">
        <f t="shared" ref="J32" si="260">I32 - I31</f>
        <v>52</v>
      </c>
      <c r="K32" s="2">
        <f t="shared" ref="K32" si="261">I32/I31 - 1</f>
        <v>1.1163589523400574E-2</v>
      </c>
      <c r="L32" s="7">
        <f t="shared" ref="L32" si="262">(B32 - B31)/(I32 - I31)</f>
        <v>4.8001187345380898E-2</v>
      </c>
      <c r="U32" s="6">
        <f>SQRT(U31 * U33)</f>
        <v>793.49606174195981</v>
      </c>
      <c r="V32">
        <v>790</v>
      </c>
      <c r="W32" t="s">
        <v>17</v>
      </c>
    </row>
    <row r="33" spans="1:23" x14ac:dyDescent="0.3">
      <c r="A33" s="1" cm="1">
        <f t="array" ref="A33">IF(OR(B33:L33=""), "", A32 + 1)</f>
        <v>43991</v>
      </c>
      <c r="B33">
        <f t="shared" ref="B33" si="263">U33 + G33</f>
        <v>796</v>
      </c>
      <c r="C33" s="11">
        <f t="shared" ref="C33" si="264">B33/$A$1</f>
        <v>1.3964912280701755E-2</v>
      </c>
      <c r="D33" s="7">
        <f t="shared" ref="D33" si="265">B33/B32 - 1</f>
        <v>3.155577423463507E-3</v>
      </c>
      <c r="E33" s="17">
        <f t="shared" ref="E33" si="266">LOG(D33/K33)</f>
        <v>-0.73638527150438071</v>
      </c>
      <c r="F33" s="6">
        <f t="shared" ref="F33" si="267">B33 - B32</f>
        <v>2.5039382580401934</v>
      </c>
      <c r="G33" t="b">
        <f>FALSE</f>
        <v>0</v>
      </c>
      <c r="H33">
        <f t="shared" ref="H33" si="268">G33-G32</f>
        <v>0</v>
      </c>
      <c r="I33">
        <v>4791</v>
      </c>
      <c r="J33">
        <f t="shared" ref="J33" si="269">I33 - I32</f>
        <v>81</v>
      </c>
      <c r="K33" s="2">
        <f t="shared" ref="K33" si="270">I33/I32 - 1</f>
        <v>1.719745222929947E-2</v>
      </c>
      <c r="L33" s="7">
        <f t="shared" ref="L33" si="271">(B33 - B32)/(I33 - I32)</f>
        <v>3.0912818000496216E-2</v>
      </c>
      <c r="U33">
        <v>796</v>
      </c>
    </row>
    <row r="34" spans="1:23" x14ac:dyDescent="0.3">
      <c r="A34" s="1" cm="1">
        <f t="array" ref="A34">IF(OR(B34:L34=""), "", A33 + 1)</f>
        <v>43992</v>
      </c>
      <c r="B34" s="9">
        <f t="shared" ref="B34" si="272">U34 + G34</f>
        <v>797</v>
      </c>
      <c r="C34" s="14">
        <f t="shared" ref="C34" si="273">B34/$A$1</f>
        <v>1.3982456140350877E-2</v>
      </c>
      <c r="D34" s="8">
        <f t="shared" ref="D34" si="274">B34/B33 - 1</f>
        <v>1.2562814070351536E-3</v>
      </c>
      <c r="E34" s="18">
        <f t="shared" ref="E34" si="275">LOG(D34/K34)</f>
        <v>-1.0593359876167874</v>
      </c>
      <c r="F34" s="9">
        <f t="shared" ref="F34" si="276">B34 - B33</f>
        <v>1</v>
      </c>
      <c r="G34" s="9" t="b">
        <f>FALSE</f>
        <v>0</v>
      </c>
      <c r="H34" s="9">
        <f t="shared" ref="H34" si="277">G34-G33</f>
        <v>0</v>
      </c>
      <c r="I34" s="9">
        <v>4860</v>
      </c>
      <c r="J34" s="9">
        <f t="shared" ref="J34" si="278">I34 - I33</f>
        <v>69</v>
      </c>
      <c r="K34" s="8">
        <f t="shared" ref="K34" si="279">I34/I33 - 1</f>
        <v>1.4402003757044479E-2</v>
      </c>
      <c r="L34" s="8">
        <f t="shared" ref="L34" si="280">(B34 - B33)/(I34 - I33)</f>
        <v>1.4492753623188406E-2</v>
      </c>
      <c r="U34">
        <v>797</v>
      </c>
    </row>
    <row r="35" spans="1:23" x14ac:dyDescent="0.3">
      <c r="A35" s="1" cm="1">
        <f t="array" ref="A35">IF(OR(B35:L35=""), "", A34 + 1)</f>
        <v>43993</v>
      </c>
      <c r="B35" s="6">
        <f t="shared" ref="B35:B36" si="281">U35 + G35</f>
        <v>797.99937343333795</v>
      </c>
      <c r="C35" s="13">
        <f t="shared" ref="C35:C36" si="282">B35/$A$1</f>
        <v>1.399998900760242E-2</v>
      </c>
      <c r="D35" s="7">
        <f t="shared" ref="D35:D36" si="283">B35/B34 - 1</f>
        <v>1.2539189878770785E-3</v>
      </c>
      <c r="E35" s="17">
        <f t="shared" ref="E35:E36" si="284">LOG(D35/K35)</f>
        <v>-1.1071888545526796</v>
      </c>
      <c r="F35" s="6">
        <f t="shared" ref="F35:F36" si="285">B35 - B34</f>
        <v>0.9993734333379507</v>
      </c>
      <c r="G35" s="9" t="b">
        <f>FALSE</f>
        <v>0</v>
      </c>
      <c r="H35" s="9">
        <f t="shared" ref="H35:H36" si="286">G35-G34</f>
        <v>0</v>
      </c>
      <c r="I35">
        <v>4938</v>
      </c>
      <c r="J35" s="9">
        <f t="shared" ref="J35:J36" si="287">I35 - I34</f>
        <v>78</v>
      </c>
      <c r="K35" s="8">
        <f t="shared" ref="K35:K36" si="288">I35/I34 - 1</f>
        <v>1.6049382716049276E-2</v>
      </c>
      <c r="L35" s="7">
        <f t="shared" ref="L35:L36" si="289">(B35 - B34)/(I35 - I34)</f>
        <v>1.2812479914589111E-2</v>
      </c>
      <c r="U35" s="6">
        <f>SQRT(U34 * U36)</f>
        <v>797.99937343333795</v>
      </c>
      <c r="V35">
        <v>796</v>
      </c>
      <c r="W35" t="s">
        <v>17</v>
      </c>
    </row>
    <row r="36" spans="1:23" x14ac:dyDescent="0.3">
      <c r="A36" s="1" cm="1">
        <f t="array" ref="A36">IF(OR(B36:L36=""), "", A35 + 1)</f>
        <v>43994</v>
      </c>
      <c r="B36" s="9">
        <f t="shared" si="281"/>
        <v>799</v>
      </c>
      <c r="C36" s="14">
        <f t="shared" si="282"/>
        <v>1.4017543859649123E-2</v>
      </c>
      <c r="D36" s="7">
        <f t="shared" si="283"/>
        <v>1.2539189878770785E-3</v>
      </c>
      <c r="E36" s="17">
        <f t="shared" si="284"/>
        <v>-1.1272575279046566</v>
      </c>
      <c r="F36" s="6">
        <f t="shared" si="285"/>
        <v>1.0006265666620493</v>
      </c>
      <c r="G36" s="9" t="b">
        <f>FALSE</f>
        <v>0</v>
      </c>
      <c r="H36" s="9">
        <f t="shared" si="286"/>
        <v>0</v>
      </c>
      <c r="I36">
        <v>5021</v>
      </c>
      <c r="J36" s="9">
        <f t="shared" si="287"/>
        <v>83</v>
      </c>
      <c r="K36" s="8">
        <f t="shared" si="288"/>
        <v>1.6808424463345517E-2</v>
      </c>
      <c r="L36" s="7">
        <f t="shared" si="289"/>
        <v>1.2055741767012643E-2</v>
      </c>
      <c r="U36">
        <v>799</v>
      </c>
    </row>
    <row r="37" spans="1:23" x14ac:dyDescent="0.3">
      <c r="A37" s="1" cm="1">
        <f t="array" ref="A37">IF(OR(B37:L37=""), "", A36 + 1)</f>
        <v>43995</v>
      </c>
      <c r="B37" s="9">
        <f t="shared" ref="B37" si="290">U37 + G37</f>
        <v>805</v>
      </c>
      <c r="C37" s="14">
        <f t="shared" ref="C37" si="291">B37/$A$1</f>
        <v>1.412280701754386E-2</v>
      </c>
      <c r="D37" s="8">
        <f t="shared" ref="D37" si="292">B37/B36 - 1</f>
        <v>7.509386733416834E-3</v>
      </c>
      <c r="E37" s="18">
        <f t="shared" ref="E37" si="293">LOG(D37/K37)</f>
        <v>-0.23651866419884982</v>
      </c>
      <c r="F37" s="9">
        <f t="shared" ref="F37" si="294">B37 - B36</f>
        <v>6</v>
      </c>
      <c r="G37" s="9" t="b">
        <f>FALSE</f>
        <v>0</v>
      </c>
      <c r="H37" s="9">
        <f t="shared" ref="H37" si="295">G37-G36</f>
        <v>0</v>
      </c>
      <c r="I37">
        <v>5086</v>
      </c>
      <c r="J37" s="9">
        <f t="shared" ref="J37" si="296">I37 - I36</f>
        <v>65</v>
      </c>
      <c r="K37" s="8">
        <f t="shared" ref="K37" si="297">I37/I36 - 1</f>
        <v>1.2945628360884198E-2</v>
      </c>
      <c r="L37" s="8">
        <f t="shared" ref="L37" si="298">(B37 - B36)/(I37 - I36)</f>
        <v>9.2307692307692313E-2</v>
      </c>
      <c r="U37">
        <v>805</v>
      </c>
    </row>
    <row r="38" spans="1:23" x14ac:dyDescent="0.3">
      <c r="A38" s="1" cm="1">
        <f t="array" ref="A38">IF(OR(B38:L38=""), "", A37 + 1)</f>
        <v>43996</v>
      </c>
      <c r="B38" s="9">
        <f t="shared" ref="B38" si="299">U38 + G38</f>
        <v>809</v>
      </c>
      <c r="C38" s="14">
        <f t="shared" ref="C38" si="300">B38/$A$1</f>
        <v>1.4192982456140351E-2</v>
      </c>
      <c r="D38" s="8">
        <f t="shared" ref="D38" si="301">B38/B37 - 1</f>
        <v>4.9689440993789802E-3</v>
      </c>
      <c r="E38" s="18">
        <f t="shared" ref="E38" si="302">LOG(D38/K38)</f>
        <v>-0.51643762557627859</v>
      </c>
      <c r="F38" s="9">
        <f t="shared" ref="F38" si="303">B38 - B37</f>
        <v>4</v>
      </c>
      <c r="G38" s="9" t="b">
        <f>FALSE</f>
        <v>0</v>
      </c>
      <c r="H38" s="9">
        <f t="shared" ref="H38" si="304">G38-G37</f>
        <v>0</v>
      </c>
      <c r="I38">
        <v>5169</v>
      </c>
      <c r="J38" s="9">
        <f t="shared" ref="J38" si="305">I38 - I37</f>
        <v>83</v>
      </c>
      <c r="K38" s="8">
        <f t="shared" ref="K38" si="306">I38/I37 - 1</f>
        <v>1.6319307904050229E-2</v>
      </c>
      <c r="L38" s="8">
        <f t="shared" ref="L38" si="307">(B38 - B37)/(I38 - I37)</f>
        <v>4.8192771084337352E-2</v>
      </c>
      <c r="U38">
        <v>809</v>
      </c>
    </row>
    <row r="39" spans="1:23" x14ac:dyDescent="0.3">
      <c r="A39" s="1" cm="1">
        <f t="array" ref="A39">IF(OR(B39:L39=""), "", A38 + 1)</f>
        <v>43997</v>
      </c>
      <c r="B39" s="9">
        <f t="shared" ref="B39" si="308">U39 + G39</f>
        <v>813</v>
      </c>
      <c r="C39" s="14">
        <f t="shared" ref="C39" si="309">B39/$A$1</f>
        <v>1.4263157894736842E-2</v>
      </c>
      <c r="D39" s="8">
        <f t="shared" ref="D39" si="310">B39/B38 - 1</f>
        <v>4.9443757725586845E-3</v>
      </c>
      <c r="E39" s="18">
        <f t="shared" ref="E39" si="311">LOG(D39/K39)</f>
        <v>-0.60951533741540354</v>
      </c>
      <c r="F39" s="9">
        <f t="shared" ref="F39" si="312">B39 - B38</f>
        <v>4</v>
      </c>
      <c r="G39" s="9" t="b">
        <f>FALSE</f>
        <v>0</v>
      </c>
      <c r="H39" s="9">
        <f t="shared" ref="H39" si="313">G39-G38</f>
        <v>0</v>
      </c>
      <c r="I39">
        <v>5273</v>
      </c>
      <c r="J39" s="9">
        <f t="shared" ref="J39" si="314">I39 - I38</f>
        <v>104</v>
      </c>
      <c r="K39" s="8">
        <f t="shared" ref="K39" si="315">I39/I38 - 1</f>
        <v>2.0119945830915142E-2</v>
      </c>
      <c r="L39" s="8">
        <f t="shared" ref="L39" si="316">(B39 - B38)/(I39 - I38)</f>
        <v>3.8461538461538464E-2</v>
      </c>
      <c r="U39">
        <v>813</v>
      </c>
    </row>
    <row r="40" spans="1:23" x14ac:dyDescent="0.3">
      <c r="A40" s="1" cm="1">
        <f t="array" ref="A40">IF(OR(B40:L40=""), "", A39 + 1)</f>
        <v>43998</v>
      </c>
      <c r="B40" s="9">
        <f t="shared" ref="B40" si="317">U40 + G40</f>
        <v>816</v>
      </c>
      <c r="C40" s="14">
        <f t="shared" ref="C40" si="318">B40/$A$1</f>
        <v>1.4315789473684211E-2</v>
      </c>
      <c r="D40" s="8">
        <f t="shared" ref="D40" si="319">B40/B39 - 1</f>
        <v>3.6900369003689537E-3</v>
      </c>
      <c r="E40" s="18">
        <f t="shared" ref="E40" si="320">LOG(D40/K40)</f>
        <v>-0.57423437966340451</v>
      </c>
      <c r="F40" s="9">
        <f t="shared" ref="F40" si="321">B40 - B39</f>
        <v>3</v>
      </c>
      <c r="G40" s="9" t="b">
        <f>FALSE</f>
        <v>0</v>
      </c>
      <c r="H40" s="9">
        <f t="shared" ref="H40" si="322">G40-G39</f>
        <v>0</v>
      </c>
      <c r="I40">
        <v>5346</v>
      </c>
      <c r="J40" s="9">
        <f t="shared" ref="J40" si="323">I40 - I39</f>
        <v>73</v>
      </c>
      <c r="K40" s="8">
        <f t="shared" ref="K40" si="324">I40/I39 - 1</f>
        <v>1.3844111511473578E-2</v>
      </c>
      <c r="L40" s="8">
        <f t="shared" ref="L40" si="325">(B40 - B39)/(I40 - I39)</f>
        <v>4.1095890410958902E-2</v>
      </c>
      <c r="U40">
        <v>816</v>
      </c>
    </row>
    <row r="41" spans="1:23" x14ac:dyDescent="0.3">
      <c r="A41" s="1" cm="1">
        <f t="array" ref="A41">IF(OR(B41:L41=""), "", A40 + 1)</f>
        <v>43999</v>
      </c>
      <c r="B41" s="9">
        <f t="shared" ref="B41" si="326">U41 + G41</f>
        <v>818</v>
      </c>
      <c r="C41" s="14">
        <f t="shared" ref="C41" si="327">B41/$A$1</f>
        <v>1.4350877192982456E-2</v>
      </c>
      <c r="D41" s="8">
        <f t="shared" ref="D41" si="328">B41/B40 - 1</f>
        <v>2.450980392156854E-3</v>
      </c>
      <c r="E41" s="18">
        <f t="shared" ref="E41" si="329">LOG(D41/K41)</f>
        <v>-0.8464190360149163</v>
      </c>
      <c r="F41" s="9">
        <f t="shared" ref="F41" si="330">B41 - B40</f>
        <v>2</v>
      </c>
      <c r="G41" s="9" t="b">
        <f>FALSE</f>
        <v>0</v>
      </c>
      <c r="H41" s="9">
        <f t="shared" ref="H41" si="331">G41-G40</f>
        <v>0</v>
      </c>
      <c r="I41">
        <v>5438</v>
      </c>
      <c r="J41" s="9">
        <f t="shared" ref="J41" si="332">I41 - I40</f>
        <v>92</v>
      </c>
      <c r="K41" s="8">
        <f t="shared" ref="K41" si="333">I41/I40 - 1</f>
        <v>1.7209128320239353E-2</v>
      </c>
      <c r="L41" s="8">
        <f t="shared" ref="L41" si="334">(B41 - B40)/(I41 - I40)</f>
        <v>2.1739130434782608E-2</v>
      </c>
      <c r="U41">
        <v>818</v>
      </c>
    </row>
    <row r="42" spans="1:23" x14ac:dyDescent="0.3">
      <c r="A42" s="1" cm="1">
        <f t="array" ref="A42">IF(OR(B42:L42=""), "", A41 + 1)</f>
        <v>44000</v>
      </c>
      <c r="B42" s="9">
        <f t="shared" ref="B42" si="335">U42 + G42</f>
        <v>820</v>
      </c>
      <c r="C42" s="14">
        <f t="shared" ref="C42" si="336">B42/$A$1</f>
        <v>1.4385964912280702E-2</v>
      </c>
      <c r="D42" s="8">
        <f t="shared" ref="D42" si="337">B42/B41 - 1</f>
        <v>2.4449877750611915E-3</v>
      </c>
      <c r="E42" s="18">
        <f t="shared" ref="E42" si="338">LOG(D42/K42)</f>
        <v>-0.72138214477010831</v>
      </c>
      <c r="F42" s="9">
        <f t="shared" ref="F42" si="339">B42 - B41</f>
        <v>2</v>
      </c>
      <c r="G42" s="9" t="b">
        <f>FALSE</f>
        <v>0</v>
      </c>
      <c r="H42" s="9">
        <f t="shared" ref="H42" si="340">G42-G41</f>
        <v>0</v>
      </c>
      <c r="I42">
        <v>5508</v>
      </c>
      <c r="J42" s="9">
        <f t="shared" ref="J42" si="341">I42 - I41</f>
        <v>70</v>
      </c>
      <c r="K42" s="8">
        <f t="shared" ref="K42" si="342">I42/I41 - 1</f>
        <v>1.2872379551305713E-2</v>
      </c>
      <c r="L42" s="8">
        <f t="shared" ref="L42" si="343">(B42 - B41)/(I42 - I41)</f>
        <v>2.8571428571428571E-2</v>
      </c>
      <c r="U42">
        <v>820</v>
      </c>
    </row>
    <row r="43" spans="1:23" x14ac:dyDescent="0.3">
      <c r="A43" s="1" cm="1">
        <f t="array" ref="A43">IF(OR(B43:L43=""), "", A42 + 1)</f>
        <v>44001</v>
      </c>
      <c r="B43" s="9">
        <f t="shared" ref="B43" si="344">U43 + G43</f>
        <v>829</v>
      </c>
      <c r="C43" s="14">
        <f t="shared" ref="C43" si="345">B43/$A$1</f>
        <v>1.4543859649122807E-2</v>
      </c>
      <c r="D43" s="8">
        <f t="shared" ref="D43" si="346">B43/B42 - 1</f>
        <v>1.0975609756097571E-2</v>
      </c>
      <c r="E43" s="18">
        <f t="shared" ref="E43" si="347">LOG(D43/K43)</f>
        <v>-0.19170526495920565</v>
      </c>
      <c r="F43" s="9">
        <f t="shared" ref="F43" si="348">B43 - B42</f>
        <v>9</v>
      </c>
      <c r="G43" s="9" t="b">
        <f>FALSE</f>
        <v>0</v>
      </c>
      <c r="H43" s="9">
        <f t="shared" ref="H43" si="349">G43-G42</f>
        <v>0</v>
      </c>
      <c r="I43">
        <v>5602</v>
      </c>
      <c r="J43" s="9">
        <f t="shared" ref="J43" si="350">I43 - I42</f>
        <v>94</v>
      </c>
      <c r="K43" s="8">
        <f t="shared" ref="K43" si="351">I43/I42 - 1</f>
        <v>1.7066085693536737E-2</v>
      </c>
      <c r="L43" s="8">
        <f t="shared" ref="L43" si="352">(B43 - B42)/(I43 - I42)</f>
        <v>9.5744680851063829E-2</v>
      </c>
      <c r="U43">
        <v>829</v>
      </c>
    </row>
    <row r="44" spans="1:23" x14ac:dyDescent="0.3">
      <c r="A44" s="1" cm="1">
        <f t="array" ref="A44">IF(OR(B44:L44=""), "", A43 + 1)</f>
        <v>44002</v>
      </c>
      <c r="B44" s="9">
        <f t="shared" ref="B44" si="353">U44 + G44</f>
        <v>835</v>
      </c>
      <c r="C44" s="14">
        <f t="shared" ref="C44" si="354">B44/$A$1</f>
        <v>1.4649122807017544E-2</v>
      </c>
      <c r="D44" s="8">
        <f t="shared" ref="D44" si="355">B44/B43 - 1</f>
        <v>7.2376357056693763E-3</v>
      </c>
      <c r="E44" s="18">
        <f t="shared" ref="E44" si="356">LOG(D44/K44)</f>
        <v>-0.36054312423302065</v>
      </c>
      <c r="F44" s="9">
        <f t="shared" ref="F44" si="357">B44 - B43</f>
        <v>6</v>
      </c>
      <c r="G44" s="9" t="b">
        <f>FALSE</f>
        <v>0</v>
      </c>
      <c r="H44" s="9">
        <f t="shared" ref="H44" si="358">G44-G43</f>
        <v>0</v>
      </c>
      <c r="I44">
        <v>5695</v>
      </c>
      <c r="J44" s="9">
        <f t="shared" ref="J44" si="359">I44 - I43</f>
        <v>93</v>
      </c>
      <c r="K44" s="8">
        <f t="shared" ref="K44" si="360">I44/I43 - 1</f>
        <v>1.6601213852195595E-2</v>
      </c>
      <c r="L44" s="8">
        <f t="shared" ref="L44" si="361">(B44 - B43)/(I44 - I43)</f>
        <v>6.4516129032258063E-2</v>
      </c>
      <c r="U44">
        <v>835</v>
      </c>
      <c r="W44" s="6"/>
    </row>
    <row r="45" spans="1:23" x14ac:dyDescent="0.3">
      <c r="A45" s="1" cm="1">
        <f t="array" ref="A45">IF(OR(B45:L45=""), "", A44 + 1)</f>
        <v>44003</v>
      </c>
      <c r="B45" s="9">
        <f t="shared" ref="B45" si="362">U45 + G45</f>
        <v>840</v>
      </c>
      <c r="C45" s="14">
        <f t="shared" ref="C45" si="363">B45/$A$1</f>
        <v>1.4736842105263158E-2</v>
      </c>
      <c r="D45" s="8">
        <f t="shared" ref="D45" si="364">B45/B44 - 1</f>
        <v>5.9880239520957446E-3</v>
      </c>
      <c r="E45" s="18">
        <f t="shared" ref="E45" si="365">LOG(D45/K45)</f>
        <v>-0.45844881842496282</v>
      </c>
      <c r="F45" s="9">
        <f t="shared" ref="F45" si="366">B45 - B44</f>
        <v>5</v>
      </c>
      <c r="G45" s="9" t="b">
        <f>FALSE</f>
        <v>0</v>
      </c>
      <c r="H45" s="9">
        <f t="shared" ref="H45" si="367">G45-G44</f>
        <v>0</v>
      </c>
      <c r="I45">
        <v>5793</v>
      </c>
      <c r="J45" s="9">
        <f t="shared" ref="J45" si="368">I45 - I44</f>
        <v>98</v>
      </c>
      <c r="K45" s="8">
        <f t="shared" ref="K45" si="369">I45/I44 - 1</f>
        <v>1.7208077260755017E-2</v>
      </c>
      <c r="L45" s="8">
        <f t="shared" ref="L45" si="370">(B45 - B44)/(I45 - I44)</f>
        <v>5.1020408163265307E-2</v>
      </c>
      <c r="U45">
        <v>840</v>
      </c>
    </row>
    <row r="46" spans="1:23" x14ac:dyDescent="0.3">
      <c r="A46" s="1" cm="1">
        <f t="array" ref="A46">IF(OR(B46:L46=""), "", A45 + 1)</f>
        <v>44004</v>
      </c>
      <c r="B46" s="9">
        <f t="shared" ref="B46" si="371">U46 + G46</f>
        <v>842</v>
      </c>
      <c r="C46" s="14">
        <f t="shared" ref="C46" si="372">B46/$A$1</f>
        <v>1.4771929824561403E-2</v>
      </c>
      <c r="D46" s="8">
        <f t="shared" ref="D46" si="373">B46/B45 - 1</f>
        <v>2.3809523809523725E-3</v>
      </c>
      <c r="E46" s="18">
        <f t="shared" ref="E46" si="374">LOG(D46/K46)</f>
        <v>-0.81938715421993691</v>
      </c>
      <c r="F46" s="9">
        <f t="shared" ref="F46" si="375">B46 - B45</f>
        <v>2</v>
      </c>
      <c r="G46" s="9" t="b">
        <f>FALSE</f>
        <v>0</v>
      </c>
      <c r="H46" s="9">
        <f t="shared" ref="H46" si="376">G46-G45</f>
        <v>0</v>
      </c>
      <c r="I46">
        <v>5884</v>
      </c>
      <c r="J46" s="9">
        <f t="shared" ref="J46" si="377">I46 - I45</f>
        <v>91</v>
      </c>
      <c r="K46" s="8">
        <f t="shared" ref="K46" si="378">I46/I45 - 1</f>
        <v>1.5708613844294783E-2</v>
      </c>
      <c r="L46" s="8">
        <f t="shared" ref="L46" si="379">(B46 - B45)/(I46 - I45)</f>
        <v>2.197802197802198E-2</v>
      </c>
      <c r="U46">
        <v>842</v>
      </c>
    </row>
    <row r="47" spans="1:23" x14ac:dyDescent="0.3">
      <c r="A47" s="1" cm="1">
        <f t="array" ref="A47">IF(OR(B47:L47=""), "", A46 + 1)</f>
        <v>44005</v>
      </c>
      <c r="B47" s="9">
        <f t="shared" ref="B47" si="380">U47 + G47</f>
        <v>844</v>
      </c>
      <c r="C47" s="14">
        <f t="shared" ref="C47" si="381">B47/$A$1</f>
        <v>1.4807017543859649E-2</v>
      </c>
      <c r="D47" s="8">
        <f t="shared" ref="D47" si="382">B47/B46 - 1</f>
        <v>2.3752969121140222E-3</v>
      </c>
      <c r="E47" s="18">
        <f t="shared" ref="E47" si="383">LOG(D47/K47)</f>
        <v>-0.68711834448641174</v>
      </c>
      <c r="F47" s="9">
        <f t="shared" ref="F47" si="384">B47 - B46</f>
        <v>2</v>
      </c>
      <c r="G47" s="9" t="b">
        <f>FALSE</f>
        <v>0</v>
      </c>
      <c r="H47" s="9">
        <f t="shared" ref="H47" si="385">G47-G46</f>
        <v>0</v>
      </c>
      <c r="I47">
        <v>5952</v>
      </c>
      <c r="J47" s="9">
        <f t="shared" ref="J47" si="386">I47 - I46</f>
        <v>68</v>
      </c>
      <c r="K47" s="8">
        <f t="shared" ref="K47" si="387">I47/I46 - 1</f>
        <v>1.1556764106050332E-2</v>
      </c>
      <c r="L47" s="8">
        <f t="shared" ref="L47" si="388">(B47 - B46)/(I47 - I46)</f>
        <v>2.9411764705882353E-2</v>
      </c>
      <c r="U47">
        <v>844</v>
      </c>
    </row>
    <row r="48" spans="1:23" x14ac:dyDescent="0.3">
      <c r="A48" s="1" cm="1">
        <f t="array" ref="A48">IF(OR(B48:L48=""), "", A47 + 1)</f>
        <v>44006</v>
      </c>
      <c r="B48" s="9">
        <f t="shared" ref="B48" si="389">U48 + G48</f>
        <v>847</v>
      </c>
      <c r="C48" s="14">
        <f t="shared" ref="C48" si="390">B48/$A$1</f>
        <v>1.4859649122807017E-2</v>
      </c>
      <c r="D48" s="8">
        <f t="shared" ref="D48" si="391">B48/B47 - 1</f>
        <v>3.5545023696681444E-3</v>
      </c>
      <c r="E48" s="18">
        <f t="shared" ref="E48" si="392">LOG(D48/K48)</f>
        <v>-0.64304121792211788</v>
      </c>
      <c r="F48" s="9">
        <f t="shared" ref="F48" si="393">B48 - B47</f>
        <v>3</v>
      </c>
      <c r="G48" s="9" t="b">
        <f>FALSE</f>
        <v>0</v>
      </c>
      <c r="H48" s="9">
        <f t="shared" ref="H48" si="394">G48-G47</f>
        <v>0</v>
      </c>
      <c r="I48">
        <v>6045</v>
      </c>
      <c r="J48" s="9">
        <f t="shared" ref="J48" si="395">I48 - I47</f>
        <v>93</v>
      </c>
      <c r="K48" s="8">
        <f t="shared" ref="K48" si="396">I48/I47 - 1</f>
        <v>1.5625E-2</v>
      </c>
      <c r="L48" s="8">
        <f t="shared" ref="L48" si="397">(B48 - B47)/(I48 - I47)</f>
        <v>3.2258064516129031E-2</v>
      </c>
      <c r="U48">
        <v>847</v>
      </c>
    </row>
    <row r="49" spans="1:22" x14ac:dyDescent="0.3">
      <c r="A49" s="1" cm="1">
        <f t="array" ref="A49">IF(OR(B49:L49=""), "", A48 + 1)</f>
        <v>44007</v>
      </c>
      <c r="B49" s="9">
        <f t="shared" ref="B49" si="398">U49 + G49</f>
        <v>852</v>
      </c>
      <c r="C49" s="14">
        <f t="shared" ref="C49" si="399">B49/$A$1</f>
        <v>1.4947368421052631E-2</v>
      </c>
      <c r="D49" s="8">
        <f t="shared" ref="D49" si="400">B49/B48 - 1</f>
        <v>5.9031877213695516E-3</v>
      </c>
      <c r="E49" s="18">
        <f t="shared" ref="E49" si="401">LOG(D49/K49)</f>
        <v>-0.5005955442813157</v>
      </c>
      <c r="F49" s="9">
        <f t="shared" ref="F49" si="402">B49 - B48</f>
        <v>5</v>
      </c>
      <c r="G49" s="9" t="b">
        <f>FALSE</f>
        <v>0</v>
      </c>
      <c r="H49" s="9">
        <f t="shared" ref="H49" si="403">G49-G48</f>
        <v>0</v>
      </c>
      <c r="I49">
        <v>6158</v>
      </c>
      <c r="J49" s="9">
        <f t="shared" ref="J49" si="404">I49 - I48</f>
        <v>113</v>
      </c>
      <c r="K49" s="8">
        <f t="shared" ref="K49" si="405">I49/I48 - 1</f>
        <v>1.8693134822167057E-2</v>
      </c>
      <c r="L49" s="8">
        <f t="shared" ref="L49" si="406">(B49 - B48)/(I49 - I48)</f>
        <v>4.4247787610619468E-2</v>
      </c>
      <c r="U49">
        <v>852</v>
      </c>
    </row>
    <row r="50" spans="1:22" x14ac:dyDescent="0.3">
      <c r="A50" s="1" cm="1">
        <f t="array" ref="A50">IF(OR(B50:L50=""), "", A49 + 1)</f>
        <v>44008</v>
      </c>
      <c r="B50" s="6">
        <f t="shared" ref="B50" si="407">U50 + G50</f>
        <v>856.98541411158214</v>
      </c>
      <c r="C50" s="13">
        <f t="shared" ref="C50" si="408">B50/$A$1</f>
        <v>1.5034831826518985E-2</v>
      </c>
      <c r="D50" s="7">
        <f t="shared" ref="D50" si="409">B50/B49 - 1</f>
        <v>5.851425013594147E-3</v>
      </c>
      <c r="E50" s="17">
        <f t="shared" ref="E50" si="410">LOG(D50/K50)</f>
        <v>-0.54773986717637324</v>
      </c>
      <c r="F50" s="6">
        <f t="shared" ref="F50" si="411">B50 - B49</f>
        <v>4.9854141115821449</v>
      </c>
      <c r="G50" s="9" t="b">
        <f>FALSE</f>
        <v>0</v>
      </c>
      <c r="H50" s="9">
        <f t="shared" ref="H50" si="412">G50-G49</f>
        <v>0</v>
      </c>
      <c r="I50" s="6">
        <f>SQRT(I49 * I51)</f>
        <v>6285.1865525217308</v>
      </c>
      <c r="J50" s="6">
        <f t="shared" ref="J50" si="413">I50 - I49</f>
        <v>127.18655252173085</v>
      </c>
      <c r="K50" s="7">
        <f t="shared" ref="K50" si="414">I50/I49 - 1</f>
        <v>2.0653873420222624E-2</v>
      </c>
      <c r="L50" s="7">
        <f t="shared" ref="L50" si="415">(B50 - B49)/(I50 - I49)</f>
        <v>3.9197651109619841E-2</v>
      </c>
      <c r="U50" s="6">
        <f>SQRT(U49 * U51)</f>
        <v>856.98541411158214</v>
      </c>
      <c r="V50" t="s">
        <v>20</v>
      </c>
    </row>
    <row r="51" spans="1:22" x14ac:dyDescent="0.3">
      <c r="A51" s="1" cm="1">
        <f t="array" ref="A51">IF(OR(B51:L51=""), "", A50 + 1)</f>
        <v>44009</v>
      </c>
      <c r="B51" s="9">
        <f t="shared" ref="B51" si="416">U51 + G51</f>
        <v>862</v>
      </c>
      <c r="C51" s="14">
        <f t="shared" ref="C51" si="417">B51/$A$1</f>
        <v>1.5122807017543859E-2</v>
      </c>
      <c r="D51" s="7">
        <f t="shared" ref="D51" si="418">B51/B50 - 1</f>
        <v>5.851425013594147E-3</v>
      </c>
      <c r="E51" s="17">
        <f t="shared" ref="E51" si="419">LOG(D51/K51)</f>
        <v>-0.54773986717637324</v>
      </c>
      <c r="F51" s="6">
        <f t="shared" ref="F51" si="420">B51 - B50</f>
        <v>5.0145858884178551</v>
      </c>
      <c r="G51" s="9" t="b">
        <f>FALSE</f>
        <v>0</v>
      </c>
      <c r="H51" s="9">
        <f t="shared" ref="H51" si="421">G51-G50</f>
        <v>0</v>
      </c>
      <c r="I51">
        <v>6415</v>
      </c>
      <c r="J51" s="6">
        <f t="shared" ref="J51" si="422">I51 - I50</f>
        <v>129.81344747826915</v>
      </c>
      <c r="K51" s="7">
        <f t="shared" ref="K51" si="423">I51/I50 - 1</f>
        <v>2.0653873420222624E-2</v>
      </c>
      <c r="L51" s="7">
        <f t="shared" ref="L51" si="424">(B51 - B50)/(I51 - I50)</f>
        <v>3.86291712132312E-2</v>
      </c>
      <c r="U51">
        <v>862</v>
      </c>
    </row>
    <row r="52" spans="1:22" x14ac:dyDescent="0.3">
      <c r="A52" s="1" cm="1">
        <f t="array" ref="A52">IF(OR(B52:L52=""), "", A51 + 1)</f>
        <v>44010</v>
      </c>
      <c r="B52" s="9">
        <f t="shared" ref="B52" si="425">U52 + G52</f>
        <v>862</v>
      </c>
      <c r="C52" s="14">
        <f t="shared" ref="C52" si="426">B52/$A$1</f>
        <v>1.5122807017543859E-2</v>
      </c>
      <c r="D52" s="8">
        <f t="shared" ref="D52" si="427">B52/B51 - 1</f>
        <v>0</v>
      </c>
      <c r="E52" s="18" t="b">
        <f>IFERROR(LOG(D52/K52), FALSE)</f>
        <v>0</v>
      </c>
      <c r="F52" s="9">
        <f t="shared" ref="F52" si="428">B52 - B51</f>
        <v>0</v>
      </c>
      <c r="G52" s="9" t="b">
        <f>FALSE</f>
        <v>0</v>
      </c>
      <c r="H52" s="9">
        <f t="shared" ref="H52" si="429">G52-G51</f>
        <v>0</v>
      </c>
      <c r="I52">
        <v>6514</v>
      </c>
      <c r="J52" s="9">
        <f t="shared" ref="J52" si="430">I52 - I51</f>
        <v>99</v>
      </c>
      <c r="K52" s="8">
        <f t="shared" ref="K52" si="431">I52/I51 - 1</f>
        <v>1.543257989088076E-2</v>
      </c>
      <c r="L52" s="8">
        <f t="shared" ref="L52" si="432">(B52 - B51)/(I52 - I51)</f>
        <v>0</v>
      </c>
      <c r="U52">
        <v>862</v>
      </c>
    </row>
    <row r="53" spans="1:22" x14ac:dyDescent="0.3">
      <c r="A53" s="1" cm="1">
        <f t="array" ref="A53">IF(OR(B53:L53=""), "", A52 + 1)</f>
        <v>44011</v>
      </c>
      <c r="B53" s="9">
        <f t="shared" ref="B53" si="433">U53 + G53</f>
        <v>863</v>
      </c>
      <c r="C53" s="14">
        <f t="shared" ref="C53" si="434">B53/$A$1</f>
        <v>1.5140350877192982E-2</v>
      </c>
      <c r="D53" s="8">
        <f t="shared" ref="D53" si="435">B53/B52 - 1</f>
        <v>1.1600928074246841E-3</v>
      </c>
      <c r="E53" s="18">
        <f t="shared" ref="E53:E160" si="436">IFERROR(LOG(D53/K53), FALSE)</f>
        <v>-1.1216595115958223</v>
      </c>
      <c r="F53" s="9">
        <f t="shared" ref="F53" si="437">B53 - B52</f>
        <v>1</v>
      </c>
      <c r="G53" s="9" t="b">
        <f>FALSE</f>
        <v>0</v>
      </c>
      <c r="H53" s="9">
        <f t="shared" ref="H53" si="438">G53-G52</f>
        <v>0</v>
      </c>
      <c r="I53">
        <v>6614</v>
      </c>
      <c r="J53" s="9">
        <f t="shared" ref="J53" si="439">I53 - I52</f>
        <v>100</v>
      </c>
      <c r="K53" s="8">
        <f t="shared" ref="K53" si="440">I53/I52 - 1</f>
        <v>1.5351550506601086E-2</v>
      </c>
      <c r="L53" s="8">
        <f t="shared" ref="L53" si="441">(B53 - B52)/(I53 - I52)</f>
        <v>0.01</v>
      </c>
      <c r="U53">
        <v>863</v>
      </c>
    </row>
    <row r="54" spans="1:22" x14ac:dyDescent="0.3">
      <c r="A54" s="1" cm="1">
        <f t="array" ref="A54">IF(OR(B54:L54=""), "", A53 + 1)</f>
        <v>44012</v>
      </c>
      <c r="B54" s="9">
        <f t="shared" ref="B54" si="442">U54 + G54</f>
        <v>865</v>
      </c>
      <c r="C54" s="14">
        <f t="shared" ref="C54" si="443">B54/$A$1</f>
        <v>1.5175438596491227E-2</v>
      </c>
      <c r="D54" s="8">
        <f t="shared" ref="D54" si="444">B54/B53 - 1</f>
        <v>2.3174971031285629E-3</v>
      </c>
      <c r="E54" s="18">
        <f t="shared" si="436"/>
        <v>-0.70661121216403344</v>
      </c>
      <c r="F54" s="9">
        <f t="shared" ref="F54" si="445">B54 - B53</f>
        <v>2</v>
      </c>
      <c r="G54" s="9" t="b">
        <f>FALSE</f>
        <v>0</v>
      </c>
      <c r="H54" s="9">
        <f t="shared" ref="H54" si="446">G54-G53</f>
        <v>0</v>
      </c>
      <c r="I54">
        <v>6692</v>
      </c>
      <c r="J54" s="9">
        <f t="shared" ref="J54" si="447">I54 - I53</f>
        <v>78</v>
      </c>
      <c r="K54" s="8">
        <f t="shared" ref="K54" si="448">I54/I53 - 1</f>
        <v>1.1793166011490719E-2</v>
      </c>
      <c r="L54" s="8">
        <f t="shared" ref="L54" si="449">(B54 - B53)/(I54 - I53)</f>
        <v>2.564102564102564E-2</v>
      </c>
      <c r="U54">
        <v>865</v>
      </c>
    </row>
    <row r="55" spans="1:22" x14ac:dyDescent="0.3">
      <c r="A55" s="1" cm="1">
        <f t="array" ref="A55">IF(OR(B55:L55=""), "", A54 + 1)</f>
        <v>44013</v>
      </c>
      <c r="B55" s="9">
        <f t="shared" ref="B55" si="450">U55 + G55</f>
        <v>867</v>
      </c>
      <c r="C55" s="14">
        <f t="shared" ref="C55" si="451">B55/$A$1</f>
        <v>1.5210526315789473E-2</v>
      </c>
      <c r="D55" s="8">
        <f t="shared" ref="D55" si="452">B55/B54 - 1</f>
        <v>2.3121387283238093E-3</v>
      </c>
      <c r="E55" s="18">
        <f t="shared" si="436"/>
        <v>-0.85575315829711329</v>
      </c>
      <c r="F55" s="9">
        <f t="shared" ref="F55" si="453">B55 - B54</f>
        <v>2</v>
      </c>
      <c r="G55" s="9" t="b">
        <f>FALSE</f>
        <v>0</v>
      </c>
      <c r="H55" s="9">
        <f t="shared" ref="H55" si="454">G55-G54</f>
        <v>0</v>
      </c>
      <c r="I55">
        <v>6803</v>
      </c>
      <c r="J55" s="9">
        <f t="shared" ref="J55" si="455">I55 - I54</f>
        <v>111</v>
      </c>
      <c r="K55" s="8">
        <f t="shared" ref="K55" si="456">I55/I54 - 1</f>
        <v>1.6586969515839822E-2</v>
      </c>
      <c r="L55" s="8">
        <f t="shared" ref="L55" si="457">(B55 - B54)/(I55 - I54)</f>
        <v>1.8018018018018018E-2</v>
      </c>
      <c r="U55">
        <v>867</v>
      </c>
    </row>
    <row r="56" spans="1:22" x14ac:dyDescent="0.3">
      <c r="A56" s="1" cm="1">
        <f t="array" ref="A56">IF(OR(B56:L56=""), "", A55 + 1)</f>
        <v>44014</v>
      </c>
      <c r="B56" s="9">
        <f t="shared" ref="B56" si="458">U56 + G56</f>
        <v>872</v>
      </c>
      <c r="C56" s="14">
        <f t="shared" ref="C56" si="459">B56/$A$1</f>
        <v>1.5298245614035087E-2</v>
      </c>
      <c r="D56" s="8">
        <f t="shared" ref="D56" si="460">B56/B55 - 1</f>
        <v>5.7670126874278527E-3</v>
      </c>
      <c r="E56" s="18">
        <f t="shared" si="436"/>
        <v>-0.39312035644587068</v>
      </c>
      <c r="F56" s="9">
        <f t="shared" ref="F56" si="461">B56 - B55</f>
        <v>5</v>
      </c>
      <c r="G56" s="9" t="b">
        <f>FALSE</f>
        <v>0</v>
      </c>
      <c r="H56" s="9">
        <f t="shared" ref="H56" si="462">G56-G55</f>
        <v>0</v>
      </c>
      <c r="I56">
        <v>6900</v>
      </c>
      <c r="J56" s="9">
        <f t="shared" ref="J56" si="463">I56 - I55</f>
        <v>97</v>
      </c>
      <c r="K56" s="8">
        <f t="shared" ref="K56" si="464">I56/I55 - 1</f>
        <v>1.4258415404968305E-2</v>
      </c>
      <c r="L56" s="8">
        <f t="shared" ref="L56" si="465">(B56 - B55)/(I56 - I55)</f>
        <v>5.1546391752577317E-2</v>
      </c>
      <c r="U56">
        <v>872</v>
      </c>
    </row>
    <row r="57" spans="1:22" x14ac:dyDescent="0.3">
      <c r="A57" s="1" cm="1">
        <f t="array" ref="A57">IF(OR(B57:L57=""), "", A56 + 1)</f>
        <v>44015</v>
      </c>
      <c r="B57" s="9">
        <f t="shared" ref="B57" si="466">U57 + G57</f>
        <v>874</v>
      </c>
      <c r="C57" s="14">
        <f t="shared" ref="C57" si="467">B57/$A$1</f>
        <v>1.5333333333333332E-2</v>
      </c>
      <c r="D57" s="8">
        <f t="shared" ref="D57" si="468">B57/B56 - 1</f>
        <v>2.2935779816513069E-3</v>
      </c>
      <c r="E57" s="18">
        <f t="shared" si="436"/>
        <v>-1.0020345228517942</v>
      </c>
      <c r="F57" s="9">
        <f t="shared" ref="F57" si="469">B57 - B56</f>
        <v>2</v>
      </c>
      <c r="G57" s="9" t="b">
        <f>FALSE</f>
        <v>0</v>
      </c>
      <c r="H57" s="9">
        <f t="shared" ref="H57" si="470">G57-G56</f>
        <v>0</v>
      </c>
      <c r="I57">
        <v>7059</v>
      </c>
      <c r="J57" s="9">
        <f t="shared" ref="J57" si="471">I57 - I56</f>
        <v>159</v>
      </c>
      <c r="K57" s="8">
        <f t="shared" ref="K57" si="472">I57/I56 - 1</f>
        <v>2.3043478260869499E-2</v>
      </c>
      <c r="L57" s="8">
        <f t="shared" ref="L57" si="473">(B57 - B56)/(I57 - I56)</f>
        <v>1.2578616352201259E-2</v>
      </c>
      <c r="U57">
        <v>874</v>
      </c>
    </row>
    <row r="58" spans="1:22" x14ac:dyDescent="0.3">
      <c r="A58" s="1" cm="1">
        <f t="array" ref="A58">IF(OR(B58:L58=""), "", A57 + 1)</f>
        <v>44016</v>
      </c>
      <c r="B58" s="9">
        <f t="shared" ref="B58" si="474">U58 + G58</f>
        <v>876</v>
      </c>
      <c r="C58" s="14">
        <f t="shared" ref="C58" si="475">B58/$A$1</f>
        <v>1.5368421052631578E-2</v>
      </c>
      <c r="D58" s="8">
        <f t="shared" ref="D58" si="476">B58/B57 - 1</f>
        <v>2.2883295194509046E-3</v>
      </c>
      <c r="E58" s="18">
        <f t="shared" si="436"/>
        <v>-0.88864826808277608</v>
      </c>
      <c r="F58" s="9">
        <f t="shared" ref="F58" si="477">B58 - B57</f>
        <v>2</v>
      </c>
      <c r="G58" s="9" t="b">
        <f>FALSE</f>
        <v>0</v>
      </c>
      <c r="H58" s="9">
        <f t="shared" ref="H58" si="478">G58-G57</f>
        <v>0</v>
      </c>
      <c r="I58">
        <v>7184</v>
      </c>
      <c r="J58" s="9">
        <f t="shared" ref="J58" si="479">I58 - I57</f>
        <v>125</v>
      </c>
      <c r="K58" s="8">
        <f t="shared" ref="K58" si="480">I58/I57 - 1</f>
        <v>1.770789063606748E-2</v>
      </c>
      <c r="L58" s="8">
        <f t="shared" ref="L58" si="481">(B58 - B57)/(I58 - I57)</f>
        <v>1.6E-2</v>
      </c>
      <c r="U58">
        <v>876</v>
      </c>
    </row>
    <row r="59" spans="1:22" x14ac:dyDescent="0.3">
      <c r="A59" s="1" cm="1">
        <f t="array" ref="A59">IF(OR(B59:L59=""), "", A58 + 1)</f>
        <v>44017</v>
      </c>
      <c r="B59" s="6">
        <f t="shared" ref="B59:B160" si="482">U59 + G59</f>
        <v>876.99942987438715</v>
      </c>
      <c r="C59" s="13">
        <f t="shared" ref="C59:C160" si="483">B59/$A$1</f>
        <v>1.5385954910076967E-2</v>
      </c>
      <c r="D59" s="7">
        <f t="shared" ref="D59:D160" si="484">B59/B58 - 1</f>
        <v>1.140901683090334E-3</v>
      </c>
      <c r="E59" s="17">
        <f t="shared" si="436"/>
        <v>-1.0306780627505441</v>
      </c>
      <c r="F59" s="6">
        <f t="shared" ref="F59:F160" si="485">B59 - B58</f>
        <v>0.99942987438714681</v>
      </c>
      <c r="G59" s="9" t="b">
        <f>FALSE</f>
        <v>0</v>
      </c>
      <c r="H59" s="9">
        <f t="shared" ref="H59:H160" si="486">G59-G58</f>
        <v>0</v>
      </c>
      <c r="I59" s="6">
        <f>SQRT(I58 * I60)</f>
        <v>7271.9614960476792</v>
      </c>
      <c r="J59" s="6">
        <f t="shared" ref="J59:J160" si="487">I59 - I58</f>
        <v>87.961496047679248</v>
      </c>
      <c r="K59" s="7">
        <f t="shared" ref="K59:K160" si="488">I59/I58 - 1</f>
        <v>1.2244083525567717E-2</v>
      </c>
      <c r="L59" s="7">
        <f t="shared" ref="L59:L160" si="489">(B59 - B58)/(I59 - I58)</f>
        <v>1.1362129105278167E-2</v>
      </c>
      <c r="U59" s="6">
        <f>SQRT(U58 * U60)</f>
        <v>876.99942987438715</v>
      </c>
      <c r="V59" t="s">
        <v>20</v>
      </c>
    </row>
    <row r="60" spans="1:22" x14ac:dyDescent="0.3">
      <c r="A60" s="1" cm="1">
        <f t="array" ref="A60">IF(OR(B60:L60=""), "", A59 + 1)</f>
        <v>44018</v>
      </c>
      <c r="B60" s="9">
        <f t="shared" si="482"/>
        <v>878</v>
      </c>
      <c r="C60" s="14">
        <f t="shared" si="483"/>
        <v>1.5403508771929825E-2</v>
      </c>
      <c r="D60" s="7">
        <f t="shared" si="484"/>
        <v>1.140901683090112E-3</v>
      </c>
      <c r="E60" s="17">
        <f t="shared" si="436"/>
        <v>-1.0306780627506285</v>
      </c>
      <c r="F60" s="6">
        <f t="shared" si="485"/>
        <v>1.0005701256128532</v>
      </c>
      <c r="G60" s="9" t="b">
        <f>FALSE</f>
        <v>0</v>
      </c>
      <c r="H60" s="9">
        <f t="shared" si="486"/>
        <v>0</v>
      </c>
      <c r="I60">
        <v>7361</v>
      </c>
      <c r="J60" s="6">
        <f t="shared" si="487"/>
        <v>89.038503952320752</v>
      </c>
      <c r="K60" s="7">
        <f t="shared" si="488"/>
        <v>1.2244083525567717E-2</v>
      </c>
      <c r="L60" s="7">
        <f t="shared" si="489"/>
        <v>1.1237499297479759E-2</v>
      </c>
      <c r="U60">
        <v>878</v>
      </c>
    </row>
    <row r="61" spans="1:22" x14ac:dyDescent="0.3">
      <c r="A61" s="1" cm="1">
        <f t="array" ref="A61">IF(OR(B61:L61=""), "", A60 + 1)</f>
        <v>44019</v>
      </c>
      <c r="B61" s="9">
        <f t="shared" si="482"/>
        <v>879</v>
      </c>
      <c r="C61" s="14">
        <f t="shared" si="483"/>
        <v>1.5421052631578948E-2</v>
      </c>
      <c r="D61" s="8">
        <f t="shared" si="484"/>
        <v>1.138952164009055E-3</v>
      </c>
      <c r="E61" s="18">
        <f t="shared" si="436"/>
        <v>-0.90906661088072538</v>
      </c>
      <c r="F61" s="9">
        <f t="shared" si="485"/>
        <v>1</v>
      </c>
      <c r="G61" s="9" t="b">
        <f>FALSE</f>
        <v>0</v>
      </c>
      <c r="H61" s="9">
        <f t="shared" si="486"/>
        <v>0</v>
      </c>
      <c r="I61">
        <v>7429</v>
      </c>
      <c r="J61" s="9">
        <f t="shared" si="487"/>
        <v>68</v>
      </c>
      <c r="K61" s="8">
        <f t="shared" si="488"/>
        <v>9.2378752886836946E-3</v>
      </c>
      <c r="L61" s="8">
        <f t="shared" si="489"/>
        <v>1.4705882352941176E-2</v>
      </c>
      <c r="U61">
        <v>879</v>
      </c>
    </row>
    <row r="62" spans="1:22" x14ac:dyDescent="0.3">
      <c r="A62" s="1" cm="1">
        <f t="array" ref="A62">IF(OR(B62:L62=""), "", A61 + 1)</f>
        <v>44020</v>
      </c>
      <c r="B62" s="9">
        <f t="shared" si="482"/>
        <v>879</v>
      </c>
      <c r="C62" s="14">
        <f t="shared" si="483"/>
        <v>1.5421052631578948E-2</v>
      </c>
      <c r="D62" s="8">
        <f t="shared" si="484"/>
        <v>0</v>
      </c>
      <c r="E62" s="18" t="b">
        <f t="shared" si="436"/>
        <v>0</v>
      </c>
      <c r="F62" s="9">
        <f t="shared" si="485"/>
        <v>0</v>
      </c>
      <c r="G62" s="9" t="b">
        <f>FALSE</f>
        <v>0</v>
      </c>
      <c r="H62" s="9">
        <f t="shared" si="486"/>
        <v>0</v>
      </c>
      <c r="I62">
        <v>7483</v>
      </c>
      <c r="J62" s="9">
        <f t="shared" si="487"/>
        <v>54</v>
      </c>
      <c r="K62" s="8">
        <f t="shared" si="488"/>
        <v>7.2688114147261285E-3</v>
      </c>
      <c r="L62" s="8">
        <f t="shared" si="489"/>
        <v>0</v>
      </c>
      <c r="U62">
        <v>879</v>
      </c>
    </row>
    <row r="63" spans="1:22" x14ac:dyDescent="0.3">
      <c r="A63" s="1" cm="1">
        <f t="array" ref="A63">IF(OR(B63:L63=""), "", A62 + 1)</f>
        <v>44021</v>
      </c>
      <c r="B63" s="9">
        <f t="shared" si="482"/>
        <v>880</v>
      </c>
      <c r="C63" s="14">
        <f t="shared" si="483"/>
        <v>1.5438596491228071E-2</v>
      </c>
      <c r="D63" s="8">
        <f t="shared" si="484"/>
        <v>1.1376564277587597E-3</v>
      </c>
      <c r="E63" s="18">
        <f t="shared" si="436"/>
        <v>-1.1113058150089823</v>
      </c>
      <c r="F63" s="9">
        <f t="shared" si="485"/>
        <v>1</v>
      </c>
      <c r="G63" s="9" t="b">
        <f>FALSE</f>
        <v>0</v>
      </c>
      <c r="H63" s="9">
        <f t="shared" si="486"/>
        <v>0</v>
      </c>
      <c r="I63">
        <v>7593</v>
      </c>
      <c r="J63" s="9">
        <f t="shared" si="487"/>
        <v>110</v>
      </c>
      <c r="K63" s="8">
        <f t="shared" si="488"/>
        <v>1.4699986636375728E-2</v>
      </c>
      <c r="L63" s="8">
        <f t="shared" si="489"/>
        <v>9.0909090909090905E-3</v>
      </c>
      <c r="U63">
        <v>880</v>
      </c>
    </row>
    <row r="64" spans="1:22" x14ac:dyDescent="0.3">
      <c r="A64" s="1" cm="1">
        <f t="array" ref="A64">IF(OR(B64:L64=""), "", A63 + 1)</f>
        <v>44022</v>
      </c>
      <c r="B64" s="9">
        <f t="shared" si="482"/>
        <v>880</v>
      </c>
      <c r="C64" s="14">
        <f t="shared" si="483"/>
        <v>1.5438596491228071E-2</v>
      </c>
      <c r="D64" s="8">
        <f t="shared" si="484"/>
        <v>0</v>
      </c>
      <c r="E64" s="18" t="b">
        <f t="shared" si="436"/>
        <v>0</v>
      </c>
      <c r="F64" s="9">
        <f t="shared" si="485"/>
        <v>0</v>
      </c>
      <c r="G64" s="9" t="b">
        <f>FALSE</f>
        <v>0</v>
      </c>
      <c r="H64" s="9">
        <f t="shared" si="486"/>
        <v>0</v>
      </c>
      <c r="I64">
        <v>7726</v>
      </c>
      <c r="J64" s="9">
        <f t="shared" si="487"/>
        <v>133</v>
      </c>
      <c r="K64" s="8">
        <f t="shared" si="488"/>
        <v>1.7516133280653268E-2</v>
      </c>
      <c r="L64" s="8">
        <f t="shared" si="489"/>
        <v>0</v>
      </c>
      <c r="U64">
        <v>880</v>
      </c>
    </row>
    <row r="65" spans="1:23" x14ac:dyDescent="0.3">
      <c r="A65" s="1" cm="1">
        <f t="array" ref="A65">IF(OR(B65:L65=""), "", A64 + 1)</f>
        <v>44023</v>
      </c>
      <c r="B65" s="9">
        <f t="shared" si="482"/>
        <v>881</v>
      </c>
      <c r="C65" s="14">
        <f t="shared" si="483"/>
        <v>1.5456140350877194E-2</v>
      </c>
      <c r="D65" s="8">
        <f t="shared" si="484"/>
        <v>1.1363636363637131E-3</v>
      </c>
      <c r="E65" s="18">
        <f t="shared" si="436"/>
        <v>-1.1836327667061466</v>
      </c>
      <c r="F65" s="9">
        <f t="shared" si="485"/>
        <v>1</v>
      </c>
      <c r="G65" s="9" t="b">
        <f>FALSE</f>
        <v>0</v>
      </c>
      <c r="H65" s="9">
        <f t="shared" si="486"/>
        <v>0</v>
      </c>
      <c r="I65">
        <v>7860</v>
      </c>
      <c r="J65" s="9">
        <f t="shared" si="487"/>
        <v>134</v>
      </c>
      <c r="K65" s="8">
        <f t="shared" si="488"/>
        <v>1.7344033134869319E-2</v>
      </c>
      <c r="L65" s="8">
        <f t="shared" si="489"/>
        <v>7.462686567164179E-3</v>
      </c>
      <c r="U65">
        <v>881</v>
      </c>
    </row>
    <row r="66" spans="1:23" x14ac:dyDescent="0.3">
      <c r="A66" s="1" cm="1">
        <f t="array" ref="A66">IF(OR(B66:L66=""), "", A65 + 1)</f>
        <v>44024</v>
      </c>
      <c r="B66" s="9">
        <f t="shared" si="482"/>
        <v>883</v>
      </c>
      <c r="C66" s="14">
        <f t="shared" si="483"/>
        <v>1.5491228070175439E-2</v>
      </c>
      <c r="D66" s="8">
        <f t="shared" si="484"/>
        <v>2.2701475595914289E-3</v>
      </c>
      <c r="E66" s="18">
        <f t="shared" si="436"/>
        <v>-0.87237500767573473</v>
      </c>
      <c r="F66" s="9">
        <f t="shared" si="485"/>
        <v>2</v>
      </c>
      <c r="G66" s="9" t="b">
        <f>FALSE</f>
        <v>0</v>
      </c>
      <c r="H66" s="9">
        <f t="shared" si="486"/>
        <v>0</v>
      </c>
      <c r="I66">
        <v>7993</v>
      </c>
      <c r="J66" s="9">
        <f t="shared" si="487"/>
        <v>133</v>
      </c>
      <c r="K66" s="8">
        <f t="shared" si="488"/>
        <v>1.6921119592875344E-2</v>
      </c>
      <c r="L66" s="8">
        <f t="shared" si="489"/>
        <v>1.5037593984962405E-2</v>
      </c>
      <c r="U66">
        <v>883</v>
      </c>
    </row>
    <row r="67" spans="1:23" x14ac:dyDescent="0.3">
      <c r="A67" s="1" cm="1">
        <f t="array" ref="A67">IF(OR(B67:L67=""), "", A66 + 1)</f>
        <v>44025</v>
      </c>
      <c r="B67" s="9">
        <f t="shared" si="482"/>
        <v>888</v>
      </c>
      <c r="C67" s="14">
        <f t="shared" si="483"/>
        <v>1.5578947368421053E-2</v>
      </c>
      <c r="D67" s="8">
        <f t="shared" si="484"/>
        <v>5.6625141562853809E-3</v>
      </c>
      <c r="E67" s="18">
        <f t="shared" si="436"/>
        <v>-0.389603865058331</v>
      </c>
      <c r="F67" s="9">
        <f t="shared" si="485"/>
        <v>5</v>
      </c>
      <c r="G67" s="9" t="b">
        <f>FALSE</f>
        <v>0</v>
      </c>
      <c r="H67" s="9">
        <f t="shared" si="486"/>
        <v>0</v>
      </c>
      <c r="I67">
        <v>8104</v>
      </c>
      <c r="J67" s="9">
        <f t="shared" si="487"/>
        <v>111</v>
      </c>
      <c r="K67" s="8">
        <f t="shared" si="488"/>
        <v>1.3887151257350183E-2</v>
      </c>
      <c r="L67" s="8">
        <f t="shared" si="489"/>
        <v>4.5045045045045043E-2</v>
      </c>
      <c r="U67">
        <v>888</v>
      </c>
    </row>
    <row r="68" spans="1:23" x14ac:dyDescent="0.3">
      <c r="A68" s="1" cm="1">
        <f t="array" ref="A68">IF(OR(B68:L68=""), "", A67 + 1)</f>
        <v>44026</v>
      </c>
      <c r="B68" s="9">
        <f t="shared" si="482"/>
        <v>890</v>
      </c>
      <c r="C68" s="14">
        <f t="shared" si="483"/>
        <v>1.5614035087719299E-2</v>
      </c>
      <c r="D68" s="8">
        <f t="shared" si="484"/>
        <v>2.2522522522523403E-3</v>
      </c>
      <c r="E68" s="18">
        <f t="shared" si="436"/>
        <v>-0.56475834046319973</v>
      </c>
      <c r="F68" s="9">
        <f t="shared" si="485"/>
        <v>2</v>
      </c>
      <c r="G68" s="9" t="b">
        <f>FALSE</f>
        <v>0</v>
      </c>
      <c r="H68" s="9">
        <f t="shared" si="486"/>
        <v>0</v>
      </c>
      <c r="I68">
        <v>8171</v>
      </c>
      <c r="J68" s="9">
        <f t="shared" si="487"/>
        <v>67</v>
      </c>
      <c r="K68" s="8">
        <f t="shared" si="488"/>
        <v>8.2675222112535973E-3</v>
      </c>
      <c r="L68" s="8">
        <f t="shared" si="489"/>
        <v>2.9850746268656716E-2</v>
      </c>
      <c r="U68">
        <v>890</v>
      </c>
    </row>
    <row r="69" spans="1:23" x14ac:dyDescent="0.3">
      <c r="A69" s="1" cm="1">
        <f t="array" ref="A69">IF(OR(B69:L69=""), "", A68 + 1)</f>
        <v>44027</v>
      </c>
      <c r="B69" s="9">
        <f t="shared" si="482"/>
        <v>893</v>
      </c>
      <c r="C69" s="14">
        <f t="shared" si="483"/>
        <v>1.5666666666666666E-2</v>
      </c>
      <c r="D69" s="8">
        <f t="shared" si="484"/>
        <v>3.370786516853963E-3</v>
      </c>
      <c r="E69" s="18">
        <f t="shared" si="436"/>
        <v>-0.69671410858284211</v>
      </c>
      <c r="F69" s="9">
        <f t="shared" si="485"/>
        <v>3</v>
      </c>
      <c r="G69" s="9" t="b">
        <f>FALSE</f>
        <v>0</v>
      </c>
      <c r="H69" s="9">
        <f t="shared" si="486"/>
        <v>0</v>
      </c>
      <c r="I69">
        <v>8308</v>
      </c>
      <c r="J69" s="9">
        <f t="shared" si="487"/>
        <v>137</v>
      </c>
      <c r="K69" s="8">
        <f t="shared" si="488"/>
        <v>1.6766613633582228E-2</v>
      </c>
      <c r="L69" s="8">
        <f t="shared" si="489"/>
        <v>2.1897810218978103E-2</v>
      </c>
      <c r="U69">
        <v>893</v>
      </c>
    </row>
    <row r="70" spans="1:23" x14ac:dyDescent="0.3">
      <c r="A70" s="1" cm="1">
        <f t="array" ref="A70">IF(OR(B70:L70=""), "", A69 + 1)</f>
        <v>44028</v>
      </c>
      <c r="B70" s="9">
        <f t="shared" si="482"/>
        <v>898</v>
      </c>
      <c r="C70" s="14">
        <f t="shared" si="483"/>
        <v>1.5754385964912281E-2</v>
      </c>
      <c r="D70" s="8">
        <f t="shared" si="484"/>
        <v>5.5991041433369748E-3</v>
      </c>
      <c r="E70" s="18">
        <f t="shared" si="436"/>
        <v>-0.46592387505969124</v>
      </c>
      <c r="F70" s="9">
        <f t="shared" si="485"/>
        <v>5</v>
      </c>
      <c r="G70" s="9" t="b">
        <f>FALSE</f>
        <v>0</v>
      </c>
      <c r="H70" s="9">
        <f t="shared" si="486"/>
        <v>0</v>
      </c>
      <c r="I70">
        <v>8444</v>
      </c>
      <c r="J70" s="9">
        <f t="shared" si="487"/>
        <v>136</v>
      </c>
      <c r="K70" s="8">
        <f t="shared" si="488"/>
        <v>1.6369764082811766E-2</v>
      </c>
      <c r="L70" s="8">
        <f t="shared" si="489"/>
        <v>3.6764705882352942E-2</v>
      </c>
      <c r="U70">
        <v>898</v>
      </c>
    </row>
    <row r="71" spans="1:23" x14ac:dyDescent="0.3">
      <c r="A71" s="1" cm="1">
        <f t="array" ref="A71">IF(OR(B71:L71=""), "", A70 + 1)</f>
        <v>44029</v>
      </c>
      <c r="B71" s="6">
        <f t="shared" si="482"/>
        <v>898.49986087923241</v>
      </c>
      <c r="C71" s="13">
        <f t="shared" si="483"/>
        <v>1.576315545402162E-2</v>
      </c>
      <c r="D71" s="7">
        <f t="shared" si="484"/>
        <v>5.5663795014737616E-4</v>
      </c>
      <c r="E71" s="17">
        <f t="shared" si="436"/>
        <v>-1.5557656678870635</v>
      </c>
      <c r="F71" s="6">
        <f t="shared" si="485"/>
        <v>0.49986087923241485</v>
      </c>
      <c r="G71" s="9" t="b">
        <f>FALSE</f>
        <v>0</v>
      </c>
      <c r="H71" s="9">
        <f t="shared" si="486"/>
        <v>0</v>
      </c>
      <c r="I71">
        <v>8613</v>
      </c>
      <c r="J71" s="9">
        <f t="shared" ref="J71:J73" si="490">I71 - I70</f>
        <v>169</v>
      </c>
      <c r="K71" s="8">
        <f t="shared" ref="K71:K73" si="491">I71/I70 - 1</f>
        <v>2.0014211274277605E-2</v>
      </c>
      <c r="L71" s="7">
        <f t="shared" si="489"/>
        <v>2.9577566818486086E-3</v>
      </c>
      <c r="U71" s="6">
        <f>SQRT(U70 * U72)</f>
        <v>898.49986087923241</v>
      </c>
      <c r="V71">
        <v>896</v>
      </c>
      <c r="W71" t="s">
        <v>17</v>
      </c>
    </row>
    <row r="72" spans="1:23" x14ac:dyDescent="0.3">
      <c r="A72" s="1" cm="1">
        <f t="array" ref="A72">IF(OR(B72:L72=""), "", A71 + 1)</f>
        <v>44030</v>
      </c>
      <c r="B72" s="9">
        <f t="shared" si="482"/>
        <v>899</v>
      </c>
      <c r="C72" s="14">
        <f t="shared" si="483"/>
        <v>1.5771929824561402E-2</v>
      </c>
      <c r="D72" s="7">
        <f t="shared" si="484"/>
        <v>5.5663795014737616E-4</v>
      </c>
      <c r="E72" s="17">
        <f t="shared" si="436"/>
        <v>-1.3235941144754853</v>
      </c>
      <c r="F72" s="6">
        <f t="shared" si="485"/>
        <v>0.50013912076758515</v>
      </c>
      <c r="G72" s="9" t="b">
        <f>FALSE</f>
        <v>0</v>
      </c>
      <c r="H72" s="9">
        <f t="shared" si="486"/>
        <v>0</v>
      </c>
      <c r="I72">
        <v>8714</v>
      </c>
      <c r="J72" s="9">
        <f t="shared" si="490"/>
        <v>101</v>
      </c>
      <c r="K72" s="8">
        <f t="shared" si="491"/>
        <v>1.1726460002322137E-2</v>
      </c>
      <c r="L72" s="7">
        <f t="shared" si="489"/>
        <v>4.9518724828473779E-3</v>
      </c>
      <c r="U72">
        <v>899</v>
      </c>
    </row>
    <row r="73" spans="1:23" x14ac:dyDescent="0.3">
      <c r="A73" s="1" cm="1">
        <f t="array" ref="A73">IF(OR(B73:L73=""), "", A72 + 1)</f>
        <v>44031</v>
      </c>
      <c r="B73" s="9">
        <f t="shared" si="482"/>
        <v>900</v>
      </c>
      <c r="C73" s="14">
        <f t="shared" si="483"/>
        <v>1.5789473684210527E-2</v>
      </c>
      <c r="D73" s="8">
        <f t="shared" si="484"/>
        <v>1.1123470522802492E-3</v>
      </c>
      <c r="E73" s="18">
        <f t="shared" si="436"/>
        <v>-1.3657246542448811</v>
      </c>
      <c r="F73" s="9">
        <f t="shared" si="485"/>
        <v>1</v>
      </c>
      <c r="G73" s="9" t="b">
        <f>FALSE</f>
        <v>0</v>
      </c>
      <c r="H73" s="9">
        <f t="shared" si="486"/>
        <v>0</v>
      </c>
      <c r="I73">
        <v>8939</v>
      </c>
      <c r="J73" s="9">
        <f t="shared" si="490"/>
        <v>225</v>
      </c>
      <c r="K73" s="8">
        <f t="shared" si="491"/>
        <v>2.582051870553137E-2</v>
      </c>
      <c r="L73" s="8">
        <f t="shared" si="489"/>
        <v>4.4444444444444444E-3</v>
      </c>
      <c r="U73">
        <v>900</v>
      </c>
    </row>
    <row r="74" spans="1:23" x14ac:dyDescent="0.3">
      <c r="A74" s="1" cm="1">
        <f t="array" ref="A74">IF(OR(B74:L74=""), "", A73 + 1)</f>
        <v>44032</v>
      </c>
      <c r="B74" s="9">
        <f t="shared" si="482"/>
        <v>906</v>
      </c>
      <c r="C74" s="14">
        <f t="shared" si="483"/>
        <v>1.5894736842105264E-2</v>
      </c>
      <c r="D74" s="8">
        <f t="shared" si="484"/>
        <v>6.6666666666665986E-3</v>
      </c>
      <c r="E74" s="18">
        <f t="shared" si="436"/>
        <v>-0.23340249353993497</v>
      </c>
      <c r="F74" s="9">
        <f t="shared" si="485"/>
        <v>6</v>
      </c>
      <c r="G74" s="9" t="b">
        <f>FALSE</f>
        <v>0</v>
      </c>
      <c r="H74" s="9">
        <f t="shared" si="486"/>
        <v>0</v>
      </c>
      <c r="I74">
        <v>9041</v>
      </c>
      <c r="J74" s="9">
        <f t="shared" si="487"/>
        <v>102</v>
      </c>
      <c r="K74" s="8">
        <f t="shared" si="488"/>
        <v>1.1410672334713157E-2</v>
      </c>
      <c r="L74" s="8">
        <f t="shared" si="489"/>
        <v>5.8823529411764705E-2</v>
      </c>
      <c r="U74">
        <v>906</v>
      </c>
    </row>
    <row r="75" spans="1:23" x14ac:dyDescent="0.3">
      <c r="A75" s="1" cm="1">
        <f t="array" ref="A75">IF(OR(B75:L75=""), "", A74 + 1)</f>
        <v>44033</v>
      </c>
      <c r="B75" s="6">
        <f t="shared" si="482"/>
        <v>907.49876032973179</v>
      </c>
      <c r="C75" s="13">
        <f t="shared" si="483"/>
        <v>1.5921030882977749E-2</v>
      </c>
      <c r="D75" s="7">
        <f t="shared" si="484"/>
        <v>1.6542608495935252E-3</v>
      </c>
      <c r="E75" s="17">
        <f t="shared" si="436"/>
        <v>-0.83765509602981159</v>
      </c>
      <c r="F75" s="6">
        <f t="shared" si="485"/>
        <v>1.4987603297317946</v>
      </c>
      <c r="G75" s="9" t="b">
        <f>FALSE</f>
        <v>0</v>
      </c>
      <c r="H75" s="9">
        <f t="shared" si="486"/>
        <v>0</v>
      </c>
      <c r="I75" s="6">
        <f>SQRT(I74 * I76)</f>
        <v>9143.914260315436</v>
      </c>
      <c r="J75" s="6">
        <f t="shared" si="487"/>
        <v>102.91426031543597</v>
      </c>
      <c r="K75" s="7">
        <f t="shared" si="488"/>
        <v>1.1383061643118753E-2</v>
      </c>
      <c r="L75" s="7">
        <f t="shared" si="489"/>
        <v>1.4563193916353667E-2</v>
      </c>
      <c r="U75" s="6">
        <f>SQRT(U74 * U76)</f>
        <v>907.49876032973179</v>
      </c>
      <c r="V75" t="s">
        <v>20</v>
      </c>
    </row>
    <row r="76" spans="1:23" x14ac:dyDescent="0.3">
      <c r="A76" s="1" cm="1">
        <f t="array" ref="A76">IF(OR(B76:L76=""), "", A75 + 1)</f>
        <v>44034</v>
      </c>
      <c r="B76" s="9">
        <f t="shared" si="482"/>
        <v>909</v>
      </c>
      <c r="C76" s="14">
        <f t="shared" si="483"/>
        <v>1.594736842105263E-2</v>
      </c>
      <c r="D76" s="7">
        <f t="shared" si="484"/>
        <v>1.6542608495935252E-3</v>
      </c>
      <c r="E76" s="17">
        <f t="shared" si="436"/>
        <v>-0.83765509602981159</v>
      </c>
      <c r="F76" s="6">
        <f t="shared" si="485"/>
        <v>1.5012396702682054</v>
      </c>
      <c r="G76" s="9" t="b">
        <f>FALSE</f>
        <v>0</v>
      </c>
      <c r="H76" s="9">
        <f t="shared" si="486"/>
        <v>0</v>
      </c>
      <c r="I76">
        <v>9248</v>
      </c>
      <c r="J76" s="6">
        <f t="shared" si="487"/>
        <v>104.08573968456403</v>
      </c>
      <c r="K76" s="7">
        <f t="shared" si="488"/>
        <v>1.1383061643118753E-2</v>
      </c>
      <c r="L76" s="7">
        <f t="shared" si="489"/>
        <v>1.4423106131711912E-2</v>
      </c>
      <c r="U76">
        <v>909</v>
      </c>
    </row>
    <row r="77" spans="1:23" x14ac:dyDescent="0.3">
      <c r="A77" s="1" cm="1">
        <f t="array" ref="A77">IF(OR(B77:L77=""), "", A76 + 1)</f>
        <v>44035</v>
      </c>
      <c r="B77" s="9">
        <f t="shared" si="482"/>
        <v>913</v>
      </c>
      <c r="C77" s="14">
        <f t="shared" si="483"/>
        <v>1.6017543859649121E-2</v>
      </c>
      <c r="D77" s="8">
        <f t="shared" si="484"/>
        <v>4.4004400440043057E-3</v>
      </c>
      <c r="E77" s="18">
        <f t="shared" si="436"/>
        <v>-0.48736608382561986</v>
      </c>
      <c r="F77" s="9">
        <f t="shared" si="485"/>
        <v>4</v>
      </c>
      <c r="G77" s="9" t="b">
        <f>FALSE</f>
        <v>0</v>
      </c>
      <c r="H77" s="9">
        <f t="shared" si="486"/>
        <v>0</v>
      </c>
      <c r="I77">
        <v>9373</v>
      </c>
      <c r="J77" s="9">
        <f t="shared" si="487"/>
        <v>125</v>
      </c>
      <c r="K77" s="8">
        <f t="shared" si="488"/>
        <v>1.3516435986159259E-2</v>
      </c>
      <c r="L77" s="8">
        <f t="shared" si="489"/>
        <v>3.2000000000000001E-2</v>
      </c>
      <c r="U77">
        <v>913</v>
      </c>
    </row>
    <row r="78" spans="1:23" x14ac:dyDescent="0.3">
      <c r="A78" s="1" cm="1">
        <f t="array" ref="A78">IF(OR(B78:L78=""), "", A77 + 1)</f>
        <v>44036</v>
      </c>
      <c r="B78" s="9">
        <f t="shared" si="482"/>
        <v>917</v>
      </c>
      <c r="C78" s="14">
        <f t="shared" si="483"/>
        <v>1.6087719298245613E-2</v>
      </c>
      <c r="D78" s="8">
        <f t="shared" si="484"/>
        <v>4.3811610076669449E-3</v>
      </c>
      <c r="E78" s="18">
        <f t="shared" si="436"/>
        <v>-0.57405289001654036</v>
      </c>
      <c r="F78" s="9">
        <f t="shared" si="485"/>
        <v>4</v>
      </c>
      <c r="G78" s="9" t="b">
        <f>FALSE</f>
        <v>0</v>
      </c>
      <c r="H78" s="9">
        <f t="shared" si="486"/>
        <v>0</v>
      </c>
      <c r="I78">
        <v>9527</v>
      </c>
      <c r="J78" s="9">
        <f t="shared" si="487"/>
        <v>154</v>
      </c>
      <c r="K78" s="8">
        <f t="shared" si="488"/>
        <v>1.643017176997752E-2</v>
      </c>
      <c r="L78" s="8">
        <f t="shared" si="489"/>
        <v>2.5974025974025976E-2</v>
      </c>
      <c r="U78">
        <v>917</v>
      </c>
    </row>
    <row r="79" spans="1:23" x14ac:dyDescent="0.3">
      <c r="A79" s="1" cm="1">
        <f t="array" ref="A79">IF(OR(B79:L79=""), "", A78 + 1)</f>
        <v>44037</v>
      </c>
      <c r="B79" s="9">
        <f t="shared" si="482"/>
        <v>921</v>
      </c>
      <c r="C79" s="14">
        <f t="shared" si="483"/>
        <v>1.6157894736842104E-2</v>
      </c>
      <c r="D79" s="8">
        <f t="shared" si="484"/>
        <v>4.362050163576825E-3</v>
      </c>
      <c r="E79" s="18">
        <f t="shared" si="436"/>
        <v>-0.4885631487723433</v>
      </c>
      <c r="F79" s="9">
        <f t="shared" si="485"/>
        <v>4</v>
      </c>
      <c r="G79" s="9" t="b">
        <f>FALSE</f>
        <v>0</v>
      </c>
      <c r="H79" s="9">
        <f t="shared" si="486"/>
        <v>0</v>
      </c>
      <c r="I79">
        <v>9655</v>
      </c>
      <c r="J79" s="9">
        <f t="shared" si="487"/>
        <v>128</v>
      </c>
      <c r="K79" s="8">
        <f t="shared" si="488"/>
        <v>1.3435499107798954E-2</v>
      </c>
      <c r="L79" s="8">
        <f t="shared" si="489"/>
        <v>3.125E-2</v>
      </c>
      <c r="U79">
        <v>921</v>
      </c>
    </row>
    <row r="80" spans="1:23" x14ac:dyDescent="0.3">
      <c r="A80" s="1" cm="1">
        <f t="array" ref="A80">IF(OR(B80:L80=""), "", A79 + 1)</f>
        <v>44038</v>
      </c>
      <c r="B80" s="9">
        <f t="shared" si="482"/>
        <v>925</v>
      </c>
      <c r="C80" s="14">
        <f t="shared" si="483"/>
        <v>1.6228070175438595E-2</v>
      </c>
      <c r="D80" s="8">
        <f t="shared" si="484"/>
        <v>4.3431053203040193E-3</v>
      </c>
      <c r="E80" s="18">
        <f t="shared" si="436"/>
        <v>-0.56496808158993506</v>
      </c>
      <c r="F80" s="9">
        <f t="shared" si="485"/>
        <v>4</v>
      </c>
      <c r="G80" s="9" t="b">
        <f>FALSE</f>
        <v>0</v>
      </c>
      <c r="H80" s="9">
        <f t="shared" si="486"/>
        <v>0</v>
      </c>
      <c r="I80">
        <v>9809</v>
      </c>
      <c r="J80" s="9">
        <f t="shared" si="487"/>
        <v>154</v>
      </c>
      <c r="K80" s="8">
        <f t="shared" si="488"/>
        <v>1.5950284826514727E-2</v>
      </c>
      <c r="L80" s="8">
        <f t="shared" si="489"/>
        <v>2.5974025974025976E-2</v>
      </c>
      <c r="U80">
        <v>925</v>
      </c>
    </row>
    <row r="81" spans="1:21" x14ac:dyDescent="0.3">
      <c r="A81" s="1" cm="1">
        <f t="array" ref="A81">IF(OR(B81:L81=""), "", A80 + 1)</f>
        <v>44039</v>
      </c>
      <c r="B81" s="9">
        <f t="shared" si="482"/>
        <v>927</v>
      </c>
      <c r="C81" s="14">
        <f t="shared" si="483"/>
        <v>1.626315789473684E-2</v>
      </c>
      <c r="D81" s="8">
        <f t="shared" si="484"/>
        <v>2.1621621621621401E-3</v>
      </c>
      <c r="E81" s="18">
        <f t="shared" si="436"/>
        <v>-0.57111409383149747</v>
      </c>
      <c r="F81" s="9">
        <f t="shared" si="485"/>
        <v>2</v>
      </c>
      <c r="G81" s="9" t="b">
        <f>FALSE</f>
        <v>0</v>
      </c>
      <c r="H81" s="9">
        <f t="shared" si="486"/>
        <v>0</v>
      </c>
      <c r="I81">
        <v>9888</v>
      </c>
      <c r="J81" s="9">
        <f t="shared" si="487"/>
        <v>79</v>
      </c>
      <c r="K81" s="8">
        <f t="shared" si="488"/>
        <v>8.0538281170354775E-3</v>
      </c>
      <c r="L81" s="8">
        <f t="shared" si="489"/>
        <v>2.5316455696202531E-2</v>
      </c>
      <c r="U81">
        <v>927</v>
      </c>
    </row>
    <row r="82" spans="1:21" x14ac:dyDescent="0.3">
      <c r="A82" s="1" cm="1">
        <f t="array" ref="A82">IF(OR(B82:L82=""), "", A81 + 1)</f>
        <v>44040</v>
      </c>
      <c r="B82" s="9">
        <f t="shared" si="482"/>
        <v>929</v>
      </c>
      <c r="C82" s="14">
        <f t="shared" si="483"/>
        <v>1.6298245614035086E-2</v>
      </c>
      <c r="D82" s="8">
        <f t="shared" si="484"/>
        <v>2.1574973031284195E-3</v>
      </c>
      <c r="E82" s="18">
        <f t="shared" si="436"/>
        <v>-0.73539926996268035</v>
      </c>
      <c r="F82" s="9">
        <f t="shared" si="485"/>
        <v>2</v>
      </c>
      <c r="G82" s="9" t="b">
        <f>FALSE</f>
        <v>0</v>
      </c>
      <c r="H82" s="9">
        <f t="shared" si="486"/>
        <v>0</v>
      </c>
      <c r="I82">
        <v>10004</v>
      </c>
      <c r="J82" s="9">
        <f t="shared" si="487"/>
        <v>116</v>
      </c>
      <c r="K82" s="8">
        <f t="shared" si="488"/>
        <v>1.173139158576042E-2</v>
      </c>
      <c r="L82" s="8">
        <f t="shared" si="489"/>
        <v>1.7241379310344827E-2</v>
      </c>
      <c r="U82">
        <v>929</v>
      </c>
    </row>
    <row r="83" spans="1:21" x14ac:dyDescent="0.3">
      <c r="A83" s="1" cm="1">
        <f t="array" ref="A83">IF(OR(B83:L83=""), "", A82 + 1)</f>
        <v>44041</v>
      </c>
      <c r="B83" s="9">
        <f t="shared" si="482"/>
        <v>935</v>
      </c>
      <c r="C83" s="14">
        <f t="shared" si="483"/>
        <v>1.6403508771929826E-2</v>
      </c>
      <c r="D83" s="8">
        <f t="shared" si="484"/>
        <v>6.4585575888052027E-3</v>
      </c>
      <c r="E83" s="18">
        <f t="shared" si="436"/>
        <v>-9.2780767543474585E-2</v>
      </c>
      <c r="F83" s="9">
        <f t="shared" si="485"/>
        <v>6</v>
      </c>
      <c r="G83" s="9" t="b">
        <f>FALSE</f>
        <v>0</v>
      </c>
      <c r="H83" s="9">
        <f t="shared" si="486"/>
        <v>0</v>
      </c>
      <c r="I83">
        <v>10084</v>
      </c>
      <c r="J83" s="9">
        <f t="shared" si="487"/>
        <v>80</v>
      </c>
      <c r="K83" s="8">
        <f t="shared" si="488"/>
        <v>7.9968012794882082E-3</v>
      </c>
      <c r="L83" s="8">
        <f t="shared" si="489"/>
        <v>7.4999999999999997E-2</v>
      </c>
      <c r="U83">
        <v>935</v>
      </c>
    </row>
    <row r="84" spans="1:21" x14ac:dyDescent="0.3">
      <c r="A84" s="1" cm="1">
        <f t="array" ref="A84">IF(OR(B84:L84=""), "", A83 + 1)</f>
        <v>44042</v>
      </c>
      <c r="B84" s="9">
        <f t="shared" si="482"/>
        <v>942</v>
      </c>
      <c r="C84" s="14">
        <f t="shared" si="483"/>
        <v>1.6526315789473684E-2</v>
      </c>
      <c r="D84" s="8">
        <f t="shared" si="484"/>
        <v>7.4866310160428551E-3</v>
      </c>
      <c r="E84" s="18">
        <f t="shared" si="436"/>
        <v>-0.17129875652402737</v>
      </c>
      <c r="F84" s="9">
        <f t="shared" si="485"/>
        <v>7</v>
      </c>
      <c r="G84" s="9" t="b">
        <f>FALSE</f>
        <v>0</v>
      </c>
      <c r="H84" s="9">
        <f t="shared" si="486"/>
        <v>0</v>
      </c>
      <c r="I84">
        <v>10196</v>
      </c>
      <c r="J84" s="9">
        <f t="shared" si="487"/>
        <v>112</v>
      </c>
      <c r="K84" s="8">
        <f t="shared" si="488"/>
        <v>1.1106703689012232E-2</v>
      </c>
      <c r="L84" s="8">
        <f t="shared" si="489"/>
        <v>6.25E-2</v>
      </c>
      <c r="U84">
        <v>942</v>
      </c>
    </row>
    <row r="85" spans="1:21" x14ac:dyDescent="0.3">
      <c r="A85" s="1" cm="1">
        <f t="array" ref="A85">IF(OR(B85:L85=""), "", A84 + 1)</f>
        <v>44043</v>
      </c>
      <c r="B85" s="9">
        <f t="shared" si="482"/>
        <v>951</v>
      </c>
      <c r="C85" s="14">
        <f t="shared" si="483"/>
        <v>1.6684210526315791E-2</v>
      </c>
      <c r="D85" s="8">
        <f t="shared" si="484"/>
        <v>9.5541401273886439E-3</v>
      </c>
      <c r="E85" s="18">
        <f t="shared" si="436"/>
        <v>-0.34179233990550872</v>
      </c>
      <c r="F85" s="9">
        <f t="shared" si="485"/>
        <v>9</v>
      </c>
      <c r="G85" s="9" t="b">
        <f>FALSE</f>
        <v>0</v>
      </c>
      <c r="H85" s="9">
        <f t="shared" si="486"/>
        <v>0</v>
      </c>
      <c r="I85">
        <v>10410</v>
      </c>
      <c r="J85" s="9">
        <f t="shared" si="487"/>
        <v>214</v>
      </c>
      <c r="K85" s="8">
        <f t="shared" si="488"/>
        <v>2.0988622989407624E-2</v>
      </c>
      <c r="L85" s="8">
        <f t="shared" si="489"/>
        <v>4.2056074766355138E-2</v>
      </c>
      <c r="U85">
        <v>951</v>
      </c>
    </row>
    <row r="86" spans="1:21" x14ac:dyDescent="0.3">
      <c r="A86" s="1" cm="1">
        <f t="array" ref="A86">IF(OR(B86:L86=""), "", A85 + 1)</f>
        <v>44044</v>
      </c>
      <c r="B86" s="9">
        <f t="shared" si="482"/>
        <v>959</v>
      </c>
      <c r="C86" s="14">
        <f t="shared" si="483"/>
        <v>1.6824561403508773E-2</v>
      </c>
      <c r="D86" s="8">
        <f t="shared" si="484"/>
        <v>8.4121976866455839E-3</v>
      </c>
      <c r="E86" s="18">
        <f t="shared" si="436"/>
        <v>-0.26982740483889722</v>
      </c>
      <c r="F86" s="9">
        <f t="shared" si="485"/>
        <v>8</v>
      </c>
      <c r="G86" s="9" t="b">
        <f>FALSE</f>
        <v>0</v>
      </c>
      <c r="H86" s="9">
        <f t="shared" si="486"/>
        <v>0</v>
      </c>
      <c r="I86">
        <v>10573</v>
      </c>
      <c r="J86" s="9">
        <f t="shared" si="487"/>
        <v>163</v>
      </c>
      <c r="K86" s="8">
        <f t="shared" si="488"/>
        <v>1.5658021133525546E-2</v>
      </c>
      <c r="L86" s="8">
        <f t="shared" si="489"/>
        <v>4.9079754601226995E-2</v>
      </c>
      <c r="U86">
        <v>959</v>
      </c>
    </row>
    <row r="87" spans="1:21" x14ac:dyDescent="0.3">
      <c r="A87" s="1" cm="1">
        <f t="array" ref="A87">IF(OR(B87:L87=""), "", A86 + 1)</f>
        <v>44045</v>
      </c>
      <c r="B87" s="9">
        <f t="shared" si="482"/>
        <v>962</v>
      </c>
      <c r="C87" s="14">
        <f t="shared" si="483"/>
        <v>1.687719298245614E-2</v>
      </c>
      <c r="D87" s="8">
        <f t="shared" si="484"/>
        <v>3.1282586027112647E-3</v>
      </c>
      <c r="E87" s="18">
        <f t="shared" si="436"/>
        <v>-0.65076083563907761</v>
      </c>
      <c r="F87" s="9">
        <f t="shared" si="485"/>
        <v>3</v>
      </c>
      <c r="G87" s="9" t="b">
        <f>FALSE</f>
        <v>0</v>
      </c>
      <c r="H87" s="9">
        <f t="shared" si="486"/>
        <v>0</v>
      </c>
      <c r="I87">
        <v>10721</v>
      </c>
      <c r="J87" s="9">
        <f t="shared" si="487"/>
        <v>148</v>
      </c>
      <c r="K87" s="8">
        <f t="shared" si="488"/>
        <v>1.399791922822291E-2</v>
      </c>
      <c r="L87" s="8">
        <f t="shared" si="489"/>
        <v>2.0270270270270271E-2</v>
      </c>
      <c r="U87">
        <v>962</v>
      </c>
    </row>
    <row r="88" spans="1:21" x14ac:dyDescent="0.3">
      <c r="A88" s="1" cm="1">
        <f t="array" ref="A88">IF(OR(B88:L88=""), "", A87 + 1)</f>
        <v>44046</v>
      </c>
      <c r="B88" s="9">
        <f t="shared" si="482"/>
        <v>964</v>
      </c>
      <c r="C88" s="14">
        <f t="shared" si="483"/>
        <v>1.6912280701754386E-2</v>
      </c>
      <c r="D88" s="8">
        <f t="shared" si="484"/>
        <v>2.0790020790020236E-3</v>
      </c>
      <c r="E88" s="18">
        <f t="shared" si="436"/>
        <v>-0.52697104375329984</v>
      </c>
      <c r="F88" s="9">
        <f t="shared" si="485"/>
        <v>2</v>
      </c>
      <c r="G88" s="9" t="b">
        <f>FALSE</f>
        <v>0</v>
      </c>
      <c r="H88" s="9">
        <f t="shared" si="486"/>
        <v>0</v>
      </c>
      <c r="I88">
        <v>10796</v>
      </c>
      <c r="J88" s="9">
        <f t="shared" si="487"/>
        <v>75</v>
      </c>
      <c r="K88" s="8">
        <f t="shared" si="488"/>
        <v>6.9956160805895173E-3</v>
      </c>
      <c r="L88" s="8">
        <f t="shared" si="489"/>
        <v>2.6666666666666668E-2</v>
      </c>
      <c r="U88">
        <v>964</v>
      </c>
    </row>
    <row r="89" spans="1:21" x14ac:dyDescent="0.3">
      <c r="A89" s="1" cm="1">
        <f t="array" ref="A89">IF(OR(B89:L89=""), "", A88 + 1)</f>
        <v>44047</v>
      </c>
      <c r="B89" s="9">
        <f t="shared" si="482"/>
        <v>964</v>
      </c>
      <c r="C89" s="14">
        <f t="shared" si="483"/>
        <v>1.6912280701754386E-2</v>
      </c>
      <c r="D89" s="8">
        <f t="shared" si="484"/>
        <v>0</v>
      </c>
      <c r="E89" s="18" t="b">
        <f t="shared" si="436"/>
        <v>0</v>
      </c>
      <c r="F89" s="9">
        <f t="shared" si="485"/>
        <v>0</v>
      </c>
      <c r="G89" s="9" t="b">
        <f>FALSE</f>
        <v>0</v>
      </c>
      <c r="H89" s="9">
        <f t="shared" si="486"/>
        <v>0</v>
      </c>
      <c r="I89">
        <v>10930</v>
      </c>
      <c r="J89" s="9">
        <f t="shared" si="487"/>
        <v>134</v>
      </c>
      <c r="K89" s="8">
        <f t="shared" si="488"/>
        <v>1.2412004446091141E-2</v>
      </c>
      <c r="L89" s="8">
        <f t="shared" si="489"/>
        <v>0</v>
      </c>
      <c r="U89">
        <v>964</v>
      </c>
    </row>
    <row r="90" spans="1:21" x14ac:dyDescent="0.3">
      <c r="A90" s="1" cm="1">
        <f t="array" ref="A90">IF(OR(B90:L90=""), "", A89 + 1)</f>
        <v>44048</v>
      </c>
      <c r="B90" s="9">
        <f t="shared" si="482"/>
        <v>969</v>
      </c>
      <c r="C90" s="14">
        <f t="shared" si="483"/>
        <v>1.7000000000000001E-2</v>
      </c>
      <c r="D90" s="8">
        <f t="shared" si="484"/>
        <v>5.1867219917012264E-3</v>
      </c>
      <c r="E90" s="18">
        <f t="shared" si="436"/>
        <v>-0.37682063611211813</v>
      </c>
      <c r="F90" s="9">
        <f t="shared" si="485"/>
        <v>5</v>
      </c>
      <c r="G90" s="9" t="b">
        <f>FALSE</f>
        <v>0</v>
      </c>
      <c r="H90" s="9">
        <f t="shared" si="486"/>
        <v>0</v>
      </c>
      <c r="I90">
        <v>11065</v>
      </c>
      <c r="J90" s="9">
        <f t="shared" si="487"/>
        <v>135</v>
      </c>
      <c r="K90" s="8">
        <f t="shared" si="488"/>
        <v>1.235132662397076E-2</v>
      </c>
      <c r="L90" s="8">
        <f t="shared" si="489"/>
        <v>3.7037037037037035E-2</v>
      </c>
      <c r="U90">
        <v>969</v>
      </c>
    </row>
    <row r="91" spans="1:21" x14ac:dyDescent="0.3">
      <c r="A91" s="1" cm="1">
        <f t="array" ref="A91">IF(OR(B91:L91=""), "", A90 + 1)</f>
        <v>44049</v>
      </c>
      <c r="B91" s="9">
        <f t="shared" si="482"/>
        <v>973</v>
      </c>
      <c r="C91" s="14">
        <f t="shared" si="483"/>
        <v>1.7070175438596492E-2</v>
      </c>
      <c r="D91" s="8">
        <f t="shared" si="484"/>
        <v>4.1279669762641635E-3</v>
      </c>
      <c r="E91" s="18">
        <f t="shared" si="436"/>
        <v>-0.44752233710740102</v>
      </c>
      <c r="F91" s="9">
        <f t="shared" si="485"/>
        <v>4</v>
      </c>
      <c r="G91" s="9" t="b">
        <f>FALSE</f>
        <v>0</v>
      </c>
      <c r="H91" s="9">
        <f t="shared" si="486"/>
        <v>0</v>
      </c>
      <c r="I91">
        <v>11193</v>
      </c>
      <c r="J91" s="9">
        <f t="shared" si="487"/>
        <v>128</v>
      </c>
      <c r="K91" s="8">
        <f t="shared" si="488"/>
        <v>1.1568007230004618E-2</v>
      </c>
      <c r="L91" s="8">
        <f t="shared" si="489"/>
        <v>3.125E-2</v>
      </c>
      <c r="U91">
        <v>973</v>
      </c>
    </row>
    <row r="92" spans="1:21" x14ac:dyDescent="0.3">
      <c r="A92" s="1" cm="1">
        <f t="array" ref="A92">IF(OR(B92:L92=""), "", A91 + 1)</f>
        <v>44050</v>
      </c>
      <c r="B92" s="9">
        <f t="shared" si="482"/>
        <v>984</v>
      </c>
      <c r="C92" s="14">
        <f t="shared" si="483"/>
        <v>1.7263157894736841E-2</v>
      </c>
      <c r="D92" s="8">
        <f t="shared" si="484"/>
        <v>1.1305241521068821E-2</v>
      </c>
      <c r="E92" s="18">
        <f t="shared" si="436"/>
        <v>-0.17880701859736561</v>
      </c>
      <c r="F92" s="9">
        <f t="shared" si="485"/>
        <v>11</v>
      </c>
      <c r="G92" s="9" t="b">
        <f>FALSE</f>
        <v>0</v>
      </c>
      <c r="H92" s="9">
        <f t="shared" si="486"/>
        <v>0</v>
      </c>
      <c r="I92">
        <v>11384</v>
      </c>
      <c r="J92" s="9">
        <f t="shared" si="487"/>
        <v>191</v>
      </c>
      <c r="K92" s="8">
        <f t="shared" si="488"/>
        <v>1.7064236576431746E-2</v>
      </c>
      <c r="L92" s="8">
        <f t="shared" si="489"/>
        <v>5.7591623036649213E-2</v>
      </c>
      <c r="U92">
        <v>984</v>
      </c>
    </row>
    <row r="93" spans="1:21" x14ac:dyDescent="0.3">
      <c r="A93" s="1" cm="1">
        <f t="array" ref="A93">IF(OR(B93:L93=""), "", A92 + 1)</f>
        <v>44051</v>
      </c>
      <c r="B93" s="9">
        <f t="shared" si="482"/>
        <v>989</v>
      </c>
      <c r="C93" s="14">
        <f t="shared" si="483"/>
        <v>1.7350877192982457E-2</v>
      </c>
      <c r="D93" s="8">
        <f t="shared" si="484"/>
        <v>5.0813008130081716E-3</v>
      </c>
      <c r="E93" s="18">
        <f t="shared" si="436"/>
        <v>-0.51419201119233493</v>
      </c>
      <c r="F93" s="9">
        <f t="shared" si="485"/>
        <v>5</v>
      </c>
      <c r="G93" s="9" t="b">
        <f>FALSE</f>
        <v>0</v>
      </c>
      <c r="H93" s="9">
        <f t="shared" si="486"/>
        <v>0</v>
      </c>
      <c r="I93">
        <v>11573</v>
      </c>
      <c r="J93" s="9">
        <f t="shared" si="487"/>
        <v>189</v>
      </c>
      <c r="K93" s="8">
        <f t="shared" si="488"/>
        <v>1.6602248770203776E-2</v>
      </c>
      <c r="L93" s="8">
        <f t="shared" si="489"/>
        <v>2.6455026455026454E-2</v>
      </c>
      <c r="U93">
        <v>989</v>
      </c>
    </row>
    <row r="94" spans="1:21" x14ac:dyDescent="0.3">
      <c r="A94" s="1" cm="1">
        <f t="array" ref="A94">IF(OR(B94:L94=""), "", A93 + 1)</f>
        <v>44052</v>
      </c>
      <c r="B94" s="9">
        <f t="shared" si="482"/>
        <v>997</v>
      </c>
      <c r="C94" s="14">
        <f t="shared" si="483"/>
        <v>1.7491228070175439E-2</v>
      </c>
      <c r="D94" s="8">
        <f t="shared" si="484"/>
        <v>8.0889787664306656E-3</v>
      </c>
      <c r="E94" s="18">
        <f t="shared" si="436"/>
        <v>-0.23005747580266056</v>
      </c>
      <c r="F94" s="9">
        <f t="shared" si="485"/>
        <v>8</v>
      </c>
      <c r="G94" s="9" t="b">
        <f>FALSE</f>
        <v>0</v>
      </c>
      <c r="H94" s="9">
        <f t="shared" si="486"/>
        <v>0</v>
      </c>
      <c r="I94">
        <v>11732</v>
      </c>
      <c r="J94" s="9">
        <f t="shared" si="487"/>
        <v>159</v>
      </c>
      <c r="K94" s="8">
        <f t="shared" si="488"/>
        <v>1.373887496759707E-2</v>
      </c>
      <c r="L94" s="8">
        <f t="shared" si="489"/>
        <v>5.0314465408805034E-2</v>
      </c>
      <c r="U94">
        <v>997</v>
      </c>
    </row>
    <row r="95" spans="1:21" x14ac:dyDescent="0.3">
      <c r="A95" s="1" cm="1">
        <f t="array" ref="A95">IF(OR(B95:L95=""), "", A94 + 1)</f>
        <v>44053</v>
      </c>
      <c r="B95" s="9">
        <f t="shared" si="482"/>
        <v>997</v>
      </c>
      <c r="C95" s="14">
        <f t="shared" si="483"/>
        <v>1.7491228070175439E-2</v>
      </c>
      <c r="D95" s="8">
        <f t="shared" si="484"/>
        <v>0</v>
      </c>
      <c r="E95" s="18" t="b">
        <f t="shared" si="436"/>
        <v>0</v>
      </c>
      <c r="F95" s="9">
        <f t="shared" si="485"/>
        <v>0</v>
      </c>
      <c r="G95" s="9" t="b">
        <f>FALSE</f>
        <v>0</v>
      </c>
      <c r="H95" s="9">
        <f t="shared" si="486"/>
        <v>0</v>
      </c>
      <c r="I95">
        <v>11831</v>
      </c>
      <c r="J95" s="9">
        <f t="shared" si="487"/>
        <v>99</v>
      </c>
      <c r="K95" s="8">
        <f t="shared" si="488"/>
        <v>8.4384589157859846E-3</v>
      </c>
      <c r="L95" s="8">
        <f t="shared" si="489"/>
        <v>0</v>
      </c>
      <c r="U95">
        <v>997</v>
      </c>
    </row>
    <row r="96" spans="1:21" x14ac:dyDescent="0.3">
      <c r="A96" s="1" cm="1">
        <f t="array" ref="A96">IF(OR(B96:L96=""), "", A95 + 1)</f>
        <v>44054</v>
      </c>
      <c r="B96" s="9">
        <f t="shared" si="482"/>
        <v>999</v>
      </c>
      <c r="C96" s="14">
        <f t="shared" si="483"/>
        <v>1.7526315789473685E-2</v>
      </c>
      <c r="D96" s="8">
        <f t="shared" si="484"/>
        <v>2.0060180541625616E-3</v>
      </c>
      <c r="E96" s="18">
        <f t="shared" si="436"/>
        <v>-0.72155372129597939</v>
      </c>
      <c r="F96" s="9">
        <f t="shared" si="485"/>
        <v>2</v>
      </c>
      <c r="G96" s="9" t="b">
        <f>FALSE</f>
        <v>0</v>
      </c>
      <c r="H96" s="9">
        <f t="shared" si="486"/>
        <v>0</v>
      </c>
      <c r="I96">
        <v>11956</v>
      </c>
      <c r="J96" s="9">
        <f t="shared" si="487"/>
        <v>125</v>
      </c>
      <c r="K96" s="8">
        <f t="shared" si="488"/>
        <v>1.0565463612543402E-2</v>
      </c>
      <c r="L96" s="8">
        <f t="shared" si="489"/>
        <v>1.6E-2</v>
      </c>
      <c r="U96">
        <v>999</v>
      </c>
    </row>
    <row r="97" spans="1:23" x14ac:dyDescent="0.3">
      <c r="A97" s="1" cm="1">
        <f t="array" ref="A97">IF(OR(B97:L97=""), "", A96 + 1)</f>
        <v>44055</v>
      </c>
      <c r="B97" s="9">
        <f t="shared" si="482"/>
        <v>1001</v>
      </c>
      <c r="C97" s="14">
        <f t="shared" si="483"/>
        <v>1.7561403508771931E-2</v>
      </c>
      <c r="D97" s="8">
        <f t="shared" si="484"/>
        <v>2.0020020020019569E-3</v>
      </c>
      <c r="E97" s="18">
        <f t="shared" si="436"/>
        <v>-0.71785959920282238</v>
      </c>
      <c r="F97" s="9">
        <f t="shared" si="485"/>
        <v>2</v>
      </c>
      <c r="G97" s="9" t="b">
        <f>FALSE</f>
        <v>0</v>
      </c>
      <c r="H97" s="9">
        <f t="shared" si="486"/>
        <v>0</v>
      </c>
      <c r="I97">
        <v>12081</v>
      </c>
      <c r="J97" s="9">
        <f t="shared" si="487"/>
        <v>125</v>
      </c>
      <c r="K97" s="8">
        <f t="shared" si="488"/>
        <v>1.0455001672800224E-2</v>
      </c>
      <c r="L97" s="8">
        <f t="shared" si="489"/>
        <v>1.6E-2</v>
      </c>
      <c r="U97">
        <v>1001</v>
      </c>
    </row>
    <row r="98" spans="1:23" x14ac:dyDescent="0.3">
      <c r="A98" s="1" cm="1">
        <f t="array" ref="A98">IF(OR(B98:L98=""), "", A97 + 1)</f>
        <v>44056</v>
      </c>
      <c r="B98" s="9">
        <f t="shared" si="482"/>
        <v>1010</v>
      </c>
      <c r="C98" s="14">
        <f t="shared" si="483"/>
        <v>1.7719298245614034E-2</v>
      </c>
      <c r="D98" s="8">
        <f t="shared" si="484"/>
        <v>8.9910089910090196E-3</v>
      </c>
      <c r="E98" s="18">
        <f t="shared" si="436"/>
        <v>-0.14017994276858151</v>
      </c>
      <c r="F98" s="9">
        <f t="shared" si="485"/>
        <v>9</v>
      </c>
      <c r="G98" s="9" t="b">
        <f>FALSE</f>
        <v>0</v>
      </c>
      <c r="H98" s="9">
        <f t="shared" si="486"/>
        <v>0</v>
      </c>
      <c r="I98">
        <v>12231</v>
      </c>
      <c r="J98" s="9">
        <f t="shared" si="487"/>
        <v>150</v>
      </c>
      <c r="K98" s="8">
        <f t="shared" si="488"/>
        <v>1.2416190712689401E-2</v>
      </c>
      <c r="L98" s="8">
        <f t="shared" si="489"/>
        <v>0.06</v>
      </c>
      <c r="U98">
        <v>1010</v>
      </c>
    </row>
    <row r="99" spans="1:23" x14ac:dyDescent="0.3">
      <c r="A99" s="1" cm="1">
        <f t="array" ref="A99">IF(OR(B99:L99=""), "", A98 + 1)</f>
        <v>44057</v>
      </c>
      <c r="B99" s="9">
        <f t="shared" si="482"/>
        <v>1019</v>
      </c>
      <c r="C99" s="14">
        <f t="shared" si="483"/>
        <v>1.7877192982456141E-2</v>
      </c>
      <c r="D99" s="8">
        <f t="shared" si="484"/>
        <v>8.9108910891089188E-3</v>
      </c>
      <c r="E99" s="18">
        <f t="shared" si="436"/>
        <v>-0.18533336931908312</v>
      </c>
      <c r="F99" s="9">
        <f t="shared" si="485"/>
        <v>9</v>
      </c>
      <c r="G99" s="9" t="b">
        <f>FALSE</f>
        <v>0</v>
      </c>
      <c r="H99" s="9">
        <f t="shared" si="486"/>
        <v>0</v>
      </c>
      <c r="I99">
        <v>12398</v>
      </c>
      <c r="J99" s="9">
        <f t="shared" si="487"/>
        <v>167</v>
      </c>
      <c r="K99" s="8">
        <f t="shared" si="488"/>
        <v>1.3653830430872427E-2</v>
      </c>
      <c r="L99" s="8">
        <f t="shared" si="489"/>
        <v>5.3892215568862277E-2</v>
      </c>
      <c r="U99">
        <v>1019</v>
      </c>
    </row>
    <row r="100" spans="1:23" x14ac:dyDescent="0.3">
      <c r="A100" s="1" cm="1">
        <f t="array" ref="A100">IF(OR(B100:L100=""), "", A99 + 1)</f>
        <v>44058</v>
      </c>
      <c r="B100" s="9">
        <f t="shared" si="482"/>
        <v>1028</v>
      </c>
      <c r="C100" s="14">
        <f t="shared" si="483"/>
        <v>1.8035087719298244E-2</v>
      </c>
      <c r="D100" s="8">
        <f t="shared" si="484"/>
        <v>8.8321884200195377E-3</v>
      </c>
      <c r="E100" s="18">
        <f t="shared" si="436"/>
        <v>-0.27444726292070348</v>
      </c>
      <c r="F100" s="9">
        <f t="shared" si="485"/>
        <v>9</v>
      </c>
      <c r="G100" s="9" t="b">
        <f>FALSE</f>
        <v>0</v>
      </c>
      <c r="H100" s="9">
        <f t="shared" si="486"/>
        <v>0</v>
      </c>
      <c r="I100">
        <v>12604</v>
      </c>
      <c r="J100" s="9">
        <f t="shared" si="487"/>
        <v>206</v>
      </c>
      <c r="K100" s="8">
        <f t="shared" si="488"/>
        <v>1.6615583158573921E-2</v>
      </c>
      <c r="L100" s="8">
        <f t="shared" si="489"/>
        <v>4.3689320388349516E-2</v>
      </c>
      <c r="U100">
        <v>1028</v>
      </c>
    </row>
    <row r="101" spans="1:23" x14ac:dyDescent="0.3">
      <c r="A101" s="1" cm="1">
        <f t="array" ref="A101">IF(OR(B101:L101=""), "", A100 + 1)</f>
        <v>44059</v>
      </c>
      <c r="B101" s="9">
        <f t="shared" si="482"/>
        <v>1034</v>
      </c>
      <c r="C101" s="14">
        <f t="shared" si="483"/>
        <v>1.8140350877192981E-2</v>
      </c>
      <c r="D101" s="8">
        <f t="shared" si="484"/>
        <v>5.8365758754863606E-3</v>
      </c>
      <c r="E101" s="18">
        <f t="shared" si="436"/>
        <v>-0.21611884009009946</v>
      </c>
      <c r="F101" s="9">
        <f t="shared" si="485"/>
        <v>6</v>
      </c>
      <c r="G101" s="9" t="b">
        <f>FALSE</f>
        <v>0</v>
      </c>
      <c r="H101" s="9">
        <f t="shared" si="486"/>
        <v>0</v>
      </c>
      <c r="I101">
        <v>12725</v>
      </c>
      <c r="J101" s="9">
        <f t="shared" si="487"/>
        <v>121</v>
      </c>
      <c r="K101" s="8">
        <f t="shared" si="488"/>
        <v>9.6001269438272807E-3</v>
      </c>
      <c r="L101" s="8">
        <f t="shared" si="489"/>
        <v>4.9586776859504134E-2</v>
      </c>
      <c r="U101">
        <v>1034</v>
      </c>
    </row>
    <row r="102" spans="1:23" x14ac:dyDescent="0.3">
      <c r="A102" s="1" cm="1">
        <f t="array" ref="A102">IF(OR(B102:L102=""), "", A101 + 1)</f>
        <v>44060</v>
      </c>
      <c r="B102" s="9">
        <f t="shared" si="482"/>
        <v>1037</v>
      </c>
      <c r="C102" s="14">
        <f t="shared" si="483"/>
        <v>1.8192982456140351E-2</v>
      </c>
      <c r="D102" s="8">
        <f t="shared" si="484"/>
        <v>2.9013539651836506E-3</v>
      </c>
      <c r="E102" s="18">
        <f t="shared" si="436"/>
        <v>-0.65545796417706315</v>
      </c>
      <c r="F102" s="9">
        <f t="shared" si="485"/>
        <v>3</v>
      </c>
      <c r="G102" s="9" t="b">
        <f>FALSE</f>
        <v>0</v>
      </c>
      <c r="H102" s="9">
        <f t="shared" si="486"/>
        <v>0</v>
      </c>
      <c r="I102">
        <v>12892</v>
      </c>
      <c r="J102" s="9">
        <f t="shared" si="487"/>
        <v>167</v>
      </c>
      <c r="K102" s="8">
        <f t="shared" si="488"/>
        <v>1.3123772102161091E-2</v>
      </c>
      <c r="L102" s="8">
        <f t="shared" si="489"/>
        <v>1.7964071856287425E-2</v>
      </c>
      <c r="U102">
        <v>1037</v>
      </c>
    </row>
    <row r="103" spans="1:23" x14ac:dyDescent="0.3">
      <c r="A103" s="1" cm="1">
        <f t="array" ref="A103">IF(OR(B103:L103=""), "", A102 + 1)</f>
        <v>44061</v>
      </c>
      <c r="B103" s="6">
        <f t="shared" si="482"/>
        <v>1049.4255571501963</v>
      </c>
      <c r="C103" s="13">
        <f t="shared" si="483"/>
        <v>1.8410974686845549E-2</v>
      </c>
      <c r="D103" s="7">
        <f t="shared" si="484"/>
        <v>1.1982215188231615E-2</v>
      </c>
      <c r="E103" s="17">
        <f t="shared" si="436"/>
        <v>2.8424668982479414E-2</v>
      </c>
      <c r="F103" s="6">
        <f t="shared" si="485"/>
        <v>12.425557150196255</v>
      </c>
      <c r="G103" s="9" t="b">
        <f>FALSE</f>
        <v>0</v>
      </c>
      <c r="H103" s="9">
        <f t="shared" si="486"/>
        <v>0</v>
      </c>
      <c r="I103" s="6">
        <f>SQRT(I102 * I104)</f>
        <v>13036.688076348226</v>
      </c>
      <c r="J103" s="6">
        <f t="shared" si="487"/>
        <v>144.68807634822588</v>
      </c>
      <c r="K103" s="7">
        <f t="shared" si="488"/>
        <v>1.1223090005292091E-2</v>
      </c>
      <c r="L103" s="7">
        <f t="shared" si="489"/>
        <v>8.5878238648299049E-2</v>
      </c>
      <c r="U103" s="6">
        <f>SQRT(U102 * U104)</f>
        <v>1049.4255571501963</v>
      </c>
      <c r="V103" t="s">
        <v>20</v>
      </c>
    </row>
    <row r="104" spans="1:23" x14ac:dyDescent="0.3">
      <c r="A104" s="1" cm="1">
        <f t="array" ref="A104">IF(OR(B104:L104=""), "", A103 + 1)</f>
        <v>44062</v>
      </c>
      <c r="B104" s="9">
        <f t="shared" si="482"/>
        <v>1062</v>
      </c>
      <c r="C104" s="14">
        <f t="shared" si="483"/>
        <v>1.8631578947368423E-2</v>
      </c>
      <c r="D104" s="7">
        <f t="shared" si="484"/>
        <v>1.1982215188231837E-2</v>
      </c>
      <c r="E104" s="17">
        <f t="shared" si="436"/>
        <v>2.8424668982487453E-2</v>
      </c>
      <c r="F104" s="6">
        <f t="shared" si="485"/>
        <v>12.574442849803745</v>
      </c>
      <c r="G104" s="9" t="b">
        <f>FALSE</f>
        <v>0</v>
      </c>
      <c r="H104" s="9">
        <f t="shared" si="486"/>
        <v>0</v>
      </c>
      <c r="I104">
        <v>13183</v>
      </c>
      <c r="J104" s="6">
        <f t="shared" si="487"/>
        <v>146.31192365177412</v>
      </c>
      <c r="K104" s="7">
        <f t="shared" si="488"/>
        <v>1.1223090005292091E-2</v>
      </c>
      <c r="L104" s="7">
        <f t="shared" si="489"/>
        <v>8.5942707442841229E-2</v>
      </c>
      <c r="U104">
        <v>1062</v>
      </c>
    </row>
    <row r="105" spans="1:23" x14ac:dyDescent="0.3">
      <c r="A105" s="1" cm="1">
        <f t="array" ref="A105">IF(OR(B105:L105=""), "", A104 + 1)</f>
        <v>44063</v>
      </c>
      <c r="B105" s="9">
        <f t="shared" si="482"/>
        <v>1072</v>
      </c>
      <c r="C105" s="14">
        <f t="shared" si="483"/>
        <v>1.8807017543859651E-2</v>
      </c>
      <c r="D105" s="8">
        <f t="shared" si="484"/>
        <v>9.4161958568739212E-3</v>
      </c>
      <c r="E105" s="18">
        <f t="shared" si="436"/>
        <v>-0.14665951294998103</v>
      </c>
      <c r="F105" s="9">
        <f t="shared" si="485"/>
        <v>10</v>
      </c>
      <c r="G105" s="9" t="b">
        <f>FALSE</f>
        <v>0</v>
      </c>
      <c r="H105" s="9">
        <f t="shared" si="486"/>
        <v>0</v>
      </c>
      <c r="I105">
        <v>13357</v>
      </c>
      <c r="J105" s="9">
        <f t="shared" si="487"/>
        <v>174</v>
      </c>
      <c r="K105" s="8">
        <f t="shared" si="488"/>
        <v>1.319881665781697E-2</v>
      </c>
      <c r="L105" s="8">
        <f t="shared" si="489"/>
        <v>5.7471264367816091E-2</v>
      </c>
      <c r="U105">
        <v>1072</v>
      </c>
    </row>
    <row r="106" spans="1:23" x14ac:dyDescent="0.3">
      <c r="A106" s="1" cm="1">
        <f t="array" ref="A106">IF(OR(B106:L106=""), "", A105 + 1)</f>
        <v>44064</v>
      </c>
      <c r="B106" s="9">
        <f t="shared" si="482"/>
        <v>1081</v>
      </c>
      <c r="C106" s="14">
        <f t="shared" si="483"/>
        <v>1.8964912280701754E-2</v>
      </c>
      <c r="D106" s="8">
        <f t="shared" si="484"/>
        <v>8.3955223880596286E-3</v>
      </c>
      <c r="E106" s="18">
        <f t="shared" si="436"/>
        <v>-0.22899695089760458</v>
      </c>
      <c r="F106" s="9">
        <f t="shared" si="485"/>
        <v>9</v>
      </c>
      <c r="G106" s="9" t="b">
        <f>FALSE</f>
        <v>0</v>
      </c>
      <c r="H106" s="9">
        <f t="shared" si="486"/>
        <v>0</v>
      </c>
      <c r="I106">
        <v>13547</v>
      </c>
      <c r="J106" s="9">
        <f t="shared" si="487"/>
        <v>190</v>
      </c>
      <c r="K106" s="8">
        <f t="shared" si="488"/>
        <v>1.4224751066856278E-2</v>
      </c>
      <c r="L106" s="8">
        <f t="shared" si="489"/>
        <v>4.736842105263158E-2</v>
      </c>
      <c r="U106">
        <v>1081</v>
      </c>
    </row>
    <row r="107" spans="1:23" x14ac:dyDescent="0.3">
      <c r="A107" s="1" cm="1">
        <f t="array" ref="A107">IF(OR(B107:L107=""), "", A106 + 1)</f>
        <v>44065</v>
      </c>
      <c r="B107" s="9">
        <f t="shared" si="482"/>
        <v>1088</v>
      </c>
      <c r="C107" s="14">
        <f t="shared" si="483"/>
        <v>1.9087719298245615E-2</v>
      </c>
      <c r="D107" s="8">
        <f t="shared" si="484"/>
        <v>6.4754856614246403E-3</v>
      </c>
      <c r="E107" s="18">
        <f t="shared" si="436"/>
        <v>-0.36008058055484876</v>
      </c>
      <c r="F107" s="9">
        <f t="shared" si="485"/>
        <v>7</v>
      </c>
      <c r="G107" s="9" t="b">
        <f>FALSE</f>
        <v>0</v>
      </c>
      <c r="H107" s="9">
        <f t="shared" si="486"/>
        <v>0</v>
      </c>
      <c r="I107">
        <v>13748</v>
      </c>
      <c r="J107" s="9">
        <f t="shared" si="487"/>
        <v>201</v>
      </c>
      <c r="K107" s="8">
        <f t="shared" si="488"/>
        <v>1.4837233335794009E-2</v>
      </c>
      <c r="L107" s="8">
        <f t="shared" si="489"/>
        <v>3.482587064676617E-2</v>
      </c>
      <c r="U107">
        <v>1088</v>
      </c>
    </row>
    <row r="108" spans="1:23" x14ac:dyDescent="0.3">
      <c r="A108" s="1" cm="1">
        <f t="array" ref="A108">IF(OR(B108:L108=""), "", A107 + 1)</f>
        <v>44066</v>
      </c>
      <c r="B108" s="9">
        <f t="shared" si="482"/>
        <v>1091</v>
      </c>
      <c r="C108" s="14">
        <f t="shared" si="483"/>
        <v>1.9140350877192982E-2</v>
      </c>
      <c r="D108" s="8">
        <f t="shared" si="484"/>
        <v>2.7573529411764053E-3</v>
      </c>
      <c r="E108" s="18">
        <f t="shared" si="436"/>
        <v>-0.58263611941229965</v>
      </c>
      <c r="F108" s="9">
        <f t="shared" si="485"/>
        <v>3</v>
      </c>
      <c r="G108" s="9" t="b">
        <f>FALSE</f>
        <v>0</v>
      </c>
      <c r="H108" s="9">
        <f t="shared" si="486"/>
        <v>0</v>
      </c>
      <c r="I108">
        <v>13893</v>
      </c>
      <c r="J108" s="9">
        <f t="shared" si="487"/>
        <v>145</v>
      </c>
      <c r="K108" s="8">
        <f t="shared" si="488"/>
        <v>1.0546988652895051E-2</v>
      </c>
      <c r="L108" s="8">
        <f t="shared" si="489"/>
        <v>2.0689655172413793E-2</v>
      </c>
      <c r="U108">
        <v>1091</v>
      </c>
    </row>
    <row r="109" spans="1:23" x14ac:dyDescent="0.3">
      <c r="A109" s="1" cm="1">
        <f t="array" ref="A109">IF(OR(B109:L109=""), "", A108 + 1)</f>
        <v>44067</v>
      </c>
      <c r="B109" s="9">
        <f t="shared" si="482"/>
        <v>1098</v>
      </c>
      <c r="C109" s="14">
        <f t="shared" si="483"/>
        <v>1.9263157894736843E-2</v>
      </c>
      <c r="D109" s="8">
        <f t="shared" si="484"/>
        <v>6.4161319890008173E-3</v>
      </c>
      <c r="E109" s="18">
        <f t="shared" si="436"/>
        <v>-0.19914978751591991</v>
      </c>
      <c r="F109" s="9">
        <f t="shared" si="485"/>
        <v>7</v>
      </c>
      <c r="G109" s="9" t="b">
        <f>FALSE</f>
        <v>0</v>
      </c>
      <c r="H109" s="9">
        <f t="shared" si="486"/>
        <v>0</v>
      </c>
      <c r="I109">
        <v>14034</v>
      </c>
      <c r="J109" s="9">
        <f t="shared" si="487"/>
        <v>141</v>
      </c>
      <c r="K109" s="8">
        <f t="shared" si="488"/>
        <v>1.0148995897214519E-2</v>
      </c>
      <c r="L109" s="8">
        <f t="shared" si="489"/>
        <v>4.9645390070921988E-2</v>
      </c>
      <c r="U109">
        <v>1098</v>
      </c>
    </row>
    <row r="110" spans="1:23" x14ac:dyDescent="0.3">
      <c r="A110" s="1" cm="1">
        <f t="array" ref="A110">IF(OR(B110:L110=""), "", A109 + 1)</f>
        <v>44068</v>
      </c>
      <c r="B110" s="9">
        <f t="shared" si="482"/>
        <v>1104</v>
      </c>
      <c r="C110" s="14">
        <f t="shared" si="483"/>
        <v>1.936842105263158E-2</v>
      </c>
      <c r="D110" s="8">
        <f t="shared" si="484"/>
        <v>5.464480874316946E-3</v>
      </c>
      <c r="E110" s="18">
        <f t="shared" si="436"/>
        <v>-0.17972760676455149</v>
      </c>
      <c r="F110" s="9">
        <f t="shared" si="485"/>
        <v>6</v>
      </c>
      <c r="G110" s="9" t="b">
        <f>FALSE</f>
        <v>0</v>
      </c>
      <c r="H110" s="9">
        <f t="shared" si="486"/>
        <v>0</v>
      </c>
      <c r="I110">
        <v>14150</v>
      </c>
      <c r="J110" s="9">
        <f t="shared" si="487"/>
        <v>116</v>
      </c>
      <c r="K110" s="8">
        <f t="shared" si="488"/>
        <v>8.2656405871455174E-3</v>
      </c>
      <c r="L110" s="8">
        <f t="shared" si="489"/>
        <v>5.1724137931034482E-2</v>
      </c>
      <c r="U110">
        <v>1104</v>
      </c>
    </row>
    <row r="111" spans="1:23" x14ac:dyDescent="0.3">
      <c r="A111" s="1" cm="1">
        <f t="array" ref="A111">IF(OR(B111:L111=""), "", A110 + 1)</f>
        <v>44069</v>
      </c>
      <c r="B111" s="9">
        <f t="shared" si="482"/>
        <v>1117</v>
      </c>
      <c r="C111" s="14">
        <f t="shared" si="483"/>
        <v>1.9596491228070174E-2</v>
      </c>
      <c r="D111" s="8">
        <f t="shared" si="484"/>
        <v>1.1775362318840576E-2</v>
      </c>
      <c r="E111" s="18">
        <f t="shared" si="436"/>
        <v>3.988713082919574E-2</v>
      </c>
      <c r="F111" s="9">
        <f t="shared" si="485"/>
        <v>13</v>
      </c>
      <c r="G111" s="9" t="b">
        <f>FALSE</f>
        <v>0</v>
      </c>
      <c r="H111" s="9">
        <f t="shared" si="486"/>
        <v>0</v>
      </c>
      <c r="I111" s="19">
        <v>14302</v>
      </c>
      <c r="J111" s="9">
        <f t="shared" si="487"/>
        <v>152</v>
      </c>
      <c r="K111" s="8">
        <f t="shared" si="488"/>
        <v>1.0742049469964599E-2</v>
      </c>
      <c r="L111" s="8">
        <f t="shared" si="489"/>
        <v>8.5526315789473686E-2</v>
      </c>
      <c r="U111" s="19">
        <v>1117</v>
      </c>
      <c r="V111" s="19"/>
      <c r="W111" s="19"/>
    </row>
    <row r="112" spans="1:23" x14ac:dyDescent="0.3">
      <c r="A112" s="1" cm="1">
        <f t="array" ref="A112">IF(OR(B112:L112=""), "", A111 + 1)</f>
        <v>44070</v>
      </c>
      <c r="B112" s="9">
        <f t="shared" si="482"/>
        <v>1136</v>
      </c>
      <c r="C112" s="14">
        <f t="shared" si="483"/>
        <v>1.9929824561403509E-2</v>
      </c>
      <c r="D112" s="8">
        <f t="shared" si="484"/>
        <v>1.7009847806624956E-2</v>
      </c>
      <c r="E112" s="18">
        <f t="shared" si="436"/>
        <v>0.20140577072447391</v>
      </c>
      <c r="F112" s="9">
        <f t="shared" si="485"/>
        <v>19</v>
      </c>
      <c r="G112" s="9" t="b">
        <f>FALSE</f>
        <v>0</v>
      </c>
      <c r="H112" s="9">
        <f t="shared" si="486"/>
        <v>0</v>
      </c>
      <c r="I112">
        <v>14455</v>
      </c>
      <c r="J112" s="9">
        <f t="shared" si="487"/>
        <v>153</v>
      </c>
      <c r="K112" s="8">
        <f t="shared" si="488"/>
        <v>1.0697804502866726E-2</v>
      </c>
      <c r="L112" s="8">
        <f t="shared" si="489"/>
        <v>0.12418300653594772</v>
      </c>
      <c r="U112">
        <v>1136</v>
      </c>
    </row>
    <row r="113" spans="1:23" x14ac:dyDescent="0.3">
      <c r="A113" s="1" cm="1">
        <f t="array" ref="A113">IF(OR(B113:L113=""), "", A112 + 1)</f>
        <v>44071</v>
      </c>
      <c r="B113" s="9">
        <f t="shared" si="482"/>
        <v>1144</v>
      </c>
      <c r="C113" s="14">
        <f t="shared" si="483"/>
        <v>2.0070175438596492E-2</v>
      </c>
      <c r="D113" s="8">
        <f t="shared" si="484"/>
        <v>7.0422535211267512E-3</v>
      </c>
      <c r="E113" s="18">
        <f t="shared" si="436"/>
        <v>-0.10954154403213974</v>
      </c>
      <c r="F113" s="9">
        <f t="shared" si="485"/>
        <v>8</v>
      </c>
      <c r="G113" s="9" t="b">
        <f>FALSE</f>
        <v>0</v>
      </c>
      <c r="H113" s="9">
        <f t="shared" si="486"/>
        <v>0</v>
      </c>
      <c r="I113">
        <v>14586</v>
      </c>
      <c r="J113" s="9">
        <f t="shared" si="487"/>
        <v>131</v>
      </c>
      <c r="K113" s="8">
        <f t="shared" si="488"/>
        <v>9.0626080940849896E-3</v>
      </c>
      <c r="L113" s="8">
        <f t="shared" si="489"/>
        <v>6.1068702290076333E-2</v>
      </c>
      <c r="U113">
        <v>1144</v>
      </c>
    </row>
    <row r="114" spans="1:23" x14ac:dyDescent="0.3">
      <c r="A114" s="1" cm="1">
        <f t="array" ref="A114">IF(OR(B114:L114=""), "", A113 + 1)</f>
        <v>44072</v>
      </c>
      <c r="B114" s="9">
        <f t="shared" si="482"/>
        <v>1145</v>
      </c>
      <c r="C114" s="14">
        <f t="shared" si="483"/>
        <v>2.0087719298245613E-2</v>
      </c>
      <c r="D114" s="8">
        <f t="shared" si="484"/>
        <v>8.7412587412583065E-4</v>
      </c>
      <c r="E114" s="18">
        <f t="shared" si="436"/>
        <v>-0.88571589092253833</v>
      </c>
      <c r="F114" s="9">
        <f t="shared" si="485"/>
        <v>1</v>
      </c>
      <c r="G114" s="9" t="b">
        <f>FALSE</f>
        <v>0</v>
      </c>
      <c r="H114" s="9">
        <f t="shared" si="486"/>
        <v>0</v>
      </c>
      <c r="I114">
        <v>14684</v>
      </c>
      <c r="J114" s="9">
        <f t="shared" si="487"/>
        <v>98</v>
      </c>
      <c r="K114" s="8">
        <f t="shared" si="488"/>
        <v>6.7187714246537134E-3</v>
      </c>
      <c r="L114" s="8">
        <f t="shared" si="489"/>
        <v>1.020408163265306E-2</v>
      </c>
      <c r="U114">
        <v>1145</v>
      </c>
    </row>
    <row r="115" spans="1:23" x14ac:dyDescent="0.3">
      <c r="A115" s="1" cm="1">
        <f t="array" ref="A115">IF(OR(B115:L115=""), "", A114 + 1)</f>
        <v>44073</v>
      </c>
      <c r="B115" s="9">
        <f t="shared" si="482"/>
        <v>1151</v>
      </c>
      <c r="C115" s="14">
        <f t="shared" si="483"/>
        <v>2.0192982456140349E-2</v>
      </c>
      <c r="D115" s="8">
        <f t="shared" si="484"/>
        <v>5.2401746724890508E-3</v>
      </c>
      <c r="E115" s="18">
        <f t="shared" si="436"/>
        <v>-0.32063573649216581</v>
      </c>
      <c r="F115" s="9">
        <f t="shared" si="485"/>
        <v>6</v>
      </c>
      <c r="G115" s="9" t="b">
        <f>FALSE</f>
        <v>0</v>
      </c>
      <c r="H115" s="9">
        <f t="shared" si="486"/>
        <v>0</v>
      </c>
      <c r="I115">
        <v>14845</v>
      </c>
      <c r="J115" s="9">
        <f t="shared" si="487"/>
        <v>161</v>
      </c>
      <c r="K115" s="8">
        <f t="shared" si="488"/>
        <v>1.0964314900572036E-2</v>
      </c>
      <c r="L115" s="8">
        <f t="shared" si="489"/>
        <v>3.7267080745341616E-2</v>
      </c>
      <c r="U115">
        <v>1151</v>
      </c>
    </row>
    <row r="116" spans="1:23" x14ac:dyDescent="0.3">
      <c r="A116" s="1" cm="1">
        <f t="array" ref="A116">IF(OR(B116:L116=""), "", A115 + 1)</f>
        <v>44074</v>
      </c>
      <c r="B116" s="9">
        <f t="shared" si="482"/>
        <v>1152</v>
      </c>
      <c r="C116" s="14">
        <f t="shared" si="483"/>
        <v>2.0210526315789474E-2</v>
      </c>
      <c r="D116" s="8">
        <f t="shared" si="484"/>
        <v>8.6880973066905121E-4</v>
      </c>
      <c r="E116" s="18">
        <f t="shared" si="436"/>
        <v>-0.87626685596393306</v>
      </c>
      <c r="F116" s="9">
        <f t="shared" si="485"/>
        <v>1</v>
      </c>
      <c r="G116" s="9" t="b">
        <f>FALSE</f>
        <v>0</v>
      </c>
      <c r="H116" s="9">
        <f t="shared" si="486"/>
        <v>0</v>
      </c>
      <c r="I116">
        <v>14942</v>
      </c>
      <c r="J116" s="9">
        <f t="shared" si="487"/>
        <v>97</v>
      </c>
      <c r="K116" s="8">
        <f t="shared" si="488"/>
        <v>6.534186594812974E-3</v>
      </c>
      <c r="L116" s="8">
        <f t="shared" si="489"/>
        <v>1.0309278350515464E-2</v>
      </c>
      <c r="U116">
        <v>1152</v>
      </c>
    </row>
    <row r="117" spans="1:23" x14ac:dyDescent="0.3">
      <c r="A117" s="1" cm="1">
        <f t="array" ref="A117">IF(OR(B117:L117=""), "", A116 + 1)</f>
        <v>44075</v>
      </c>
      <c r="B117" s="9">
        <f t="shared" si="482"/>
        <v>1158</v>
      </c>
      <c r="C117" s="14">
        <f t="shared" si="483"/>
        <v>2.0315789473684211E-2</v>
      </c>
      <c r="D117" s="8">
        <f t="shared" si="484"/>
        <v>5.2083333333332593E-3</v>
      </c>
      <c r="E117" s="18">
        <f t="shared" si="436"/>
        <v>-0.10452769122798988</v>
      </c>
      <c r="F117" s="9">
        <f t="shared" si="485"/>
        <v>6</v>
      </c>
      <c r="G117" s="9" t="b">
        <f>FALSE</f>
        <v>0</v>
      </c>
      <c r="H117" s="9">
        <f t="shared" si="486"/>
        <v>0</v>
      </c>
      <c r="I117">
        <v>15041</v>
      </c>
      <c r="J117" s="9">
        <f t="shared" si="487"/>
        <v>99</v>
      </c>
      <c r="K117" s="8">
        <f t="shared" si="488"/>
        <v>6.6256190603668497E-3</v>
      </c>
      <c r="L117" s="8">
        <f t="shared" si="489"/>
        <v>6.0606060606060608E-2</v>
      </c>
      <c r="U117">
        <v>1158</v>
      </c>
    </row>
    <row r="118" spans="1:23" x14ac:dyDescent="0.3">
      <c r="A118" s="1" cm="1">
        <f t="array" ref="A118">IF(OR(B118:L118=""), "", A117 + 1)</f>
        <v>44076</v>
      </c>
      <c r="B118" s="9">
        <f t="shared" si="482"/>
        <v>1169</v>
      </c>
      <c r="C118" s="14">
        <f t="shared" si="483"/>
        <v>2.0508771929824563E-2</v>
      </c>
      <c r="D118" s="8">
        <f t="shared" si="484"/>
        <v>9.4991364421417313E-3</v>
      </c>
      <c r="E118" s="18">
        <f t="shared" si="436"/>
        <v>7.9413875632872596E-2</v>
      </c>
      <c r="F118" s="9">
        <f t="shared" si="485"/>
        <v>11</v>
      </c>
      <c r="G118" s="9" t="b">
        <f>FALSE</f>
        <v>0</v>
      </c>
      <c r="H118" s="9">
        <f t="shared" si="486"/>
        <v>0</v>
      </c>
      <c r="I118">
        <v>15160</v>
      </c>
      <c r="J118" s="9">
        <f t="shared" si="487"/>
        <v>119</v>
      </c>
      <c r="K118" s="8">
        <f t="shared" si="488"/>
        <v>7.9117079981383398E-3</v>
      </c>
      <c r="L118" s="8">
        <f t="shared" si="489"/>
        <v>9.2436974789915971E-2</v>
      </c>
      <c r="U118">
        <v>1169</v>
      </c>
    </row>
    <row r="119" spans="1:23" x14ac:dyDescent="0.3">
      <c r="A119" s="1" cm="1">
        <f t="array" ref="A119">IF(OR(B119:L119=""), "", A118 + 1)</f>
        <v>44077</v>
      </c>
      <c r="B119" s="6">
        <f t="shared" si="482"/>
        <v>1171.9961604032669</v>
      </c>
      <c r="C119" s="13">
        <f t="shared" si="483"/>
        <v>2.0561336147425734E-2</v>
      </c>
      <c r="D119" s="7">
        <f t="shared" si="484"/>
        <v>2.5630114655832426E-3</v>
      </c>
      <c r="E119" s="17">
        <f t="shared" si="436"/>
        <v>-0.36959164202833078</v>
      </c>
      <c r="F119" s="6">
        <f t="shared" si="485"/>
        <v>2.9961604032669129</v>
      </c>
      <c r="G119" s="9" t="b">
        <f>FALSE</f>
        <v>0</v>
      </c>
      <c r="H119" s="9">
        <f t="shared" si="486"/>
        <v>0</v>
      </c>
      <c r="I119">
        <v>15251</v>
      </c>
      <c r="J119" s="9">
        <f t="shared" si="487"/>
        <v>91</v>
      </c>
      <c r="K119" s="8">
        <f t="shared" si="488"/>
        <v>6.0026385224274392E-3</v>
      </c>
      <c r="L119" s="7">
        <f t="shared" si="489"/>
        <v>3.2924839596339704E-2</v>
      </c>
      <c r="U119" s="6">
        <f>SQRT(U118 * U120)</f>
        <v>1171.9961604032669</v>
      </c>
      <c r="V119">
        <v>1166</v>
      </c>
      <c r="W119" t="s">
        <v>17</v>
      </c>
    </row>
    <row r="120" spans="1:23" x14ac:dyDescent="0.3">
      <c r="A120" s="1" cm="1">
        <f t="array" ref="A120">IF(OR(B120:L120=""), "", A119 + 1)</f>
        <v>44078</v>
      </c>
      <c r="B120" s="9">
        <f t="shared" si="482"/>
        <v>1175</v>
      </c>
      <c r="C120" s="14">
        <f t="shared" si="483"/>
        <v>2.06140350877193E-2</v>
      </c>
      <c r="D120" s="7">
        <f t="shared" si="484"/>
        <v>2.5630114655832426E-3</v>
      </c>
      <c r="E120" s="17">
        <f t="shared" si="436"/>
        <v>-0.90210572394590216</v>
      </c>
      <c r="F120" s="6">
        <f t="shared" si="485"/>
        <v>3.0038395967330871</v>
      </c>
      <c r="G120" s="9" t="b">
        <f>FALSE</f>
        <v>0</v>
      </c>
      <c r="H120" s="9">
        <f t="shared" si="486"/>
        <v>0</v>
      </c>
      <c r="I120">
        <v>15563</v>
      </c>
      <c r="J120" s="9">
        <f t="shared" si="487"/>
        <v>312</v>
      </c>
      <c r="K120" s="8">
        <f t="shared" si="488"/>
        <v>2.0457674906563472E-2</v>
      </c>
      <c r="L120" s="7">
        <f t="shared" si="489"/>
        <v>9.6276910151701506E-3</v>
      </c>
      <c r="U120">
        <v>1175</v>
      </c>
    </row>
    <row r="121" spans="1:23" x14ac:dyDescent="0.3">
      <c r="A121" s="1" cm="1">
        <f t="array" ref="A121">IF(OR(B121:L121=""), "", A120 + 1)</f>
        <v>44079</v>
      </c>
      <c r="B121" s="9">
        <f t="shared" si="482"/>
        <v>1200</v>
      </c>
      <c r="C121" s="14">
        <f t="shared" si="483"/>
        <v>2.1052631578947368E-2</v>
      </c>
      <c r="D121" s="8">
        <f t="shared" si="484"/>
        <v>2.1276595744680771E-2</v>
      </c>
      <c r="E121" s="18">
        <f t="shared" si="436"/>
        <v>0.16396960232319019</v>
      </c>
      <c r="F121" s="9">
        <f t="shared" si="485"/>
        <v>25</v>
      </c>
      <c r="G121" s="9" t="b">
        <f>FALSE</f>
        <v>0</v>
      </c>
      <c r="H121" s="9">
        <f t="shared" si="486"/>
        <v>0</v>
      </c>
      <c r="I121">
        <v>15790</v>
      </c>
      <c r="J121" s="9">
        <f t="shared" si="487"/>
        <v>227</v>
      </c>
      <c r="K121" s="8">
        <f t="shared" si="488"/>
        <v>1.458587675897971E-2</v>
      </c>
      <c r="L121" s="8">
        <f t="shared" si="489"/>
        <v>0.11013215859030837</v>
      </c>
      <c r="U121">
        <v>1200</v>
      </c>
    </row>
    <row r="122" spans="1:23" x14ac:dyDescent="0.3">
      <c r="A122" s="1" cm="1">
        <f t="array" ref="A122">IF(OR(B122:L122=""), "", A121 + 1)</f>
        <v>44080</v>
      </c>
      <c r="B122" s="9">
        <f t="shared" si="482"/>
        <v>1203</v>
      </c>
      <c r="C122" s="14">
        <f t="shared" si="483"/>
        <v>2.1105263157894738E-2</v>
      </c>
      <c r="D122" s="8">
        <f t="shared" si="484"/>
        <v>2.4999999999999467E-3</v>
      </c>
      <c r="E122" s="18">
        <f t="shared" si="436"/>
        <v>-0.51088783096754675</v>
      </c>
      <c r="F122" s="9">
        <f t="shared" si="485"/>
        <v>3</v>
      </c>
      <c r="G122" s="9" t="b">
        <f>FALSE</f>
        <v>0</v>
      </c>
      <c r="H122" s="9">
        <f t="shared" si="486"/>
        <v>0</v>
      </c>
      <c r="I122">
        <v>15918</v>
      </c>
      <c r="J122" s="9">
        <f t="shared" si="487"/>
        <v>128</v>
      </c>
      <c r="K122" s="8">
        <f t="shared" si="488"/>
        <v>8.1063964534515698E-3</v>
      </c>
      <c r="L122" s="8">
        <f t="shared" si="489"/>
        <v>2.34375E-2</v>
      </c>
      <c r="U122">
        <v>1203</v>
      </c>
    </row>
    <row r="123" spans="1:23" x14ac:dyDescent="0.3">
      <c r="A123" s="1" cm="1">
        <f t="array" ref="A123">IF(OR(B123:L123=""), "", A122 + 1)</f>
        <v>44081</v>
      </c>
      <c r="B123" s="9">
        <f t="shared" si="482"/>
        <v>1209</v>
      </c>
      <c r="C123" s="14">
        <f t="shared" si="483"/>
        <v>2.1210526315789475E-2</v>
      </c>
      <c r="D123" s="8">
        <f t="shared" si="484"/>
        <v>4.9875311720697368E-3</v>
      </c>
      <c r="E123" s="18">
        <f t="shared" si="436"/>
        <v>-6.4013703935795044E-2</v>
      </c>
      <c r="F123" s="9">
        <f t="shared" si="485"/>
        <v>6</v>
      </c>
      <c r="G123" s="9" t="b">
        <f>FALSE</f>
        <v>0</v>
      </c>
      <c r="H123" s="9">
        <f t="shared" si="486"/>
        <v>0</v>
      </c>
      <c r="I123">
        <v>16010</v>
      </c>
      <c r="J123" s="9">
        <f t="shared" si="487"/>
        <v>92</v>
      </c>
      <c r="K123" s="8">
        <f t="shared" si="488"/>
        <v>5.7796205553461988E-3</v>
      </c>
      <c r="L123" s="8">
        <f t="shared" si="489"/>
        <v>6.5217391304347824E-2</v>
      </c>
      <c r="U123">
        <v>1209</v>
      </c>
    </row>
    <row r="124" spans="1:23" x14ac:dyDescent="0.3">
      <c r="A124" s="1" cm="1">
        <f t="array" ref="A124">IF(OR(B124:L124=""), "", A123 + 1)</f>
        <v>44082</v>
      </c>
      <c r="B124" s="9">
        <f t="shared" si="482"/>
        <v>1218</v>
      </c>
      <c r="C124" s="14">
        <f t="shared" si="483"/>
        <v>2.1368421052631578E-2</v>
      </c>
      <c r="D124" s="8">
        <f t="shared" si="484"/>
        <v>7.4441687344912744E-3</v>
      </c>
      <c r="E124" s="18">
        <f t="shared" si="436"/>
        <v>-8.814531528658763E-2</v>
      </c>
      <c r="F124" s="9">
        <f t="shared" si="485"/>
        <v>9</v>
      </c>
      <c r="G124" s="9" t="b">
        <f>FALSE</f>
        <v>0</v>
      </c>
      <c r="H124" s="9">
        <f t="shared" si="486"/>
        <v>0</v>
      </c>
      <c r="I124">
        <v>16156</v>
      </c>
      <c r="J124" s="9">
        <f t="shared" si="487"/>
        <v>146</v>
      </c>
      <c r="K124" s="8">
        <f t="shared" si="488"/>
        <v>9.1193004372267517E-3</v>
      </c>
      <c r="L124" s="8">
        <f t="shared" si="489"/>
        <v>6.1643835616438353E-2</v>
      </c>
      <c r="U124">
        <v>1218</v>
      </c>
    </row>
    <row r="125" spans="1:23" x14ac:dyDescent="0.3">
      <c r="A125" s="1" cm="1">
        <f t="array" ref="A125">IF(OR(B125:L125=""), "", A124 + 1)</f>
        <v>44083</v>
      </c>
      <c r="B125" s="9">
        <f t="shared" si="482"/>
        <v>1221</v>
      </c>
      <c r="C125" s="14">
        <f t="shared" si="483"/>
        <v>2.1421052631578948E-2</v>
      </c>
      <c r="D125" s="8">
        <f t="shared" si="484"/>
        <v>2.4630541871921707E-3</v>
      </c>
      <c r="E125" s="18">
        <f t="shared" si="436"/>
        <v>-0.49009730051863115</v>
      </c>
      <c r="F125" s="9">
        <f t="shared" si="485"/>
        <v>3</v>
      </c>
      <c r="G125" s="9" t="b">
        <f>FALSE</f>
        <v>0</v>
      </c>
      <c r="H125" s="9">
        <f t="shared" si="486"/>
        <v>0</v>
      </c>
      <c r="I125">
        <v>16279</v>
      </c>
      <c r="J125" s="9">
        <f t="shared" si="487"/>
        <v>123</v>
      </c>
      <c r="K125" s="8">
        <f t="shared" si="488"/>
        <v>7.6132706115374926E-3</v>
      </c>
      <c r="L125" s="8">
        <f t="shared" si="489"/>
        <v>2.4390243902439025E-2</v>
      </c>
      <c r="U125">
        <v>1221</v>
      </c>
    </row>
    <row r="126" spans="1:23" x14ac:dyDescent="0.3">
      <c r="A126" s="1" cm="1">
        <f t="array" ref="A126">IF(OR(B126:L126=""), "", A125 + 1)</f>
        <v>44084</v>
      </c>
      <c r="B126" s="9">
        <f t="shared" si="482"/>
        <v>1228</v>
      </c>
      <c r="C126" s="14">
        <f t="shared" si="483"/>
        <v>2.1543859649122806E-2</v>
      </c>
      <c r="D126" s="8">
        <f t="shared" si="484"/>
        <v>5.7330057330058359E-3</v>
      </c>
      <c r="E126" s="18">
        <f t="shared" si="436"/>
        <v>1.0968706916907203E-2</v>
      </c>
      <c r="F126" s="9">
        <f t="shared" si="485"/>
        <v>7</v>
      </c>
      <c r="G126" s="9" t="b">
        <f>FALSE</f>
        <v>0</v>
      </c>
      <c r="H126" s="9">
        <f t="shared" si="486"/>
        <v>0</v>
      </c>
      <c r="I126">
        <v>16370</v>
      </c>
      <c r="J126" s="9">
        <f t="shared" si="487"/>
        <v>91</v>
      </c>
      <c r="K126" s="8">
        <f t="shared" si="488"/>
        <v>5.5900239572455046E-3</v>
      </c>
      <c r="L126" s="8">
        <f t="shared" si="489"/>
        <v>7.6923076923076927E-2</v>
      </c>
      <c r="U126">
        <v>1228</v>
      </c>
    </row>
    <row r="127" spans="1:23" x14ac:dyDescent="0.3">
      <c r="A127" s="1" cm="1">
        <f t="array" ref="A127">IF(OR(B127:L127=""), "", A126 + 1)</f>
        <v>44085</v>
      </c>
      <c r="B127" s="9">
        <f t="shared" si="482"/>
        <v>1236</v>
      </c>
      <c r="C127" s="14">
        <f t="shared" si="483"/>
        <v>2.1684210526315788E-2</v>
      </c>
      <c r="D127" s="8">
        <f t="shared" si="484"/>
        <v>6.514657980456029E-3</v>
      </c>
      <c r="E127" s="18">
        <f t="shared" si="436"/>
        <v>-0.15675113121886305</v>
      </c>
      <c r="F127" s="9">
        <f t="shared" si="485"/>
        <v>8</v>
      </c>
      <c r="G127" s="9" t="b">
        <f>FALSE</f>
        <v>0</v>
      </c>
      <c r="H127" s="9">
        <f t="shared" si="486"/>
        <v>0</v>
      </c>
      <c r="I127">
        <v>16523</v>
      </c>
      <c r="J127" s="9">
        <f t="shared" si="487"/>
        <v>153</v>
      </c>
      <c r="K127" s="8">
        <f t="shared" si="488"/>
        <v>9.34636530238242E-3</v>
      </c>
      <c r="L127" s="8">
        <f t="shared" si="489"/>
        <v>5.2287581699346407E-2</v>
      </c>
      <c r="U127">
        <v>1236</v>
      </c>
    </row>
    <row r="128" spans="1:23" x14ac:dyDescent="0.3">
      <c r="A128" s="1" cm="1">
        <f t="array" ref="A128">IF(OR(B128:L128=""), "", A127 + 1)</f>
        <v>44086</v>
      </c>
      <c r="B128" s="9">
        <f t="shared" si="482"/>
        <v>1238</v>
      </c>
      <c r="C128" s="14">
        <f t="shared" si="483"/>
        <v>2.1719298245614034E-2</v>
      </c>
      <c r="D128" s="8">
        <f t="shared" si="484"/>
        <v>1.6181229773462036E-3</v>
      </c>
      <c r="E128" s="18">
        <f t="shared" si="436"/>
        <v>-0.61822255101465096</v>
      </c>
      <c r="F128" s="9">
        <f t="shared" si="485"/>
        <v>2</v>
      </c>
      <c r="G128" s="9" t="b">
        <f>FALSE</f>
        <v>0</v>
      </c>
      <c r="H128" s="9">
        <f t="shared" si="486"/>
        <v>0</v>
      </c>
      <c r="I128">
        <v>16634</v>
      </c>
      <c r="J128" s="9">
        <f t="shared" si="487"/>
        <v>111</v>
      </c>
      <c r="K128" s="8">
        <f t="shared" si="488"/>
        <v>6.7179083701507381E-3</v>
      </c>
      <c r="L128" s="8">
        <f t="shared" si="489"/>
        <v>1.8018018018018018E-2</v>
      </c>
      <c r="U128">
        <v>1238</v>
      </c>
    </row>
    <row r="129" spans="1:21" x14ac:dyDescent="0.3">
      <c r="A129" s="1" cm="1">
        <f t="array" ref="A129">IF(OR(B129:L129=""), "", A128 + 1)</f>
        <v>44087</v>
      </c>
      <c r="B129" s="9">
        <f t="shared" si="482"/>
        <v>1241</v>
      </c>
      <c r="C129" s="14">
        <f t="shared" si="483"/>
        <v>2.1771929824561404E-2</v>
      </c>
      <c r="D129" s="8">
        <f t="shared" si="484"/>
        <v>2.4232633279483995E-3</v>
      </c>
      <c r="E129" s="18">
        <f t="shared" si="436"/>
        <v>-0.46648470012317428</v>
      </c>
      <c r="F129" s="9">
        <f t="shared" si="485"/>
        <v>3</v>
      </c>
      <c r="G129" s="9" t="b">
        <f>FALSE</f>
        <v>0</v>
      </c>
      <c r="H129" s="9">
        <f t="shared" si="486"/>
        <v>0</v>
      </c>
      <c r="I129">
        <v>16752</v>
      </c>
      <c r="J129" s="9">
        <f t="shared" si="487"/>
        <v>118</v>
      </c>
      <c r="K129" s="8">
        <f t="shared" si="488"/>
        <v>7.0939040519417684E-3</v>
      </c>
      <c r="L129" s="8">
        <f t="shared" si="489"/>
        <v>2.5423728813559324E-2</v>
      </c>
      <c r="U129">
        <v>1241</v>
      </c>
    </row>
    <row r="130" spans="1:21" x14ac:dyDescent="0.3">
      <c r="A130" s="1" cm="1">
        <f t="array" ref="A130">IF(OR(B130:L130=""), "", A129 + 1)</f>
        <v>44088</v>
      </c>
      <c r="B130" s="9">
        <f t="shared" si="482"/>
        <v>1244</v>
      </c>
      <c r="C130" s="14">
        <f t="shared" si="483"/>
        <v>2.1824561403508771E-2</v>
      </c>
      <c r="D130" s="8">
        <f t="shared" si="484"/>
        <v>2.4174053182917099E-3</v>
      </c>
      <c r="E130" s="18">
        <f t="shared" si="436"/>
        <v>-0.47894369311904206</v>
      </c>
      <c r="F130" s="9">
        <f t="shared" si="485"/>
        <v>3</v>
      </c>
      <c r="G130" s="9" t="b">
        <f>FALSE</f>
        <v>0</v>
      </c>
      <c r="H130" s="9">
        <f t="shared" si="486"/>
        <v>0</v>
      </c>
      <c r="I130">
        <v>16874</v>
      </c>
      <c r="J130" s="9">
        <f t="shared" si="487"/>
        <v>122</v>
      </c>
      <c r="K130" s="8">
        <f t="shared" si="488"/>
        <v>7.2827125119387937E-3</v>
      </c>
      <c r="L130" s="8">
        <f t="shared" si="489"/>
        <v>2.4590163934426229E-2</v>
      </c>
      <c r="U130">
        <v>1244</v>
      </c>
    </row>
    <row r="131" spans="1:21" x14ac:dyDescent="0.3">
      <c r="A131" s="1" cm="1">
        <f t="array" ref="A131">IF(OR(B131:L131=""), "", A130 + 1)</f>
        <v>44089</v>
      </c>
      <c r="B131" s="9">
        <f t="shared" si="482"/>
        <v>1249</v>
      </c>
      <c r="C131" s="14">
        <f t="shared" si="483"/>
        <v>2.1912280701754386E-2</v>
      </c>
      <c r="D131" s="8">
        <f t="shared" si="484"/>
        <v>4.019292604501512E-3</v>
      </c>
      <c r="E131" s="18">
        <f t="shared" si="436"/>
        <v>-9.8051256961904226E-2</v>
      </c>
      <c r="F131" s="9">
        <f t="shared" si="485"/>
        <v>5</v>
      </c>
      <c r="G131" s="9" t="b">
        <f>FALSE</f>
        <v>0</v>
      </c>
      <c r="H131" s="9">
        <f t="shared" si="486"/>
        <v>0</v>
      </c>
      <c r="I131">
        <v>16959</v>
      </c>
      <c r="J131" s="9">
        <f t="shared" si="487"/>
        <v>85</v>
      </c>
      <c r="K131" s="8">
        <f t="shared" si="488"/>
        <v>5.0373355458102065E-3</v>
      </c>
      <c r="L131" s="8">
        <f t="shared" si="489"/>
        <v>5.8823529411764705E-2</v>
      </c>
      <c r="U131">
        <v>1249</v>
      </c>
    </row>
    <row r="132" spans="1:21" x14ac:dyDescent="0.3">
      <c r="A132" s="1" cm="1">
        <f t="array" ref="A132">IF(OR(B132:L132=""), "", A131 + 1)</f>
        <v>44090</v>
      </c>
      <c r="B132" s="9">
        <f t="shared" si="482"/>
        <v>1265</v>
      </c>
      <c r="C132" s="14">
        <f t="shared" si="483"/>
        <v>2.2192982456140351E-2</v>
      </c>
      <c r="D132" s="8">
        <f t="shared" si="484"/>
        <v>1.2810248198558805E-2</v>
      </c>
      <c r="E132" s="18">
        <f t="shared" si="436"/>
        <v>0.11947384024766559</v>
      </c>
      <c r="F132" s="9">
        <f t="shared" si="485"/>
        <v>16</v>
      </c>
      <c r="G132" s="9" t="b">
        <f>FALSE</f>
        <v>0</v>
      </c>
      <c r="H132" s="9">
        <f t="shared" si="486"/>
        <v>0</v>
      </c>
      <c r="I132">
        <v>17124</v>
      </c>
      <c r="J132" s="9">
        <f t="shared" si="487"/>
        <v>165</v>
      </c>
      <c r="K132" s="8">
        <f t="shared" si="488"/>
        <v>9.7293472492481214E-3</v>
      </c>
      <c r="L132" s="8">
        <f t="shared" si="489"/>
        <v>9.696969696969697E-2</v>
      </c>
      <c r="U132">
        <v>1265</v>
      </c>
    </row>
    <row r="133" spans="1:21" x14ac:dyDescent="0.3">
      <c r="A133" s="1" cm="1">
        <f t="array" ref="A133">IF(OR(B133:L133=""), "", A132 + 1)</f>
        <v>44091</v>
      </c>
      <c r="B133" s="9">
        <f t="shared" si="482"/>
        <v>1268</v>
      </c>
      <c r="C133" s="14">
        <f t="shared" si="483"/>
        <v>2.2245614035087718E-2</v>
      </c>
      <c r="D133" s="8">
        <f t="shared" si="484"/>
        <v>2.3715415019762709E-3</v>
      </c>
      <c r="E133" s="18">
        <f t="shared" si="436"/>
        <v>-0.52808461878631519</v>
      </c>
      <c r="F133" s="9">
        <f t="shared" si="485"/>
        <v>3</v>
      </c>
      <c r="G133" s="9" t="b">
        <f>FALSE</f>
        <v>0</v>
      </c>
      <c r="H133" s="9">
        <f t="shared" si="486"/>
        <v>0</v>
      </c>
      <c r="I133">
        <v>17261</v>
      </c>
      <c r="J133" s="9">
        <f t="shared" si="487"/>
        <v>137</v>
      </c>
      <c r="K133" s="8">
        <f t="shared" si="488"/>
        <v>8.0004671805653516E-3</v>
      </c>
      <c r="L133" s="8">
        <f t="shared" si="489"/>
        <v>2.1897810218978103E-2</v>
      </c>
      <c r="U133">
        <v>1268</v>
      </c>
    </row>
    <row r="134" spans="1:21" x14ac:dyDescent="0.3">
      <c r="A134" s="1" cm="1">
        <f t="array" ref="A134">IF(OR(B134:L134=""), "", A133 + 1)</f>
        <v>44092</v>
      </c>
      <c r="B134" s="9">
        <f t="shared" si="482"/>
        <v>1275</v>
      </c>
      <c r="C134" s="14">
        <f t="shared" si="483"/>
        <v>2.2368421052631579E-2</v>
      </c>
      <c r="D134" s="8">
        <f t="shared" si="484"/>
        <v>5.5205047318611644E-3</v>
      </c>
      <c r="E134" s="18">
        <f t="shared" si="436"/>
        <v>-8.1653101329671934E-2</v>
      </c>
      <c r="F134" s="9">
        <f t="shared" si="485"/>
        <v>7</v>
      </c>
      <c r="G134" s="9" t="b">
        <f>FALSE</f>
        <v>0</v>
      </c>
      <c r="H134" s="9">
        <f t="shared" si="486"/>
        <v>0</v>
      </c>
      <c r="I134">
        <v>17376</v>
      </c>
      <c r="J134" s="9">
        <f t="shared" si="487"/>
        <v>115</v>
      </c>
      <c r="K134" s="8">
        <f t="shared" si="488"/>
        <v>6.6624181681247396E-3</v>
      </c>
      <c r="L134" s="8">
        <f t="shared" si="489"/>
        <v>6.0869565217391307E-2</v>
      </c>
      <c r="U134">
        <v>1275</v>
      </c>
    </row>
    <row r="135" spans="1:21" x14ac:dyDescent="0.3">
      <c r="A135" s="1" cm="1">
        <f t="array" ref="A135">IF(OR(B135:L135=""), "", A134 + 1)</f>
        <v>44093</v>
      </c>
      <c r="B135" s="9">
        <f t="shared" si="482"/>
        <v>1281</v>
      </c>
      <c r="C135" s="14">
        <f t="shared" si="483"/>
        <v>2.2473684210526316E-2</v>
      </c>
      <c r="D135" s="8">
        <f t="shared" si="484"/>
        <v>4.7058823529411153E-3</v>
      </c>
      <c r="E135" s="18">
        <f t="shared" si="436"/>
        <v>-0.43180140016269325</v>
      </c>
      <c r="F135" s="9">
        <f t="shared" si="485"/>
        <v>6</v>
      </c>
      <c r="G135" s="9" t="b">
        <f>FALSE</f>
        <v>0</v>
      </c>
      <c r="H135" s="9">
        <f t="shared" si="486"/>
        <v>0</v>
      </c>
      <c r="I135">
        <v>17597</v>
      </c>
      <c r="J135" s="9">
        <f t="shared" si="487"/>
        <v>221</v>
      </c>
      <c r="K135" s="8">
        <f t="shared" si="488"/>
        <v>1.2718692449355418E-2</v>
      </c>
      <c r="L135" s="8">
        <f t="shared" si="489"/>
        <v>2.7149321266968326E-2</v>
      </c>
      <c r="U135">
        <v>1281</v>
      </c>
    </row>
    <row r="136" spans="1:21" x14ac:dyDescent="0.3">
      <c r="A136" s="1" cm="1">
        <f t="array" ref="A136">IF(OR(B136:L136=""), "", A135 + 1)</f>
        <v>44094</v>
      </c>
      <c r="B136" s="9">
        <f t="shared" si="482"/>
        <v>1283</v>
      </c>
      <c r="C136" s="14">
        <f t="shared" si="483"/>
        <v>2.2508771929824561E-2</v>
      </c>
      <c r="D136" s="8">
        <f t="shared" si="484"/>
        <v>1.5612802498048417E-3</v>
      </c>
      <c r="E136" s="18">
        <f t="shared" si="436"/>
        <v>-0.71336884442799586</v>
      </c>
      <c r="F136" s="9">
        <f t="shared" si="485"/>
        <v>2</v>
      </c>
      <c r="G136" s="9" t="b">
        <f>FALSE</f>
        <v>0</v>
      </c>
      <c r="H136" s="9">
        <f t="shared" si="486"/>
        <v>0</v>
      </c>
      <c r="I136">
        <v>17739</v>
      </c>
      <c r="J136" s="9">
        <f t="shared" si="487"/>
        <v>142</v>
      </c>
      <c r="K136" s="8">
        <f t="shared" si="488"/>
        <v>8.0695573109053065E-3</v>
      </c>
      <c r="L136" s="8">
        <f t="shared" si="489"/>
        <v>1.4084507042253521E-2</v>
      </c>
      <c r="U136">
        <v>1283</v>
      </c>
    </row>
    <row r="137" spans="1:21" x14ac:dyDescent="0.3">
      <c r="A137" s="1" cm="1">
        <f t="array" ref="A137">IF(OR(B137:L137=""), "", A136 + 1)</f>
        <v>44095</v>
      </c>
      <c r="B137" s="9">
        <f t="shared" si="482"/>
        <v>1285</v>
      </c>
      <c r="C137" s="14">
        <f t="shared" si="483"/>
        <v>2.2543859649122807E-2</v>
      </c>
      <c r="D137" s="8">
        <f t="shared" si="484"/>
        <v>1.5588464536242519E-3</v>
      </c>
      <c r="E137" s="18">
        <f t="shared" si="436"/>
        <v>-0.45589461828263728</v>
      </c>
      <c r="F137" s="9">
        <f t="shared" si="485"/>
        <v>2</v>
      </c>
      <c r="G137" s="9" t="b">
        <f>FALSE</f>
        <v>0</v>
      </c>
      <c r="H137" s="9">
        <f t="shared" si="486"/>
        <v>0</v>
      </c>
      <c r="I137">
        <v>17818</v>
      </c>
      <c r="J137" s="9">
        <f t="shared" si="487"/>
        <v>79</v>
      </c>
      <c r="K137" s="8">
        <f t="shared" si="488"/>
        <v>4.4534641186086965E-3</v>
      </c>
      <c r="L137" s="8">
        <f t="shared" si="489"/>
        <v>2.5316455696202531E-2</v>
      </c>
      <c r="U137">
        <v>1285</v>
      </c>
    </row>
    <row r="138" spans="1:21" x14ac:dyDescent="0.3">
      <c r="A138" s="1" cm="1">
        <f t="array" ref="A138">IF(OR(B138:L138=""), "", A137 + 1)</f>
        <v>44096</v>
      </c>
      <c r="B138" s="9">
        <f t="shared" si="482"/>
        <v>1293</v>
      </c>
      <c r="C138" s="14">
        <f t="shared" si="483"/>
        <v>2.2684210526315789E-2</v>
      </c>
      <c r="D138" s="8">
        <f t="shared" si="484"/>
        <v>6.225680933852118E-3</v>
      </c>
      <c r="E138" s="18">
        <f t="shared" si="436"/>
        <v>0.10552656130530028</v>
      </c>
      <c r="F138" s="9">
        <f t="shared" si="485"/>
        <v>8</v>
      </c>
      <c r="G138" s="9" t="b">
        <f>FALSE</f>
        <v>0</v>
      </c>
      <c r="H138" s="9">
        <f t="shared" si="486"/>
        <v>0</v>
      </c>
      <c r="I138">
        <v>17905</v>
      </c>
      <c r="J138" s="9">
        <f t="shared" si="487"/>
        <v>87</v>
      </c>
      <c r="K138" s="8">
        <f t="shared" si="488"/>
        <v>4.8827028847233667E-3</v>
      </c>
      <c r="L138" s="8">
        <f t="shared" si="489"/>
        <v>9.1954022988505746E-2</v>
      </c>
      <c r="U138">
        <v>1293</v>
      </c>
    </row>
    <row r="139" spans="1:21" x14ac:dyDescent="0.3">
      <c r="A139" s="1" cm="1">
        <f t="array" ref="A139">IF(OR(B139:L139=""), "", A138 + 1)</f>
        <v>44097</v>
      </c>
      <c r="B139" s="9">
        <f t="shared" si="482"/>
        <v>1298</v>
      </c>
      <c r="C139" s="14">
        <f t="shared" si="483"/>
        <v>2.2771929824561405E-2</v>
      </c>
      <c r="D139" s="8">
        <f t="shared" si="484"/>
        <v>3.866976024748725E-3</v>
      </c>
      <c r="E139" s="18">
        <f t="shared" si="436"/>
        <v>-0.25307588035868289</v>
      </c>
      <c r="F139" s="9">
        <f t="shared" si="485"/>
        <v>5</v>
      </c>
      <c r="G139" s="9" t="b">
        <f>FALSE</f>
        <v>0</v>
      </c>
      <c r="H139" s="9">
        <f t="shared" si="486"/>
        <v>0</v>
      </c>
      <c r="I139">
        <v>18029</v>
      </c>
      <c r="J139" s="9">
        <f t="shared" si="487"/>
        <v>124</v>
      </c>
      <c r="K139" s="8">
        <f t="shared" si="488"/>
        <v>6.9254398212790225E-3</v>
      </c>
      <c r="L139" s="8">
        <f t="shared" si="489"/>
        <v>4.0322580645161289E-2</v>
      </c>
      <c r="U139">
        <v>1298</v>
      </c>
    </row>
    <row r="140" spans="1:21" x14ac:dyDescent="0.3">
      <c r="A140" s="1" cm="1">
        <f t="array" ref="A140">IF(OR(B140:L140=""), "", A139 + 1)</f>
        <v>44098</v>
      </c>
      <c r="B140" s="9">
        <f t="shared" si="482"/>
        <v>1299</v>
      </c>
      <c r="C140" s="14">
        <f t="shared" si="483"/>
        <v>2.2789473684210526E-2</v>
      </c>
      <c r="D140" s="8">
        <f t="shared" si="484"/>
        <v>7.7041602465333092E-4</v>
      </c>
      <c r="E140" s="18">
        <f t="shared" si="436"/>
        <v>-0.89472955167624635</v>
      </c>
      <c r="F140" s="9">
        <f t="shared" si="485"/>
        <v>1</v>
      </c>
      <c r="G140" s="9" t="b">
        <f>FALSE</f>
        <v>0</v>
      </c>
      <c r="H140" s="9">
        <f t="shared" si="486"/>
        <v>0</v>
      </c>
      <c r="I140">
        <v>18138</v>
      </c>
      <c r="J140" s="9">
        <f t="shared" si="487"/>
        <v>109</v>
      </c>
      <c r="K140" s="8">
        <f t="shared" si="488"/>
        <v>6.0458150757114471E-3</v>
      </c>
      <c r="L140" s="8">
        <f t="shared" si="489"/>
        <v>9.1743119266055051E-3</v>
      </c>
      <c r="U140">
        <v>1299</v>
      </c>
    </row>
    <row r="141" spans="1:21" x14ac:dyDescent="0.3">
      <c r="A141" s="1" cm="1">
        <f t="array" ref="A141">IF(OR(B141:L141=""), "", A140 + 1)</f>
        <v>44099</v>
      </c>
      <c r="B141" s="9">
        <f t="shared" si="482"/>
        <v>1306</v>
      </c>
      <c r="C141" s="14">
        <f t="shared" si="483"/>
        <v>2.2912280701754387E-2</v>
      </c>
      <c r="D141" s="8">
        <f t="shared" si="484"/>
        <v>5.388760585065544E-3</v>
      </c>
      <c r="E141" s="18">
        <f t="shared" si="436"/>
        <v>-0.23263818464488828</v>
      </c>
      <c r="F141" s="9">
        <f t="shared" si="485"/>
        <v>7</v>
      </c>
      <c r="G141" s="9" t="b">
        <f>FALSE</f>
        <v>0</v>
      </c>
      <c r="H141" s="9">
        <f t="shared" si="486"/>
        <v>0</v>
      </c>
      <c r="I141">
        <v>18305</v>
      </c>
      <c r="J141" s="9">
        <f t="shared" si="487"/>
        <v>167</v>
      </c>
      <c r="K141" s="8">
        <f t="shared" si="488"/>
        <v>9.2071893262763993E-3</v>
      </c>
      <c r="L141" s="8">
        <f t="shared" si="489"/>
        <v>4.1916167664670656E-2</v>
      </c>
      <c r="U141">
        <v>1306</v>
      </c>
    </row>
    <row r="142" spans="1:21" x14ac:dyDescent="0.3">
      <c r="A142" s="1" cm="1">
        <f t="array" ref="A142">IF(OR(B142:L142=""), "", A141 + 1)</f>
        <v>44100</v>
      </c>
      <c r="B142" s="9">
        <f t="shared" si="482"/>
        <v>1314</v>
      </c>
      <c r="C142" s="14">
        <f t="shared" si="483"/>
        <v>2.305263157894737E-2</v>
      </c>
      <c r="D142" s="8">
        <f t="shared" si="484"/>
        <v>6.1255742725880857E-3</v>
      </c>
      <c r="E142" s="18">
        <f t="shared" si="436"/>
        <v>-0.20555596183286454</v>
      </c>
      <c r="F142" s="9">
        <f t="shared" si="485"/>
        <v>8</v>
      </c>
      <c r="G142" s="9" t="b">
        <f>FALSE</f>
        <v>0</v>
      </c>
      <c r="H142" s="9">
        <f t="shared" si="486"/>
        <v>0</v>
      </c>
      <c r="I142">
        <v>18485</v>
      </c>
      <c r="J142" s="9">
        <f t="shared" si="487"/>
        <v>180</v>
      </c>
      <c r="K142" s="8">
        <f t="shared" si="488"/>
        <v>9.8333788582354309E-3</v>
      </c>
      <c r="L142" s="8">
        <f t="shared" si="489"/>
        <v>4.4444444444444446E-2</v>
      </c>
      <c r="U142">
        <v>1314</v>
      </c>
    </row>
    <row r="143" spans="1:21" x14ac:dyDescent="0.3">
      <c r="A143" s="1" cm="1">
        <f t="array" ref="A143">IF(OR(B143:L143=""), "", A142 + 1)</f>
        <v>44101</v>
      </c>
      <c r="B143" s="9">
        <f t="shared" si="482"/>
        <v>1318</v>
      </c>
      <c r="C143" s="14">
        <f t="shared" si="483"/>
        <v>2.3122807017543861E-2</v>
      </c>
      <c r="D143" s="8">
        <f t="shared" si="484"/>
        <v>3.0441400304415112E-3</v>
      </c>
      <c r="E143" s="18">
        <f t="shared" si="436"/>
        <v>-0.27502178425142537</v>
      </c>
      <c r="F143" s="9">
        <f t="shared" si="485"/>
        <v>4</v>
      </c>
      <c r="G143" s="9" t="b">
        <f>FALSE</f>
        <v>0</v>
      </c>
      <c r="H143" s="9">
        <f t="shared" si="486"/>
        <v>0</v>
      </c>
      <c r="I143">
        <v>18591</v>
      </c>
      <c r="J143" s="9">
        <f t="shared" si="487"/>
        <v>106</v>
      </c>
      <c r="K143" s="8">
        <f t="shared" si="488"/>
        <v>5.734379226399744E-3</v>
      </c>
      <c r="L143" s="8">
        <f t="shared" si="489"/>
        <v>3.7735849056603772E-2</v>
      </c>
      <c r="U143">
        <v>1318</v>
      </c>
    </row>
    <row r="144" spans="1:21" x14ac:dyDescent="0.3">
      <c r="A144" s="1" cm="1">
        <f t="array" ref="A144">IF(OR(B144:L144=""), "", A143 + 1)</f>
        <v>44102</v>
      </c>
      <c r="B144" s="9">
        <f t="shared" si="482"/>
        <v>1324</v>
      </c>
      <c r="C144" s="14">
        <f t="shared" si="483"/>
        <v>2.3228070175438598E-2</v>
      </c>
      <c r="D144" s="8">
        <f t="shared" si="484"/>
        <v>4.5523520485584168E-3</v>
      </c>
      <c r="E144" s="18">
        <f t="shared" si="436"/>
        <v>-0.30798985591255784</v>
      </c>
      <c r="F144" s="9">
        <f t="shared" si="485"/>
        <v>6</v>
      </c>
      <c r="G144" s="9" t="b">
        <f>FALSE</f>
        <v>0</v>
      </c>
      <c r="H144" s="9">
        <f t="shared" si="486"/>
        <v>0</v>
      </c>
      <c r="I144">
        <v>18763</v>
      </c>
      <c r="J144" s="9">
        <f t="shared" si="487"/>
        <v>172</v>
      </c>
      <c r="K144" s="8">
        <f t="shared" si="488"/>
        <v>9.2517884998117861E-3</v>
      </c>
      <c r="L144" s="8">
        <f t="shared" si="489"/>
        <v>3.4883720930232558E-2</v>
      </c>
      <c r="U144">
        <v>1324</v>
      </c>
    </row>
    <row r="145" spans="1:22" x14ac:dyDescent="0.3">
      <c r="A145" s="1" cm="1">
        <f t="array" ref="A145">IF(OR(B145:L145=""), "", A144 + 1)</f>
        <v>44103</v>
      </c>
      <c r="B145" s="9">
        <f t="shared" si="482"/>
        <v>1328</v>
      </c>
      <c r="C145" s="14">
        <f t="shared" si="483"/>
        <v>2.3298245614035089E-2</v>
      </c>
      <c r="D145" s="8">
        <f t="shared" si="484"/>
        <v>3.0211480362538623E-3</v>
      </c>
      <c r="E145" s="18">
        <f t="shared" si="436"/>
        <v>-0.21031354255361026</v>
      </c>
      <c r="F145" s="9">
        <f t="shared" si="485"/>
        <v>4</v>
      </c>
      <c r="G145" s="9" t="b">
        <f>FALSE</f>
        <v>0</v>
      </c>
      <c r="H145" s="9">
        <f t="shared" si="486"/>
        <v>0</v>
      </c>
      <c r="I145">
        <v>18855</v>
      </c>
      <c r="J145" s="9">
        <f t="shared" si="487"/>
        <v>92</v>
      </c>
      <c r="K145" s="8">
        <f t="shared" si="488"/>
        <v>4.9032670681661283E-3</v>
      </c>
      <c r="L145" s="8">
        <f t="shared" si="489"/>
        <v>4.3478260869565216E-2</v>
      </c>
      <c r="U145">
        <v>1328</v>
      </c>
    </row>
    <row r="146" spans="1:22" x14ac:dyDescent="0.3">
      <c r="A146" s="1" cm="1">
        <f t="array" ref="A146">IF(OR(B146:L146=""), "", A145 + 1)</f>
        <v>44104</v>
      </c>
      <c r="B146" s="9">
        <f t="shared" si="482"/>
        <v>1335</v>
      </c>
      <c r="C146" s="14">
        <f t="shared" si="483"/>
        <v>2.3421052631578947E-2</v>
      </c>
      <c r="D146" s="8">
        <f t="shared" si="484"/>
        <v>5.2710843373493521E-3</v>
      </c>
      <c r="E146" s="18">
        <f t="shared" si="436"/>
        <v>-6.7131487503022641E-2</v>
      </c>
      <c r="F146" s="9">
        <f t="shared" si="485"/>
        <v>7</v>
      </c>
      <c r="G146" s="9" t="b">
        <f>FALSE</f>
        <v>0</v>
      </c>
      <c r="H146" s="9">
        <f t="shared" si="486"/>
        <v>0</v>
      </c>
      <c r="I146">
        <v>18971</v>
      </c>
      <c r="J146" s="9">
        <f t="shared" si="487"/>
        <v>116</v>
      </c>
      <c r="K146" s="8">
        <f t="shared" si="488"/>
        <v>6.1522142667727042E-3</v>
      </c>
      <c r="L146" s="8">
        <f t="shared" si="489"/>
        <v>6.0344827586206899E-2</v>
      </c>
      <c r="U146">
        <v>1335</v>
      </c>
    </row>
    <row r="147" spans="1:22" x14ac:dyDescent="0.3">
      <c r="A147" s="1" cm="1">
        <f t="array" ref="A147">IF(OR(B147:L147=""), "", A146 + 1)</f>
        <v>44105</v>
      </c>
      <c r="B147" s="9">
        <f t="shared" si="482"/>
        <v>1343</v>
      </c>
      <c r="C147" s="14">
        <f t="shared" si="483"/>
        <v>2.3561403508771929E-2</v>
      </c>
      <c r="D147" s="8">
        <f t="shared" si="484"/>
        <v>5.9925093632959836E-3</v>
      </c>
      <c r="E147" s="18">
        <f t="shared" si="436"/>
        <v>-0.19715408565093528</v>
      </c>
      <c r="F147" s="9">
        <f t="shared" si="485"/>
        <v>8</v>
      </c>
      <c r="G147" s="9" t="b">
        <f>FALSE</f>
        <v>0</v>
      </c>
      <c r="H147" s="9">
        <f t="shared" si="486"/>
        <v>0</v>
      </c>
      <c r="I147">
        <v>19150</v>
      </c>
      <c r="J147" s="9">
        <f t="shared" si="487"/>
        <v>179</v>
      </c>
      <c r="K147" s="8">
        <f t="shared" si="488"/>
        <v>9.4354541141743464E-3</v>
      </c>
      <c r="L147" s="8">
        <f t="shared" si="489"/>
        <v>4.4692737430167599E-2</v>
      </c>
      <c r="U147">
        <v>1343</v>
      </c>
    </row>
    <row r="148" spans="1:22" x14ac:dyDescent="0.3">
      <c r="A148" s="1" cm="1">
        <f t="array" ref="A148">IF(OR(B148:L148=""), "", A147 + 1)</f>
        <v>44106</v>
      </c>
      <c r="B148" s="9">
        <f t="shared" si="482"/>
        <v>1346</v>
      </c>
      <c r="C148" s="14">
        <f t="shared" si="483"/>
        <v>2.3614035087719299E-2</v>
      </c>
      <c r="D148" s="8">
        <f t="shared" si="484"/>
        <v>2.2338049143708627E-3</v>
      </c>
      <c r="E148" s="18">
        <f t="shared" si="436"/>
        <v>-0.56468563205363465</v>
      </c>
      <c r="F148" s="9">
        <f t="shared" si="485"/>
        <v>3</v>
      </c>
      <c r="G148" s="9" t="b">
        <f>FALSE</f>
        <v>0</v>
      </c>
      <c r="H148" s="9">
        <f t="shared" si="486"/>
        <v>0</v>
      </c>
      <c r="I148">
        <v>19307</v>
      </c>
      <c r="J148" s="9">
        <f t="shared" si="487"/>
        <v>157</v>
      </c>
      <c r="K148" s="8">
        <f t="shared" si="488"/>
        <v>8.1984334203655251E-3</v>
      </c>
      <c r="L148" s="8">
        <f t="shared" si="489"/>
        <v>1.9108280254777069E-2</v>
      </c>
      <c r="U148">
        <v>1346</v>
      </c>
    </row>
    <row r="149" spans="1:22" x14ac:dyDescent="0.3">
      <c r="A149" s="1" cm="1">
        <f t="array" ref="A149">IF(OR(B149:L149=""), "", A148 + 1)</f>
        <v>44107</v>
      </c>
      <c r="B149" s="9">
        <f t="shared" si="482"/>
        <v>1354</v>
      </c>
      <c r="C149" s="14">
        <f t="shared" si="483"/>
        <v>2.3754385964912281E-2</v>
      </c>
      <c r="D149" s="8">
        <f t="shared" si="484"/>
        <v>5.9435364041604544E-3</v>
      </c>
      <c r="E149" s="18">
        <f t="shared" si="436"/>
        <v>-0.30385225620525341</v>
      </c>
      <c r="F149" s="9">
        <f t="shared" si="485"/>
        <v>8</v>
      </c>
      <c r="G149" s="9" t="b">
        <f>FALSE</f>
        <v>0</v>
      </c>
      <c r="H149" s="9">
        <f t="shared" si="486"/>
        <v>0</v>
      </c>
      <c r="I149">
        <v>19538</v>
      </c>
      <c r="J149" s="9">
        <f t="shared" si="487"/>
        <v>231</v>
      </c>
      <c r="K149" s="8">
        <f t="shared" si="488"/>
        <v>1.1964572434868259E-2</v>
      </c>
      <c r="L149" s="8">
        <f t="shared" si="489"/>
        <v>3.4632034632034632E-2</v>
      </c>
      <c r="U149">
        <v>1354</v>
      </c>
    </row>
    <row r="150" spans="1:22" x14ac:dyDescent="0.3">
      <c r="A150" s="1" cm="1">
        <f t="array" ref="A150">IF(OR(B150:L150=""), "", A149 + 1)</f>
        <v>44108</v>
      </c>
      <c r="B150" s="9">
        <f t="shared" si="482"/>
        <v>1359</v>
      </c>
      <c r="C150" s="14">
        <f t="shared" si="483"/>
        <v>2.3842105263157894E-2</v>
      </c>
      <c r="D150" s="8">
        <f t="shared" si="484"/>
        <v>3.6927621861151394E-3</v>
      </c>
      <c r="E150" s="18">
        <f t="shared" si="436"/>
        <v>-0.28478335500004426</v>
      </c>
      <c r="F150" s="9">
        <f t="shared" si="485"/>
        <v>5</v>
      </c>
      <c r="G150" s="9" t="b">
        <f>FALSE</f>
        <v>0</v>
      </c>
      <c r="H150" s="9">
        <f t="shared" si="486"/>
        <v>0</v>
      </c>
      <c r="I150">
        <v>19677</v>
      </c>
      <c r="J150" s="9">
        <f t="shared" si="487"/>
        <v>139</v>
      </c>
      <c r="K150" s="8">
        <f t="shared" si="488"/>
        <v>7.1143412836522923E-3</v>
      </c>
      <c r="L150" s="8">
        <f t="shared" si="489"/>
        <v>3.5971223021582732E-2</v>
      </c>
      <c r="U150">
        <v>1359</v>
      </c>
    </row>
    <row r="151" spans="1:22" x14ac:dyDescent="0.3">
      <c r="A151" s="1" cm="1">
        <f t="array" ref="A151">IF(OR(B151:L151=""), "", A150 + 1)</f>
        <v>44109</v>
      </c>
      <c r="B151" s="9">
        <f t="shared" si="482"/>
        <v>1376</v>
      </c>
      <c r="C151" s="14">
        <f t="shared" si="483"/>
        <v>2.4140350877192983E-2</v>
      </c>
      <c r="D151" s="8">
        <f t="shared" si="484"/>
        <v>1.2509197939661432E-2</v>
      </c>
      <c r="E151" s="18">
        <f t="shared" si="436"/>
        <v>0.20085665209717804</v>
      </c>
      <c r="F151" s="9">
        <f t="shared" si="485"/>
        <v>17</v>
      </c>
      <c r="G151" s="9" t="b">
        <f>FALSE</f>
        <v>0</v>
      </c>
      <c r="H151" s="9">
        <f t="shared" si="486"/>
        <v>0</v>
      </c>
      <c r="I151">
        <v>19832</v>
      </c>
      <c r="J151" s="9">
        <f t="shared" si="487"/>
        <v>155</v>
      </c>
      <c r="K151" s="8">
        <f t="shared" si="488"/>
        <v>7.877217055445529E-3</v>
      </c>
      <c r="L151" s="8">
        <f t="shared" si="489"/>
        <v>0.10967741935483871</v>
      </c>
      <c r="U151">
        <v>1376</v>
      </c>
    </row>
    <row r="152" spans="1:22" x14ac:dyDescent="0.3">
      <c r="A152" s="1" cm="1">
        <f t="array" ref="A152">IF(OR(B152:L152=""), "", A151 + 1)</f>
        <v>44110</v>
      </c>
      <c r="B152" s="9">
        <f t="shared" si="482"/>
        <v>1384</v>
      </c>
      <c r="C152" s="14">
        <f t="shared" si="483"/>
        <v>2.4280701754385965E-2</v>
      </c>
      <c r="D152" s="8">
        <f t="shared" si="484"/>
        <v>5.8139534883721034E-3</v>
      </c>
      <c r="E152" s="18">
        <f t="shared" si="436"/>
        <v>-9.3497970612838543E-2</v>
      </c>
      <c r="F152" s="9">
        <f t="shared" si="485"/>
        <v>8</v>
      </c>
      <c r="G152" s="9" t="b">
        <f>FALSE</f>
        <v>0</v>
      </c>
      <c r="H152" s="9">
        <f t="shared" si="486"/>
        <v>0</v>
      </c>
      <c r="I152">
        <v>19975</v>
      </c>
      <c r="J152" s="9">
        <f t="shared" si="487"/>
        <v>143</v>
      </c>
      <c r="K152" s="8">
        <f t="shared" si="488"/>
        <v>7.2105687777328509E-3</v>
      </c>
      <c r="L152" s="8">
        <f t="shared" si="489"/>
        <v>5.5944055944055944E-2</v>
      </c>
      <c r="U152">
        <v>1384</v>
      </c>
    </row>
    <row r="153" spans="1:22" x14ac:dyDescent="0.3">
      <c r="A153" s="1" cm="1">
        <f t="array" ref="A153">IF(OR(B153:L153=""), "", A152 + 1)</f>
        <v>44111</v>
      </c>
      <c r="B153" s="9">
        <f t="shared" si="482"/>
        <v>1394</v>
      </c>
      <c r="C153" s="14">
        <f t="shared" si="483"/>
        <v>2.4456140350877193E-2</v>
      </c>
      <c r="D153" s="8">
        <f t="shared" si="484"/>
        <v>7.225433526011571E-3</v>
      </c>
      <c r="E153" s="18">
        <f t="shared" si="436"/>
        <v>0.20996069122037173</v>
      </c>
      <c r="F153" s="9">
        <f t="shared" si="485"/>
        <v>10</v>
      </c>
      <c r="G153" s="9" t="b">
        <f>FALSE</f>
        <v>0</v>
      </c>
      <c r="H153" s="9">
        <f t="shared" si="486"/>
        <v>0</v>
      </c>
      <c r="I153">
        <v>20064</v>
      </c>
      <c r="J153" s="9">
        <f t="shared" si="487"/>
        <v>89</v>
      </c>
      <c r="K153" s="8">
        <f t="shared" si="488"/>
        <v>4.4555694618273467E-3</v>
      </c>
      <c r="L153" s="8">
        <f t="shared" si="489"/>
        <v>0.11235955056179775</v>
      </c>
      <c r="U153">
        <v>1394</v>
      </c>
    </row>
    <row r="154" spans="1:22" x14ac:dyDescent="0.3">
      <c r="A154" s="1" cm="1">
        <f t="array" ref="A154">IF(OR(B154:L154=""), "", A153 + 1)</f>
        <v>44112</v>
      </c>
      <c r="B154" s="9">
        <f t="shared" si="482"/>
        <v>1415</v>
      </c>
      <c r="C154" s="14">
        <f t="shared" si="483"/>
        <v>2.4824561403508773E-2</v>
      </c>
      <c r="D154" s="8">
        <f t="shared" si="484"/>
        <v>1.5064562410330051E-2</v>
      </c>
      <c r="E154" s="18">
        <f t="shared" si="436"/>
        <v>0.12053855778266104</v>
      </c>
      <c r="F154" s="9">
        <f t="shared" si="485"/>
        <v>21</v>
      </c>
      <c r="G154" s="9" t="b">
        <f>FALSE</f>
        <v>0</v>
      </c>
      <c r="H154" s="9">
        <f t="shared" si="486"/>
        <v>0</v>
      </c>
      <c r="I154">
        <v>20293</v>
      </c>
      <c r="J154" s="9">
        <f t="shared" si="487"/>
        <v>229</v>
      </c>
      <c r="K154" s="8">
        <f t="shared" si="488"/>
        <v>1.1413476874003292E-2</v>
      </c>
      <c r="L154" s="8">
        <f t="shared" si="489"/>
        <v>9.1703056768558958E-2</v>
      </c>
      <c r="U154">
        <v>1415</v>
      </c>
    </row>
    <row r="155" spans="1:22" x14ac:dyDescent="0.3">
      <c r="A155" s="1" cm="1">
        <f t="array" ref="A155">IF(OR(B155:L155=""), "", A154 + 1)</f>
        <v>44113</v>
      </c>
      <c r="B155" s="9">
        <f t="shared" si="482"/>
        <v>1429</v>
      </c>
      <c r="C155" s="14">
        <f t="shared" si="483"/>
        <v>2.5070175438596493E-2</v>
      </c>
      <c r="D155" s="8">
        <f t="shared" si="484"/>
        <v>9.8939929328620835E-3</v>
      </c>
      <c r="E155" s="18">
        <f t="shared" si="436"/>
        <v>6.052660925645971E-3</v>
      </c>
      <c r="F155" s="9">
        <f t="shared" si="485"/>
        <v>14</v>
      </c>
      <c r="G155" s="9" t="b">
        <f>FALSE</f>
        <v>0</v>
      </c>
      <c r="H155" s="9">
        <f t="shared" si="486"/>
        <v>0</v>
      </c>
      <c r="I155">
        <v>20491</v>
      </c>
      <c r="J155" s="9">
        <f t="shared" si="487"/>
        <v>198</v>
      </c>
      <c r="K155" s="8">
        <f t="shared" si="488"/>
        <v>9.7570590844133775E-3</v>
      </c>
      <c r="L155" s="8">
        <f t="shared" si="489"/>
        <v>7.0707070707070704E-2</v>
      </c>
      <c r="U155">
        <v>1429</v>
      </c>
    </row>
    <row r="156" spans="1:22" x14ac:dyDescent="0.3">
      <c r="A156" s="1" cm="1">
        <f t="array" ref="A156">IF(OR(B156:L156=""), "", A155 + 1)</f>
        <v>44114</v>
      </c>
      <c r="B156" s="9">
        <f t="shared" si="482"/>
        <v>1443</v>
      </c>
      <c r="C156" s="14">
        <f t="shared" si="483"/>
        <v>2.5315789473684212E-2</v>
      </c>
      <c r="D156" s="8">
        <f t="shared" si="484"/>
        <v>9.7970608817354865E-3</v>
      </c>
      <c r="E156" s="18">
        <f t="shared" si="436"/>
        <v>2.850111094350443E-2</v>
      </c>
      <c r="F156" s="9">
        <f t="shared" si="485"/>
        <v>14</v>
      </c>
      <c r="G156" s="9" t="b">
        <f>FALSE</f>
        <v>0</v>
      </c>
      <c r="H156" s="9">
        <f t="shared" si="486"/>
        <v>0</v>
      </c>
      <c r="I156">
        <v>20679</v>
      </c>
      <c r="J156" s="9">
        <f t="shared" si="487"/>
        <v>188</v>
      </c>
      <c r="K156" s="8">
        <f t="shared" si="488"/>
        <v>9.1747596505782347E-3</v>
      </c>
      <c r="L156" s="8">
        <f t="shared" si="489"/>
        <v>7.4468085106382975E-2</v>
      </c>
      <c r="U156">
        <v>1443</v>
      </c>
    </row>
    <row r="157" spans="1:22" x14ac:dyDescent="0.3">
      <c r="A157" s="1" cm="1">
        <f t="array" ref="A157">IF(OR(B157:L157=""), "", A156 + 1)</f>
        <v>44115</v>
      </c>
      <c r="B157" s="9">
        <f t="shared" si="482"/>
        <v>1456</v>
      </c>
      <c r="C157" s="14">
        <f t="shared" si="483"/>
        <v>2.5543859649122806E-2</v>
      </c>
      <c r="D157" s="8">
        <f t="shared" si="484"/>
        <v>9.009009009008917E-3</v>
      </c>
      <c r="E157" s="17">
        <f t="shared" si="436"/>
        <v>1.4416277709395723E-2</v>
      </c>
      <c r="F157" s="9">
        <f t="shared" si="485"/>
        <v>13</v>
      </c>
      <c r="G157" s="9" t="b">
        <f>FALSE</f>
        <v>0</v>
      </c>
      <c r="H157" s="9">
        <f t="shared" si="486"/>
        <v>0</v>
      </c>
      <c r="I157" s="6">
        <f>SQRT(I156*I158)</f>
        <v>20859.214726350558</v>
      </c>
      <c r="J157" s="6">
        <f t="shared" si="487"/>
        <v>180.21472635055761</v>
      </c>
      <c r="K157" s="7">
        <f t="shared" si="488"/>
        <v>8.7148665965741667E-3</v>
      </c>
      <c r="L157" s="7">
        <f t="shared" si="489"/>
        <v>7.2136169242418724E-2</v>
      </c>
      <c r="U157">
        <v>1456</v>
      </c>
      <c r="V157" t="s">
        <v>19</v>
      </c>
    </row>
    <row r="158" spans="1:22" x14ac:dyDescent="0.3">
      <c r="A158" s="1" cm="1">
        <f t="array" ref="A158">IF(OR(B158:L158=""), "", A157 + 1)</f>
        <v>44116</v>
      </c>
      <c r="B158" s="9">
        <f t="shared" si="482"/>
        <v>1465</v>
      </c>
      <c r="C158" s="14">
        <f t="shared" si="483"/>
        <v>2.5701754385964913E-2</v>
      </c>
      <c r="D158" s="8">
        <f t="shared" si="484"/>
        <v>6.1813186813186594E-3</v>
      </c>
      <c r="E158" s="17">
        <f t="shared" si="436"/>
        <v>-0.14917960904163738</v>
      </c>
      <c r="F158" s="9">
        <f t="shared" si="485"/>
        <v>9</v>
      </c>
      <c r="G158" s="9" t="b">
        <f>FALSE</f>
        <v>0</v>
      </c>
      <c r="H158" s="9">
        <f t="shared" si="486"/>
        <v>0</v>
      </c>
      <c r="I158">
        <v>21041</v>
      </c>
      <c r="J158" s="6">
        <f t="shared" si="487"/>
        <v>181.78527364944239</v>
      </c>
      <c r="K158" s="7">
        <f t="shared" si="488"/>
        <v>8.7148665965741667E-3</v>
      </c>
      <c r="L158" s="7">
        <f t="shared" si="489"/>
        <v>4.9508960870811476E-2</v>
      </c>
      <c r="U158">
        <v>1465</v>
      </c>
    </row>
    <row r="159" spans="1:22" x14ac:dyDescent="0.3">
      <c r="A159" s="1" cm="1">
        <f t="array" ref="A159">IF(OR(B159:L159=""), "", A158 + 1)</f>
        <v>44117</v>
      </c>
      <c r="B159" s="9">
        <f t="shared" si="482"/>
        <v>1480</v>
      </c>
      <c r="C159" s="14">
        <f t="shared" si="483"/>
        <v>2.5964912280701753E-2</v>
      </c>
      <c r="D159" s="8">
        <f t="shared" si="484"/>
        <v>1.0238907849829282E-2</v>
      </c>
      <c r="E159" s="18">
        <f t="shared" si="436"/>
        <v>3.6654820467919888E-2</v>
      </c>
      <c r="F159" s="9">
        <f t="shared" si="485"/>
        <v>15</v>
      </c>
      <c r="G159" s="9" t="b">
        <f>FALSE</f>
        <v>0</v>
      </c>
      <c r="H159" s="9">
        <f t="shared" si="486"/>
        <v>0</v>
      </c>
      <c r="I159">
        <v>21239</v>
      </c>
      <c r="J159" s="9">
        <f t="shared" si="487"/>
        <v>198</v>
      </c>
      <c r="K159" s="8">
        <f t="shared" si="488"/>
        <v>9.4101991350221681E-3</v>
      </c>
      <c r="L159" s="8">
        <f t="shared" si="489"/>
        <v>7.575757575757576E-2</v>
      </c>
      <c r="U159">
        <v>1480</v>
      </c>
    </row>
    <row r="160" spans="1:22" x14ac:dyDescent="0.3">
      <c r="A160" s="1" cm="1">
        <f t="array" ref="A160">IF(OR(B160:L160=""), "", A159 + 1)</f>
        <v>44118</v>
      </c>
      <c r="B160" s="6">
        <f t="shared" si="482"/>
        <v>1494.9247472699085</v>
      </c>
      <c r="C160" s="13">
        <f t="shared" si="483"/>
        <v>2.6226749952103657E-2</v>
      </c>
      <c r="D160" s="7">
        <f t="shared" si="484"/>
        <v>1.0084288695884069E-2</v>
      </c>
      <c r="E160" s="17">
        <f t="shared" si="436"/>
        <v>0.12693602524814349</v>
      </c>
      <c r="F160" s="6">
        <f t="shared" si="485"/>
        <v>14.924747269908494</v>
      </c>
      <c r="G160" s="9" t="b">
        <f>FALSE</f>
        <v>0</v>
      </c>
      <c r="H160" s="9">
        <f t="shared" si="486"/>
        <v>0</v>
      </c>
      <c r="I160" s="6">
        <f>SQRT(I159*I161)</f>
        <v>21398.898102472474</v>
      </c>
      <c r="J160" s="6">
        <f t="shared" si="487"/>
        <v>159.89810247247442</v>
      </c>
      <c r="K160" s="7">
        <f t="shared" si="488"/>
        <v>7.5285136999141411E-3</v>
      </c>
      <c r="L160" s="7">
        <f t="shared" si="489"/>
        <v>9.3339114343009205E-2</v>
      </c>
      <c r="U160" s="6">
        <f>SQRT(U159*U161)</f>
        <v>1494.9247472699085</v>
      </c>
    </row>
    <row r="161" spans="1:21" x14ac:dyDescent="0.3">
      <c r="A161" s="1" cm="1">
        <f t="array" ref="A161">IF(OR(B161:L161=""), "", A160 + 1)</f>
        <v>44119</v>
      </c>
      <c r="B161" s="9">
        <f t="shared" ref="B161:B162" si="492">U161 + G161</f>
        <v>1510</v>
      </c>
      <c r="C161" s="14">
        <f t="shared" ref="C161:C162" si="493">B161/$A$1</f>
        <v>2.6491228070175437E-2</v>
      </c>
      <c r="D161" s="7">
        <f t="shared" ref="D161:D162" si="494">B161/B160 - 1</f>
        <v>1.0084288695884291E-2</v>
      </c>
      <c r="E161" s="17">
        <f t="shared" ref="E161:E162" si="495">IFERROR(LOG(D161/K161), FALSE)</f>
        <v>0.12693602524816588</v>
      </c>
      <c r="F161" s="6">
        <f t="shared" ref="F161:F162" si="496">B161 - B160</f>
        <v>15.075252730091506</v>
      </c>
      <c r="G161" s="9" t="b">
        <f>FALSE</f>
        <v>0</v>
      </c>
      <c r="H161" s="9">
        <f t="shared" ref="H161:H162" si="497">G161-G160</f>
        <v>0</v>
      </c>
      <c r="I161">
        <v>21560</v>
      </c>
      <c r="J161" s="6">
        <f t="shared" ref="J161" si="498">I161 - I160</f>
        <v>161.10189752752558</v>
      </c>
      <c r="K161" s="7">
        <f t="shared" ref="K161" si="499">I161/I160 - 1</f>
        <v>7.5285136999139191E-3</v>
      </c>
      <c r="L161" s="7">
        <f t="shared" ref="L161" si="500">(B161 - B160)/(I161 - I160)</f>
        <v>9.357588558207873E-2</v>
      </c>
      <c r="U161">
        <v>1510</v>
      </c>
    </row>
    <row r="162" spans="1:21" x14ac:dyDescent="0.3">
      <c r="A162" s="1" cm="1">
        <f t="array" ref="A162">IF(OR(B162:L162=""), "", A161 + 1)</f>
        <v>44120</v>
      </c>
      <c r="B162" s="9">
        <f t="shared" si="492"/>
        <v>1528</v>
      </c>
      <c r="C162" s="14">
        <f t="shared" si="493"/>
        <v>2.6807017543859651E-2</v>
      </c>
      <c r="D162" s="8">
        <f t="shared" si="494"/>
        <v>1.192052980132452E-2</v>
      </c>
      <c r="E162" s="18">
        <f t="shared" si="495"/>
        <v>-3.3554497564141457E-3</v>
      </c>
      <c r="F162" s="9">
        <f t="shared" si="496"/>
        <v>18</v>
      </c>
      <c r="G162" s="9" t="b">
        <f>FALSE</f>
        <v>0</v>
      </c>
      <c r="H162" s="9">
        <f t="shared" si="497"/>
        <v>0</v>
      </c>
      <c r="I162">
        <v>21819</v>
      </c>
      <c r="J162" s="9">
        <f t="shared" ref="J162" si="501">I162 - I161</f>
        <v>259</v>
      </c>
      <c r="K162" s="8">
        <f t="shared" ref="K162" si="502">I162/I161 - 1</f>
        <v>1.2012987012987031E-2</v>
      </c>
      <c r="L162" s="8">
        <f t="shared" ref="L162" si="503">(B162 - B161)/(I162 - I161)</f>
        <v>6.9498069498069498E-2</v>
      </c>
      <c r="U162">
        <v>1528</v>
      </c>
    </row>
    <row r="163" spans="1:21" x14ac:dyDescent="0.3">
      <c r="A163" s="1" cm="1">
        <f t="array" ref="A163">IF(OR(B163:L163=""), "", A162 + 1)</f>
        <v>44121</v>
      </c>
      <c r="B163" s="6">
        <f t="shared" ref="B163" si="504">U163 + G163</f>
        <v>1546.9605390476613</v>
      </c>
      <c r="C163" s="13">
        <f t="shared" ref="C163" si="505">B163/$A$1</f>
        <v>2.7139658579783531E-2</v>
      </c>
      <c r="D163" s="7">
        <f t="shared" ref="D163" si="506">B163/B162 - 1</f>
        <v>1.2408729743233815E-2</v>
      </c>
      <c r="E163" s="17">
        <f t="shared" ref="E163" si="507">IFERROR(LOG(D163/K163), FALSE)</f>
        <v>0.11800776877480125</v>
      </c>
      <c r="F163" s="6">
        <f t="shared" ref="F163" si="508">B163 - B162</f>
        <v>18.960539047661314</v>
      </c>
      <c r="G163" s="9" t="b">
        <f>FALSE</f>
        <v>0</v>
      </c>
      <c r="H163" s="9">
        <f t="shared" ref="H163" si="509">G163-G162</f>
        <v>0</v>
      </c>
      <c r="I163" s="6">
        <f>(I$162^(11 - (ROW(I163) - 162))*I$173^(ROW(I163) - 162))^(1/11)</f>
        <v>22025.3262093952</v>
      </c>
      <c r="J163" s="6">
        <f t="shared" ref="J163" si="510">I163 - I162</f>
        <v>206.32620939519984</v>
      </c>
      <c r="K163" s="7">
        <f t="shared" ref="K163" si="511">I163/I162 - 1</f>
        <v>9.4562633207389002E-3</v>
      </c>
      <c r="L163" s="7">
        <f t="shared" ref="L163" si="512">(B163 - B162)/(I163 - I162)</f>
        <v>9.1895930736284007E-2</v>
      </c>
      <c r="U163" s="6">
        <f>(U$162^(11 - (ROW(U163) - 162))*U$173^(ROW(U163) - 162))^(1/11)</f>
        <v>1546.9605390476613</v>
      </c>
    </row>
    <row r="164" spans="1:21" x14ac:dyDescent="0.3">
      <c r="A164" s="1" cm="1">
        <f t="array" ref="A164">IF(OR(B164:L164=""), "", A163 + 1)</f>
        <v>44122</v>
      </c>
      <c r="B164" s="6">
        <f t="shared" ref="B164" si="513">U164 + G164</f>
        <v>1566.1563543001494</v>
      </c>
      <c r="C164" s="13">
        <f t="shared" ref="C164" si="514">B164/$A$1</f>
        <v>2.7476427268423673E-2</v>
      </c>
      <c r="D164" s="7">
        <f t="shared" ref="D164" si="515">B164/B163 - 1</f>
        <v>1.2408729743232705E-2</v>
      </c>
      <c r="E164" s="17">
        <f t="shared" ref="E164" si="516">IFERROR(LOG(D164/K164), FALSE)</f>
        <v>0.11800776877470123</v>
      </c>
      <c r="F164" s="6">
        <f t="shared" ref="F164" si="517">B164 - B163</f>
        <v>19.195815252488046</v>
      </c>
      <c r="G164" s="9" t="b">
        <f>FALSE</f>
        <v>0</v>
      </c>
      <c r="H164" s="9">
        <f t="shared" ref="H164" si="518">G164-G163</f>
        <v>0</v>
      </c>
      <c r="I164" s="6">
        <f t="shared" ref="I164:I172" si="519">(I$162^(11 - (ROW(I164) - 162))*I$173^(ROW(I164) - 162))^(1/11)</f>
        <v>22233.60349375644</v>
      </c>
      <c r="J164" s="6">
        <f t="shared" ref="J164" si="520">I164 - I163</f>
        <v>208.27728436124016</v>
      </c>
      <c r="K164" s="7">
        <f t="shared" ref="K164" si="521">I164/I163 - 1</f>
        <v>9.4562633207402325E-3</v>
      </c>
      <c r="L164" s="7">
        <f t="shared" ref="L164" si="522">(B164 - B163)/(I164 - I163)</f>
        <v>9.2164708750448521E-2</v>
      </c>
      <c r="U164" s="6">
        <f t="shared" ref="U164:U172" si="523">(U$162^(11 - (ROW(U164) - 162))*U$173^(ROW(U164) - 162))^(1/11)</f>
        <v>1566.1563543001494</v>
      </c>
    </row>
    <row r="165" spans="1:21" x14ac:dyDescent="0.3">
      <c r="A165" s="1" cm="1">
        <f t="array" ref="A165">IF(OR(B165:L165=""), "", A164 + 1)</f>
        <v>44123</v>
      </c>
      <c r="B165" s="6">
        <f t="shared" ref="B165" si="524">U165 + G165</f>
        <v>1585.5903652363079</v>
      </c>
      <c r="C165" s="13">
        <f t="shared" ref="C165" si="525">B165/$A$1</f>
        <v>2.7817374828707157E-2</v>
      </c>
      <c r="D165" s="7">
        <f t="shared" ref="D165" si="526">B165/B164 - 1</f>
        <v>1.2408729743233593E-2</v>
      </c>
      <c r="E165" s="17">
        <f t="shared" ref="E165" si="527">IFERROR(LOG(D165/K165), FALSE)</f>
        <v>0.11800776877481389</v>
      </c>
      <c r="F165" s="6">
        <f t="shared" ref="F165" si="528">B165 - B164</f>
        <v>19.434010936158529</v>
      </c>
      <c r="G165" s="9" t="b">
        <f>FALSE</f>
        <v>0</v>
      </c>
      <c r="H165" s="9">
        <f t="shared" ref="H165" si="529">G165-G164</f>
        <v>0</v>
      </c>
      <c r="I165" s="6">
        <f t="shared" si="519"/>
        <v>22443.850302962292</v>
      </c>
      <c r="J165" s="6">
        <f t="shared" ref="J165" si="530">I165 - I164</f>
        <v>210.2468092058516</v>
      </c>
      <c r="K165" s="7">
        <f t="shared" ref="K165" si="531">I165/I164 - 1</f>
        <v>9.4562633207384561E-3</v>
      </c>
      <c r="L165" s="7">
        <f t="shared" ref="L165" si="532">(B165 - B164)/(I165 - I164)</f>
        <v>9.2434272888920685E-2</v>
      </c>
      <c r="U165" s="6">
        <f t="shared" si="523"/>
        <v>1585.5903652363079</v>
      </c>
    </row>
    <row r="166" spans="1:21" x14ac:dyDescent="0.3">
      <c r="A166" s="1" cm="1">
        <f t="array" ref="A166">IF(OR(B166:L166=""), "", A165 + 1)</f>
        <v>44124</v>
      </c>
      <c r="B166" s="6">
        <f t="shared" ref="B166" si="533">U166 + G166</f>
        <v>1605.2655275619989</v>
      </c>
      <c r="C166" s="13">
        <f t="shared" ref="C166" si="534">B166/$A$1</f>
        <v>2.8162553115122786E-2</v>
      </c>
      <c r="D166" s="7">
        <f t="shared" ref="D166" si="535">B166/B165 - 1</f>
        <v>1.2408729743232705E-2</v>
      </c>
      <c r="E166" s="17">
        <f t="shared" ref="E166" si="536">IFERROR(LOG(D166/K166), FALSE)</f>
        <v>0.11800776877478281</v>
      </c>
      <c r="F166" s="6">
        <f t="shared" ref="F166" si="537">B166 - B165</f>
        <v>19.675162325690962</v>
      </c>
      <c r="G166" s="9" t="b">
        <f>FALSE</f>
        <v>0</v>
      </c>
      <c r="H166" s="9">
        <f t="shared" ref="H166" si="538">G166-G165</f>
        <v>0</v>
      </c>
      <c r="I166" s="6">
        <f t="shared" si="519"/>
        <v>22656.085261358337</v>
      </c>
      <c r="J166" s="6">
        <f t="shared" ref="J166" si="539">I166 - I165</f>
        <v>212.23495839604584</v>
      </c>
      <c r="K166" s="7">
        <f t="shared" ref="K166" si="540">I166/I165 - 1</f>
        <v>9.4562633207384561E-3</v>
      </c>
      <c r="L166" s="7">
        <f t="shared" ref="L166" si="541">(B166 - B165)/(I166 - I165)</f>
        <v>9.2704625450891462E-2</v>
      </c>
      <c r="U166" s="6">
        <f t="shared" si="523"/>
        <v>1605.2655275619989</v>
      </c>
    </row>
    <row r="167" spans="1:21" x14ac:dyDescent="0.3">
      <c r="A167" s="1" cm="1">
        <f t="array" ref="A167">IF(OR(B167:L167=""), "", A166 + 1)</f>
        <v>44125</v>
      </c>
      <c r="B167" s="6">
        <f t="shared" ref="B167:B223" si="542">U167 + G167</f>
        <v>1625.1848336596465</v>
      </c>
      <c r="C167" s="13">
        <f t="shared" ref="C167:C223" si="543">B167/$A$1</f>
        <v>2.8512014625607835E-2</v>
      </c>
      <c r="D167" s="7">
        <f t="shared" ref="D167:D223" si="544">B167/B166 - 1</f>
        <v>1.2408729743234481E-2</v>
      </c>
      <c r="E167" s="17">
        <f t="shared" ref="E167:E223" si="545">IFERROR(LOG(D167/K167), FALSE)</f>
        <v>0.11800776877476341</v>
      </c>
      <c r="F167" s="6">
        <f t="shared" ref="F167:F223" si="546">B167 - B166</f>
        <v>19.919306097647677</v>
      </c>
      <c r="G167" s="9" t="b">
        <f>FALSE</f>
        <v>0</v>
      </c>
      <c r="H167" s="9">
        <f t="shared" ref="H167:H223" si="547">G167-G166</f>
        <v>0</v>
      </c>
      <c r="I167" s="6">
        <f t="shared" si="519"/>
        <v>22870.327169406883</v>
      </c>
      <c r="J167" s="6">
        <f t="shared" ref="J167:J223" si="548">I167 - I166</f>
        <v>214.24190804854516</v>
      </c>
      <c r="K167" s="7">
        <f t="shared" ref="K167:K223" si="549">I167/I166 - 1</f>
        <v>9.4562633207402325E-3</v>
      </c>
      <c r="L167" s="7">
        <f t="shared" ref="L167:L223" si="550">(B167 - B166)/(I167 - I166)</f>
        <v>9.2975768742379547E-2</v>
      </c>
      <c r="U167" s="6">
        <f t="shared" si="523"/>
        <v>1625.1848336596465</v>
      </c>
    </row>
    <row r="168" spans="1:21" x14ac:dyDescent="0.3">
      <c r="A168" s="1" cm="1">
        <f t="array" ref="A168">IF(OR(B168:L168=""), "", A167 + 1)</f>
        <v>44126</v>
      </c>
      <c r="B168" s="6">
        <f t="shared" si="542"/>
        <v>1645.3513130433296</v>
      </c>
      <c r="C168" s="13">
        <f t="shared" si="543"/>
        <v>2.8865812509532098E-2</v>
      </c>
      <c r="D168" s="7">
        <f t="shared" si="544"/>
        <v>1.2408729743232705E-2</v>
      </c>
      <c r="E168" s="17">
        <f t="shared" si="545"/>
        <v>0.11800776877470123</v>
      </c>
      <c r="F168" s="6">
        <f t="shared" si="546"/>
        <v>20.166479383683054</v>
      </c>
      <c r="G168" s="9" t="b">
        <f>FALSE</f>
        <v>0</v>
      </c>
      <c r="H168" s="9">
        <f t="shared" si="547"/>
        <v>0</v>
      </c>
      <c r="I168" s="6">
        <f t="shared" si="519"/>
        <v>23086.595005352272</v>
      </c>
      <c r="J168" s="6">
        <f t="shared" si="548"/>
        <v>216.26783594538938</v>
      </c>
      <c r="K168" s="7">
        <f t="shared" si="549"/>
        <v>9.4562633207402325E-3</v>
      </c>
      <c r="L168" s="7">
        <f t="shared" si="550"/>
        <v>9.3247705076104651E-2</v>
      </c>
      <c r="U168" s="6">
        <f t="shared" si="523"/>
        <v>1645.3513130433296</v>
      </c>
    </row>
    <row r="169" spans="1:21" x14ac:dyDescent="0.3">
      <c r="A169" s="1" cm="1">
        <f t="array" ref="A169">IF(OR(B169:L169=""), "", A168 + 1)</f>
        <v>44127</v>
      </c>
      <c r="B169" s="6">
        <f t="shared" si="542"/>
        <v>1665.7680328195574</v>
      </c>
      <c r="C169" s="13">
        <f t="shared" si="543"/>
        <v>2.922400057578171E-2</v>
      </c>
      <c r="D169" s="7">
        <f t="shared" si="544"/>
        <v>1.2408729743232705E-2</v>
      </c>
      <c r="E169" s="17">
        <f t="shared" si="545"/>
        <v>0.11800776877487459</v>
      </c>
      <c r="F169" s="6">
        <f t="shared" si="546"/>
        <v>20.416719776227865</v>
      </c>
      <c r="G169" s="9" t="b">
        <f>FALSE</f>
        <v>0</v>
      </c>
      <c r="H169" s="9">
        <f t="shared" si="547"/>
        <v>0</v>
      </c>
      <c r="I169" s="6">
        <f t="shared" si="519"/>
        <v>23304.907926902084</v>
      </c>
      <c r="J169" s="6">
        <f t="shared" si="548"/>
        <v>218.31292154981202</v>
      </c>
      <c r="K169" s="7">
        <f t="shared" si="549"/>
        <v>9.4562633207364577E-3</v>
      </c>
      <c r="L169" s="7">
        <f t="shared" si="550"/>
        <v>9.3520436771624735E-2</v>
      </c>
      <c r="U169" s="6">
        <f t="shared" si="523"/>
        <v>1665.7680328195574</v>
      </c>
    </row>
    <row r="170" spans="1:21" x14ac:dyDescent="0.3">
      <c r="A170" s="1" cm="1">
        <f t="array" ref="A170">IF(OR(B170:L170=""), "", A169 + 1)</f>
        <v>44128</v>
      </c>
      <c r="B170" s="6">
        <f t="shared" si="542"/>
        <v>1686.4380981537331</v>
      </c>
      <c r="C170" s="13">
        <f t="shared" si="543"/>
        <v>2.9586633300942685E-2</v>
      </c>
      <c r="D170" s="7">
        <f t="shared" si="544"/>
        <v>1.2408729743233593E-2</v>
      </c>
      <c r="E170" s="17">
        <f t="shared" si="545"/>
        <v>0.11800776877473232</v>
      </c>
      <c r="F170" s="6">
        <f t="shared" si="546"/>
        <v>20.670065334175661</v>
      </c>
      <c r="G170" s="9" t="b">
        <f>FALSE</f>
        <v>0</v>
      </c>
      <c r="H170" s="9">
        <f t="shared" si="547"/>
        <v>0</v>
      </c>
      <c r="I170" s="6">
        <f t="shared" si="519"/>
        <v>23525.285272924477</v>
      </c>
      <c r="J170" s="6">
        <f t="shared" si="548"/>
        <v>220.37734602239289</v>
      </c>
      <c r="K170" s="7">
        <f t="shared" si="549"/>
        <v>9.4562633207402325E-3</v>
      </c>
      <c r="L170" s="7">
        <f t="shared" si="550"/>
        <v>9.3793966155102632E-2</v>
      </c>
      <c r="U170" s="6">
        <f t="shared" si="523"/>
        <v>1686.4380981537331</v>
      </c>
    </row>
    <row r="171" spans="1:21" x14ac:dyDescent="0.3">
      <c r="A171" s="1" cm="1">
        <f t="array" ref="A171">IF(OR(B171:L171=""), "", A170 + 1)</f>
        <v>44129</v>
      </c>
      <c r="B171" s="6">
        <f t="shared" si="542"/>
        <v>1707.3646527424141</v>
      </c>
      <c r="C171" s="13">
        <f t="shared" si="543"/>
        <v>2.9953765837586212E-2</v>
      </c>
      <c r="D171" s="7">
        <f t="shared" si="544"/>
        <v>1.2408729743232705E-2</v>
      </c>
      <c r="E171" s="17">
        <f t="shared" si="545"/>
        <v>0.11800776877479302</v>
      </c>
      <c r="F171" s="6">
        <f t="shared" si="546"/>
        <v>20.926554588681029</v>
      </c>
      <c r="G171" s="9" t="b">
        <f>FALSE</f>
        <v>0</v>
      </c>
      <c r="H171" s="9">
        <f t="shared" si="547"/>
        <v>0</v>
      </c>
      <c r="I171" s="6">
        <f t="shared" si="519"/>
        <v>23747.746565160738</v>
      </c>
      <c r="J171" s="6">
        <f t="shared" si="548"/>
        <v>222.46129223626122</v>
      </c>
      <c r="K171" s="7">
        <f t="shared" si="549"/>
        <v>9.4562633207382341E-3</v>
      </c>
      <c r="L171" s="7">
        <f t="shared" si="550"/>
        <v>9.4068295559734227E-2</v>
      </c>
      <c r="U171" s="6">
        <f t="shared" si="523"/>
        <v>1707.3646527424141</v>
      </c>
    </row>
    <row r="172" spans="1:21" x14ac:dyDescent="0.3">
      <c r="A172" s="1" cm="1">
        <f t="array" ref="A172">IF(OR(B172:L172=""), "", A171 + 1)</f>
        <v>44130</v>
      </c>
      <c r="B172" s="6">
        <f t="shared" si="542"/>
        <v>1728.5508792914447</v>
      </c>
      <c r="C172" s="13">
        <f t="shared" si="543"/>
        <v>3.0325454022656927E-2</v>
      </c>
      <c r="D172" s="7">
        <f t="shared" si="544"/>
        <v>1.2408729743233593E-2</v>
      </c>
      <c r="E172" s="17">
        <f t="shared" si="545"/>
        <v>0.11800776877473232</v>
      </c>
      <c r="F172" s="6">
        <f t="shared" si="546"/>
        <v>21.186226549030607</v>
      </c>
      <c r="G172" s="9" t="b">
        <f>FALSE</f>
        <v>0</v>
      </c>
      <c r="H172" s="9">
        <f t="shared" si="547"/>
        <v>0</v>
      </c>
      <c r="I172" s="6">
        <f t="shared" si="519"/>
        <v>23972.311509955103</v>
      </c>
      <c r="J172" s="6">
        <f t="shared" si="548"/>
        <v>224.56494479436515</v>
      </c>
      <c r="K172" s="7">
        <f t="shared" si="549"/>
        <v>9.4562633207402325E-3</v>
      </c>
      <c r="L172" s="7">
        <f t="shared" si="550"/>
        <v>9.4343427325359733E-2</v>
      </c>
      <c r="U172" s="6">
        <f t="shared" si="523"/>
        <v>1728.5508792914447</v>
      </c>
    </row>
    <row r="173" spans="1:21" x14ac:dyDescent="0.3">
      <c r="A173" s="1" cm="1">
        <f t="array" ref="A173">IF(OR(B173:L173=""), "", A172 + 1)</f>
        <v>44131</v>
      </c>
      <c r="B173" s="9">
        <f t="shared" si="542"/>
        <v>1750</v>
      </c>
      <c r="C173" s="14">
        <f t="shared" si="543"/>
        <v>3.0701754385964911E-2</v>
      </c>
      <c r="D173" s="7">
        <f t="shared" si="544"/>
        <v>1.2408729743232927E-2</v>
      </c>
      <c r="E173" s="17">
        <f t="shared" si="545"/>
        <v>0.11800776877481095</v>
      </c>
      <c r="F173" s="6">
        <f t="shared" si="546"/>
        <v>21.449120708555256</v>
      </c>
      <c r="G173" s="9" t="b">
        <f>FALSE</f>
        <v>0</v>
      </c>
      <c r="H173" s="9">
        <f t="shared" si="547"/>
        <v>0</v>
      </c>
      <c r="I173">
        <v>24199</v>
      </c>
      <c r="J173" s="6">
        <f t="shared" si="548"/>
        <v>226.68849004489675</v>
      </c>
      <c r="K173" s="7">
        <f t="shared" si="549"/>
        <v>9.456263320738012E-3</v>
      </c>
      <c r="L173" s="7">
        <f t="shared" si="550"/>
        <v>9.4619363798784634E-2</v>
      </c>
      <c r="U173">
        <v>1750</v>
      </c>
    </row>
    <row r="174" spans="1:21" x14ac:dyDescent="0.3">
      <c r="A174" s="1" cm="1">
        <f t="array" ref="A174">IF(OR(B174:L174=""), "", A173 + 1)</f>
        <v>44132</v>
      </c>
      <c r="B174" s="6">
        <f t="shared" si="542"/>
        <v>1777.5635773464448</v>
      </c>
      <c r="C174" s="13">
        <f t="shared" si="543"/>
        <v>3.1185325918358681E-2</v>
      </c>
      <c r="D174" s="7">
        <f t="shared" si="544"/>
        <v>1.5750615626539899E-2</v>
      </c>
      <c r="E174" s="17">
        <f t="shared" si="545"/>
        <v>0.18189458339717052</v>
      </c>
      <c r="F174" s="6">
        <f t="shared" si="546"/>
        <v>27.563577346444845</v>
      </c>
      <c r="G174" s="9" t="b">
        <f>FALSE</f>
        <v>0</v>
      </c>
      <c r="H174" s="9">
        <f t="shared" si="547"/>
        <v>0</v>
      </c>
      <c r="I174" s="6">
        <f>(I$173^(3 - (ROW(I174) - 173))*I$176^(ROW(I174) - 173))^(1/3)</f>
        <v>24449.726575736597</v>
      </c>
      <c r="J174" s="6">
        <f t="shared" si="548"/>
        <v>250.72657573659671</v>
      </c>
      <c r="K174" s="7">
        <f t="shared" si="549"/>
        <v>1.0361030444919095E-2</v>
      </c>
      <c r="L174" s="7">
        <f t="shared" si="550"/>
        <v>0.10993480553653807</v>
      </c>
      <c r="U174" s="6">
        <f>(U$173^(3 - (ROW(U174) - 173))*U$176^(ROW(U174) - 173))^(1/3)</f>
        <v>1777.5635773464448</v>
      </c>
    </row>
    <row r="175" spans="1:21" x14ac:dyDescent="0.3">
      <c r="A175" s="1" cm="1">
        <f t="array" ref="A175">IF(OR(B175:L175=""), "", A174 + 1)</f>
        <v>44133</v>
      </c>
      <c r="B175" s="6">
        <f t="shared" si="542"/>
        <v>1805.5612980049666</v>
      </c>
      <c r="C175" s="13">
        <f t="shared" si="543"/>
        <v>3.1676514000087135E-2</v>
      </c>
      <c r="D175" s="7">
        <f t="shared" si="544"/>
        <v>1.5750615626540343E-2</v>
      </c>
      <c r="E175" s="17">
        <f t="shared" si="545"/>
        <v>0.18189458339727588</v>
      </c>
      <c r="F175" s="6">
        <f t="shared" si="546"/>
        <v>27.997720658521757</v>
      </c>
      <c r="G175" s="9" t="b">
        <f>FALSE</f>
        <v>0</v>
      </c>
      <c r="H175" s="9">
        <f t="shared" si="547"/>
        <v>0</v>
      </c>
      <c r="I175" s="6">
        <f>(I$173^(3 - (ROW(I175) - 173))*I$176^(ROW(I175) - 173))^(1/3)</f>
        <v>24703.050937157699</v>
      </c>
      <c r="J175" s="6">
        <f t="shared" si="548"/>
        <v>253.32436142110237</v>
      </c>
      <c r="K175" s="7">
        <f t="shared" si="549"/>
        <v>1.0361030444916874E-2</v>
      </c>
      <c r="L175" s="7">
        <f t="shared" si="550"/>
        <v>0.11052123254731512</v>
      </c>
      <c r="U175" s="6">
        <f>(U$173^(3 - (ROW(U175) - 173))*U$176^(ROW(U175) - 173))^(1/3)</f>
        <v>1805.5612980049666</v>
      </c>
    </row>
    <row r="176" spans="1:21" x14ac:dyDescent="0.3">
      <c r="A176" s="1" cm="1">
        <f t="array" ref="A176">IF(OR(B176:L176=""), "", A175 + 1)</f>
        <v>44134</v>
      </c>
      <c r="B176" s="9">
        <f t="shared" si="542"/>
        <v>1834</v>
      </c>
      <c r="C176" s="14">
        <f t="shared" si="543"/>
        <v>3.2175438596491225E-2</v>
      </c>
      <c r="D176" s="7">
        <f t="shared" si="544"/>
        <v>1.5750615626540343E-2</v>
      </c>
      <c r="E176" s="17">
        <f t="shared" si="545"/>
        <v>0.18189458339714554</v>
      </c>
      <c r="F176" s="6">
        <f t="shared" si="546"/>
        <v>28.438701995033398</v>
      </c>
      <c r="G176" s="9" t="b">
        <f>FALSE</f>
        <v>0</v>
      </c>
      <c r="H176" s="9">
        <f t="shared" si="547"/>
        <v>0</v>
      </c>
      <c r="I176">
        <v>24959</v>
      </c>
      <c r="J176" s="6">
        <f t="shared" si="548"/>
        <v>255.94906284230092</v>
      </c>
      <c r="K176" s="7">
        <f t="shared" si="549"/>
        <v>1.0361030444919983E-2</v>
      </c>
      <c r="L176" s="7">
        <f t="shared" si="550"/>
        <v>0.11111078774512047</v>
      </c>
      <c r="U176">
        <v>1834</v>
      </c>
    </row>
    <row r="177" spans="1:21" x14ac:dyDescent="0.3">
      <c r="A177" s="1" cm="1">
        <f t="array" ref="A177">IF(OR(B177:L177=""), "", A176 + 1)</f>
        <v>44135</v>
      </c>
      <c r="B177" s="6">
        <f t="shared" si="542"/>
        <v>1859.8182706920588</v>
      </c>
      <c r="C177" s="13">
        <f t="shared" si="543"/>
        <v>3.2628390713895769E-2</v>
      </c>
      <c r="D177" s="7">
        <f t="shared" si="544"/>
        <v>1.4077573986945868E-2</v>
      </c>
      <c r="E177" s="17">
        <f t="shared" si="545"/>
        <v>9.1856095617658229E-2</v>
      </c>
      <c r="F177" s="6">
        <f t="shared" si="546"/>
        <v>25.818270692058832</v>
      </c>
      <c r="G177" s="9" t="b">
        <f>FALSE</f>
        <v>0</v>
      </c>
      <c r="H177" s="9">
        <f t="shared" si="547"/>
        <v>0</v>
      </c>
      <c r="I177" s="6">
        <f>SQRT(I176*I178)</f>
        <v>25243.379904442274</v>
      </c>
      <c r="J177" s="6">
        <f t="shared" si="548"/>
        <v>284.37990444227398</v>
      </c>
      <c r="K177" s="7">
        <f t="shared" si="549"/>
        <v>1.139388214440773E-2</v>
      </c>
      <c r="L177" s="7">
        <f t="shared" si="550"/>
        <v>9.0787957548173592E-2</v>
      </c>
      <c r="U177" s="6">
        <f>SQRT(U176*U178)</f>
        <v>1859.8182706920588</v>
      </c>
    </row>
    <row r="178" spans="1:21" x14ac:dyDescent="0.3">
      <c r="A178" s="1" cm="1">
        <f t="array" ref="A178">IF(OR(B178:L178=""), "", A177 + 1)</f>
        <v>44136</v>
      </c>
      <c r="B178" s="9">
        <f t="shared" si="542"/>
        <v>1886</v>
      </c>
      <c r="C178" s="14">
        <f t="shared" si="543"/>
        <v>3.3087719298245617E-2</v>
      </c>
      <c r="D178" s="7">
        <f t="shared" si="544"/>
        <v>1.4077573986945868E-2</v>
      </c>
      <c r="E178" s="17">
        <f t="shared" si="545"/>
        <v>9.1856095617658229E-2</v>
      </c>
      <c r="F178" s="6">
        <f t="shared" si="546"/>
        <v>26.181729307941168</v>
      </c>
      <c r="G178" s="9" t="b">
        <f>FALSE</f>
        <v>0</v>
      </c>
      <c r="H178" s="9">
        <f t="shared" si="547"/>
        <v>0</v>
      </c>
      <c r="I178">
        <v>25531</v>
      </c>
      <c r="J178" s="6">
        <f t="shared" si="548"/>
        <v>287.62009555772602</v>
      </c>
      <c r="K178" s="7">
        <f t="shared" si="549"/>
        <v>1.139388214440773E-2</v>
      </c>
      <c r="L178" s="7">
        <f t="shared" si="550"/>
        <v>9.1028859639212645E-2</v>
      </c>
      <c r="U178">
        <v>1886</v>
      </c>
    </row>
    <row r="179" spans="1:21" x14ac:dyDescent="0.3">
      <c r="A179" s="1" cm="1">
        <f t="array" ref="A179">IF(OR(B179:L179=""), "", A178 + 1)</f>
        <v>44137</v>
      </c>
      <c r="B179" s="6">
        <f t="shared" si="542"/>
        <v>1913.5942954711584</v>
      </c>
      <c r="C179" s="13">
        <f t="shared" si="543"/>
        <v>3.3571829745108042E-2</v>
      </c>
      <c r="D179" s="7">
        <f t="shared" si="544"/>
        <v>1.4631121670815705E-2</v>
      </c>
      <c r="E179" s="17">
        <f t="shared" si="545"/>
        <v>0.21950980650613047</v>
      </c>
      <c r="F179" s="6">
        <f t="shared" si="546"/>
        <v>27.594295471158375</v>
      </c>
      <c r="G179" s="9" t="b">
        <f>FALSE</f>
        <v>0</v>
      </c>
      <c r="H179" s="9">
        <f t="shared" si="547"/>
        <v>0</v>
      </c>
      <c r="I179" s="6">
        <f>(I$178^(3 - (ROW(I179) - 178))*I$181^(ROW(I179) - 178))^(1/3)</f>
        <v>25756.338625531462</v>
      </c>
      <c r="J179" s="6">
        <f t="shared" si="548"/>
        <v>225.33862553146173</v>
      </c>
      <c r="K179" s="7">
        <f t="shared" si="549"/>
        <v>8.826079101150075E-3</v>
      </c>
      <c r="L179" s="7">
        <f t="shared" si="550"/>
        <v>0.12245701510816071</v>
      </c>
      <c r="U179" s="6">
        <f>(U$178^(3 - (ROW(U179) - 178))*U$181^(ROW(U179) - 178))^(1/3)</f>
        <v>1913.5942954711584</v>
      </c>
    </row>
    <row r="180" spans="1:21" x14ac:dyDescent="0.3">
      <c r="A180" s="1" cm="1">
        <f t="array" ref="A180">IF(OR(B180:L180=""), "", A179 + 1)</f>
        <v>44138</v>
      </c>
      <c r="B180" s="6">
        <f t="shared" si="542"/>
        <v>1941.5923264367786</v>
      </c>
      <c r="C180" s="13">
        <f t="shared" si="543"/>
        <v>3.4063023270820676E-2</v>
      </c>
      <c r="D180" s="7">
        <f t="shared" si="544"/>
        <v>1.463112167081726E-2</v>
      </c>
      <c r="E180" s="17">
        <f t="shared" si="545"/>
        <v>0.21950980650606736</v>
      </c>
      <c r="F180" s="6">
        <f t="shared" si="546"/>
        <v>27.998030965620273</v>
      </c>
      <c r="G180" s="9" t="b">
        <f>FALSE</f>
        <v>0</v>
      </c>
      <c r="H180" s="9">
        <f t="shared" si="547"/>
        <v>0</v>
      </c>
      <c r="I180" s="6">
        <f>(I$178^(3 - (ROW(I180) - 178))*I$181^(ROW(I180) - 178))^(1/3)</f>
        <v>25983.666107596466</v>
      </c>
      <c r="J180" s="6">
        <f t="shared" si="548"/>
        <v>227.32748206500401</v>
      </c>
      <c r="K180" s="7">
        <f t="shared" si="549"/>
        <v>8.8260791011522954E-3</v>
      </c>
      <c r="L180" s="7">
        <f t="shared" si="550"/>
        <v>0.12316166400688093</v>
      </c>
      <c r="U180" s="6">
        <f>(U$178^(3 - (ROW(U180) - 178))*U$181^(ROW(U180) - 178))^(1/3)</f>
        <v>1941.5923264367786</v>
      </c>
    </row>
    <row r="181" spans="1:21" x14ac:dyDescent="0.3">
      <c r="A181" s="1" cm="1">
        <f t="array" ref="A181">IF(OR(B181:L181=""), "", A180 + 1)</f>
        <v>44139</v>
      </c>
      <c r="B181" s="9">
        <f t="shared" si="542"/>
        <v>1970</v>
      </c>
      <c r="C181" s="14">
        <f t="shared" si="543"/>
        <v>3.4561403508771932E-2</v>
      </c>
      <c r="D181" s="7">
        <f t="shared" si="544"/>
        <v>1.4631121670817038E-2</v>
      </c>
      <c r="E181" s="17">
        <f t="shared" si="545"/>
        <v>0.21950980650613727</v>
      </c>
      <c r="F181" s="6">
        <f t="shared" si="546"/>
        <v>28.407673563221351</v>
      </c>
      <c r="G181" s="9" t="b">
        <f>FALSE</f>
        <v>0</v>
      </c>
      <c r="H181" s="9">
        <f t="shared" si="547"/>
        <v>0</v>
      </c>
      <c r="I181">
        <v>26213</v>
      </c>
      <c r="J181" s="6">
        <f t="shared" si="548"/>
        <v>229.33389240353426</v>
      </c>
      <c r="K181" s="7">
        <f t="shared" si="549"/>
        <v>8.8260791011507411E-3</v>
      </c>
      <c r="L181" s="7">
        <f t="shared" si="550"/>
        <v>0.12387036763513094</v>
      </c>
      <c r="U181">
        <v>1970</v>
      </c>
    </row>
    <row r="182" spans="1:21" x14ac:dyDescent="0.3">
      <c r="A182" s="1" cm="1">
        <f t="array" ref="A182">IF(OR(B182:L182=""), "", A181 + 1)</f>
        <v>44140</v>
      </c>
      <c r="B182" s="9">
        <f t="shared" si="542"/>
        <v>2014</v>
      </c>
      <c r="C182" s="14">
        <f t="shared" si="543"/>
        <v>3.5333333333333335E-2</v>
      </c>
      <c r="D182" s="8">
        <f t="shared" si="544"/>
        <v>2.2335025380710638E-2</v>
      </c>
      <c r="E182" s="18">
        <f t="shared" si="545"/>
        <v>0.39643531555754058</v>
      </c>
      <c r="F182" s="9">
        <f t="shared" si="546"/>
        <v>44</v>
      </c>
      <c r="G182" s="9" t="b">
        <f>FALSE</f>
        <v>0</v>
      </c>
      <c r="H182" s="9">
        <f t="shared" si="547"/>
        <v>0</v>
      </c>
      <c r="I182">
        <v>26448</v>
      </c>
      <c r="J182" s="9">
        <f t="shared" si="548"/>
        <v>235</v>
      </c>
      <c r="K182" s="8">
        <f t="shared" si="549"/>
        <v>8.9650173577995318E-3</v>
      </c>
      <c r="L182" s="8">
        <f t="shared" si="550"/>
        <v>0.18723404255319148</v>
      </c>
      <c r="U182">
        <v>2014</v>
      </c>
    </row>
    <row r="183" spans="1:21" x14ac:dyDescent="0.3">
      <c r="A183" s="1" cm="1">
        <f t="array" ref="A183">IF(OR(B183:L183=""), "", A182 + 1)</f>
        <v>44141</v>
      </c>
      <c r="B183" s="6">
        <f t="shared" si="542"/>
        <v>2058.5081977004611</v>
      </c>
      <c r="C183" s="13">
        <f t="shared" si="543"/>
        <v>3.6114178907025632E-2</v>
      </c>
      <c r="D183" s="7">
        <f t="shared" si="544"/>
        <v>2.2099403029027354E-2</v>
      </c>
      <c r="E183" s="17">
        <f t="shared" si="545"/>
        <v>0.34732093371736616</v>
      </c>
      <c r="F183" s="6">
        <f t="shared" si="546"/>
        <v>44.508197700461096</v>
      </c>
      <c r="G183" s="9" t="b">
        <f>FALSE</f>
        <v>0</v>
      </c>
      <c r="H183" s="9">
        <f t="shared" si="547"/>
        <v>0</v>
      </c>
      <c r="I183" s="6">
        <f>SQRT(I182*I184)</f>
        <v>26710.695385931082</v>
      </c>
      <c r="J183" s="6">
        <f t="shared" si="548"/>
        <v>262.69538593108155</v>
      </c>
      <c r="K183" s="7">
        <f t="shared" si="549"/>
        <v>9.9325236664806749E-3</v>
      </c>
      <c r="L183" s="7">
        <f t="shared" si="550"/>
        <v>0.16942892827260345</v>
      </c>
      <c r="U183" s="6">
        <f>SQRT(U182*U184)</f>
        <v>2058.5081977004611</v>
      </c>
    </row>
    <row r="184" spans="1:21" x14ac:dyDescent="0.3">
      <c r="A184" s="1" cm="1">
        <f t="array" ref="A184">IF(OR(B184:L184=""), "", A183 + 1)</f>
        <v>44142</v>
      </c>
      <c r="B184" s="9">
        <f t="shared" si="542"/>
        <v>2104</v>
      </c>
      <c r="C184" s="14">
        <f t="shared" si="543"/>
        <v>3.6912280701754389E-2</v>
      </c>
      <c r="D184" s="7">
        <f t="shared" si="544"/>
        <v>2.2099403029027131E-2</v>
      </c>
      <c r="E184" s="17">
        <f t="shared" si="545"/>
        <v>0.34732093371736183</v>
      </c>
      <c r="F184" s="6">
        <f t="shared" si="546"/>
        <v>45.491802299538904</v>
      </c>
      <c r="G184" s="9" t="b">
        <f>FALSE</f>
        <v>0</v>
      </c>
      <c r="H184" s="9">
        <f t="shared" si="547"/>
        <v>0</v>
      </c>
      <c r="I184">
        <v>26976</v>
      </c>
      <c r="J184" s="6">
        <f t="shared" si="548"/>
        <v>265.30461406891845</v>
      </c>
      <c r="K184" s="7">
        <f t="shared" si="549"/>
        <v>9.9325236664806749E-3</v>
      </c>
      <c r="L184" s="7">
        <f t="shared" si="550"/>
        <v>0.17147007585673368</v>
      </c>
      <c r="U184">
        <v>2104</v>
      </c>
    </row>
    <row r="185" spans="1:21" x14ac:dyDescent="0.3">
      <c r="A185" s="1" cm="1">
        <f t="array" ref="A185">IF(OR(B185:L185=""), "", A184 + 1)</f>
        <v>44143</v>
      </c>
      <c r="B185" s="9">
        <f t="shared" si="542"/>
        <v>2148</v>
      </c>
      <c r="C185" s="14">
        <f t="shared" si="543"/>
        <v>3.7684210526315792E-2</v>
      </c>
      <c r="D185" s="8">
        <f t="shared" si="544"/>
        <v>2.0912547528517011E-2</v>
      </c>
      <c r="E185" s="18">
        <f t="shared" si="545"/>
        <v>0.21609037390636493</v>
      </c>
      <c r="F185" s="9">
        <f t="shared" si="546"/>
        <v>44</v>
      </c>
      <c r="G185" s="9" t="b">
        <f>FALSE</f>
        <v>0</v>
      </c>
      <c r="H185" s="9">
        <f t="shared" si="547"/>
        <v>0</v>
      </c>
      <c r="I185">
        <v>27319</v>
      </c>
      <c r="J185" s="9">
        <f t="shared" si="548"/>
        <v>343</v>
      </c>
      <c r="K185" s="8">
        <f t="shared" si="549"/>
        <v>1.2715005931198009E-2</v>
      </c>
      <c r="L185" s="8">
        <f t="shared" si="550"/>
        <v>0.1282798833819242</v>
      </c>
      <c r="U185">
        <v>2148</v>
      </c>
    </row>
    <row r="186" spans="1:21" x14ac:dyDescent="0.3">
      <c r="A186" s="1" cm="1">
        <f t="array" ref="A186">IF(OR(B186:L186=""), "", A185 + 1)</f>
        <v>44144</v>
      </c>
      <c r="B186" s="9">
        <f t="shared" si="542"/>
        <v>2182</v>
      </c>
      <c r="C186" s="14">
        <f t="shared" si="543"/>
        <v>3.8280701754385964E-2</v>
      </c>
      <c r="D186" s="8">
        <f t="shared" si="544"/>
        <v>1.5828677839851091E-2</v>
      </c>
      <c r="E186" s="18">
        <f t="shared" si="545"/>
        <v>0.31369014342243995</v>
      </c>
      <c r="F186" s="9">
        <f t="shared" si="546"/>
        <v>34</v>
      </c>
      <c r="G186" s="9" t="b">
        <f>FALSE</f>
        <v>0</v>
      </c>
      <c r="H186" s="9">
        <f t="shared" si="547"/>
        <v>0</v>
      </c>
      <c r="I186">
        <v>27529</v>
      </c>
      <c r="J186" s="9">
        <f t="shared" si="548"/>
        <v>210</v>
      </c>
      <c r="K186" s="8">
        <f t="shared" si="549"/>
        <v>7.6869577949412182E-3</v>
      </c>
      <c r="L186" s="8">
        <f t="shared" si="550"/>
        <v>0.16190476190476191</v>
      </c>
      <c r="U186">
        <v>2182</v>
      </c>
    </row>
    <row r="187" spans="1:21" x14ac:dyDescent="0.3">
      <c r="A187" s="1" cm="1">
        <f t="array" ref="A187">IF(OR(B187:L187=""), "", A186 + 1)</f>
        <v>44145</v>
      </c>
      <c r="B187" s="9">
        <f t="shared" si="542"/>
        <v>2230</v>
      </c>
      <c r="C187" s="14">
        <f t="shared" si="543"/>
        <v>3.9122807017543858E-2</v>
      </c>
      <c r="D187" s="8">
        <f t="shared" si="544"/>
        <v>2.1998166819431786E-2</v>
      </c>
      <c r="E187" s="18">
        <f t="shared" si="545"/>
        <v>0.3622211784231395</v>
      </c>
      <c r="F187" s="9">
        <f t="shared" si="546"/>
        <v>48</v>
      </c>
      <c r="G187" s="9" t="b">
        <f>FALSE</f>
        <v>0</v>
      </c>
      <c r="H187" s="9">
        <f t="shared" si="547"/>
        <v>0</v>
      </c>
      <c r="I187">
        <v>27792</v>
      </c>
      <c r="J187" s="9">
        <f t="shared" si="548"/>
        <v>263</v>
      </c>
      <c r="K187" s="8">
        <f t="shared" si="549"/>
        <v>9.5535616985724658E-3</v>
      </c>
      <c r="L187" s="8">
        <f t="shared" si="550"/>
        <v>0.18250950570342206</v>
      </c>
      <c r="U187">
        <v>2230</v>
      </c>
    </row>
    <row r="188" spans="1:21" x14ac:dyDescent="0.3">
      <c r="A188" s="1" cm="1">
        <f t="array" ref="A188">IF(OR(B188:L188=""), "", A187 + 1)</f>
        <v>44146</v>
      </c>
      <c r="B188" s="9">
        <f t="shared" si="542"/>
        <v>2269</v>
      </c>
      <c r="C188" s="14">
        <f t="shared" si="543"/>
        <v>3.9807017543859652E-2</v>
      </c>
      <c r="D188" s="8">
        <f t="shared" si="544"/>
        <v>1.7488789237668056E-2</v>
      </c>
      <c r="E188" s="18">
        <f t="shared" si="545"/>
        <v>0.23797322517627895</v>
      </c>
      <c r="F188" s="9">
        <f t="shared" si="546"/>
        <v>39</v>
      </c>
      <c r="G188" s="9" t="b">
        <f>FALSE</f>
        <v>0</v>
      </c>
      <c r="H188" s="9">
        <f t="shared" si="547"/>
        <v>0</v>
      </c>
      <c r="I188">
        <v>28073</v>
      </c>
      <c r="J188" s="9">
        <f t="shared" si="548"/>
        <v>281</v>
      </c>
      <c r="K188" s="8">
        <f t="shared" si="549"/>
        <v>1.0110823258491664E-2</v>
      </c>
      <c r="L188" s="8">
        <f t="shared" si="550"/>
        <v>0.13879003558718861</v>
      </c>
      <c r="U188">
        <v>2269</v>
      </c>
    </row>
    <row r="189" spans="1:21" x14ac:dyDescent="0.3">
      <c r="A189" s="1" cm="1">
        <f t="array" ref="A189">IF(OR(B189:L189=""), "", A188 + 1)</f>
        <v>44147</v>
      </c>
      <c r="B189" s="9">
        <f t="shared" si="542"/>
        <v>2326</v>
      </c>
      <c r="C189" s="14">
        <f t="shared" si="543"/>
        <v>4.0807017543859646E-2</v>
      </c>
      <c r="D189" s="8">
        <f t="shared" si="544"/>
        <v>2.5121198765976294E-2</v>
      </c>
      <c r="E189" s="18">
        <f t="shared" si="545"/>
        <v>0.42019439142589099</v>
      </c>
      <c r="F189" s="9">
        <f t="shared" si="546"/>
        <v>57</v>
      </c>
      <c r="G189" s="9" t="b">
        <f>FALSE</f>
        <v>0</v>
      </c>
      <c r="H189" s="9">
        <f t="shared" si="547"/>
        <v>0</v>
      </c>
      <c r="I189">
        <v>28341</v>
      </c>
      <c r="J189" s="9">
        <f t="shared" si="548"/>
        <v>268</v>
      </c>
      <c r="K189" s="8">
        <f t="shared" si="549"/>
        <v>9.5465393794749165E-3</v>
      </c>
      <c r="L189" s="8">
        <f t="shared" si="550"/>
        <v>0.21268656716417911</v>
      </c>
      <c r="U189">
        <v>2326</v>
      </c>
    </row>
    <row r="190" spans="1:21" x14ac:dyDescent="0.3">
      <c r="A190" s="1" cm="1">
        <f t="array" ref="A190">IF(OR(B190:L190=""), "", A189 + 1)</f>
        <v>44148</v>
      </c>
      <c r="B190" s="9">
        <f t="shared" si="542"/>
        <v>2387</v>
      </c>
      <c r="C190" s="14">
        <f t="shared" si="543"/>
        <v>4.1877192982456138E-2</v>
      </c>
      <c r="D190" s="8">
        <f t="shared" si="544"/>
        <v>2.6225279449699102E-2</v>
      </c>
      <c r="E190" s="18">
        <f t="shared" si="545"/>
        <v>0.39691903061795508</v>
      </c>
      <c r="F190" s="9">
        <f t="shared" si="546"/>
        <v>61</v>
      </c>
      <c r="G190" s="9" t="b">
        <f>FALSE</f>
        <v>0</v>
      </c>
      <c r="H190" s="9">
        <f t="shared" si="547"/>
        <v>0</v>
      </c>
      <c r="I190">
        <v>28639</v>
      </c>
      <c r="J190" s="9">
        <f t="shared" si="548"/>
        <v>298</v>
      </c>
      <c r="K190" s="8">
        <f t="shared" si="549"/>
        <v>1.0514801877139046E-2</v>
      </c>
      <c r="L190" s="8">
        <f t="shared" si="550"/>
        <v>0.20469798657718122</v>
      </c>
      <c r="U190">
        <v>2387</v>
      </c>
    </row>
    <row r="191" spans="1:21" x14ac:dyDescent="0.3">
      <c r="A191" s="1" cm="1">
        <f t="array" ref="A191">IF(OR(B191:L191=""), "", A190 + 1)</f>
        <v>44149</v>
      </c>
      <c r="B191" s="9">
        <f t="shared" si="542"/>
        <v>2432</v>
      </c>
      <c r="C191" s="14">
        <f t="shared" si="543"/>
        <v>4.2666666666666665E-2</v>
      </c>
      <c r="D191" s="8">
        <f t="shared" si="544"/>
        <v>1.8852115626309285E-2</v>
      </c>
      <c r="E191" s="18">
        <f t="shared" si="545"/>
        <v>0.23538829615297718</v>
      </c>
      <c r="F191" s="9">
        <f t="shared" si="546"/>
        <v>45</v>
      </c>
      <c r="G191" s="9" t="b">
        <f>FALSE</f>
        <v>0</v>
      </c>
      <c r="H191" s="9">
        <f t="shared" si="547"/>
        <v>0</v>
      </c>
      <c r="I191">
        <v>28953</v>
      </c>
      <c r="J191" s="9">
        <f t="shared" si="548"/>
        <v>314</v>
      </c>
      <c r="K191" s="8">
        <f t="shared" si="549"/>
        <v>1.0964069974510382E-2</v>
      </c>
      <c r="L191" s="8">
        <f t="shared" si="550"/>
        <v>0.14331210191082802</v>
      </c>
      <c r="U191">
        <v>2432</v>
      </c>
    </row>
    <row r="192" spans="1:21" x14ac:dyDescent="0.3">
      <c r="A192" s="1" cm="1">
        <f t="array" ref="A192">IF(OR(B192:L192=""), "", A191 + 1)</f>
        <v>44150</v>
      </c>
      <c r="B192" s="9">
        <f t="shared" si="542"/>
        <v>2486</v>
      </c>
      <c r="C192" s="14">
        <f t="shared" si="543"/>
        <v>4.3614035087719299E-2</v>
      </c>
      <c r="D192" s="8">
        <f t="shared" si="544"/>
        <v>2.2203947368421018E-2</v>
      </c>
      <c r="E192" s="18">
        <f t="shared" si="545"/>
        <v>0.23992203549657193</v>
      </c>
      <c r="F192" s="9">
        <f t="shared" si="546"/>
        <v>54</v>
      </c>
      <c r="G192" s="9" t="b">
        <f>FALSE</f>
        <v>0</v>
      </c>
      <c r="H192" s="9">
        <f t="shared" si="547"/>
        <v>0</v>
      </c>
      <c r="I192">
        <v>29323</v>
      </c>
      <c r="J192" s="9">
        <f t="shared" si="548"/>
        <v>370</v>
      </c>
      <c r="K192" s="8">
        <f t="shared" si="549"/>
        <v>1.2779332020861345E-2</v>
      </c>
      <c r="L192" s="8">
        <f t="shared" si="550"/>
        <v>0.14594594594594595</v>
      </c>
      <c r="U192">
        <v>2486</v>
      </c>
    </row>
    <row r="193" spans="1:21" x14ac:dyDescent="0.3">
      <c r="A193" s="1" cm="1">
        <f t="array" ref="A193">IF(OR(B193:L193=""), "", A192 + 1)</f>
        <v>44151</v>
      </c>
      <c r="B193" s="9">
        <f t="shared" si="542"/>
        <v>2524</v>
      </c>
      <c r="C193" s="14">
        <f t="shared" si="543"/>
        <v>4.4280701754385962E-2</v>
      </c>
      <c r="D193" s="8">
        <f t="shared" si="544"/>
        <v>1.528559935639584E-2</v>
      </c>
      <c r="E193" s="18">
        <f t="shared" si="545"/>
        <v>0.2822750152765206</v>
      </c>
      <c r="F193" s="9">
        <f t="shared" si="546"/>
        <v>38</v>
      </c>
      <c r="G193" s="9" t="b">
        <f>FALSE</f>
        <v>0</v>
      </c>
      <c r="H193" s="9">
        <f t="shared" si="547"/>
        <v>0</v>
      </c>
      <c r="I193">
        <v>29557</v>
      </c>
      <c r="J193" s="9">
        <f t="shared" si="548"/>
        <v>234</v>
      </c>
      <c r="K193" s="8">
        <f t="shared" si="549"/>
        <v>7.9800838931896045E-3</v>
      </c>
      <c r="L193" s="8">
        <f t="shared" si="550"/>
        <v>0.1623931623931624</v>
      </c>
      <c r="U193">
        <v>2524</v>
      </c>
    </row>
    <row r="194" spans="1:21" x14ac:dyDescent="0.3">
      <c r="A194" s="1" cm="1">
        <f t="array" ref="A194">IF(OR(B194:L194=""), "", A193 + 1)</f>
        <v>44152</v>
      </c>
      <c r="B194" s="9">
        <f t="shared" si="542"/>
        <v>2576</v>
      </c>
      <c r="C194" s="14">
        <f t="shared" si="543"/>
        <v>4.5192982456140354E-2</v>
      </c>
      <c r="D194" s="8">
        <f t="shared" si="544"/>
        <v>2.0602218700475516E-2</v>
      </c>
      <c r="E194" s="18">
        <f t="shared" si="545"/>
        <v>0.44413022981398259</v>
      </c>
      <c r="F194" s="9">
        <f t="shared" si="546"/>
        <v>52</v>
      </c>
      <c r="G194" s="9" t="b">
        <f>FALSE</f>
        <v>0</v>
      </c>
      <c r="H194" s="9">
        <f t="shared" si="547"/>
        <v>0</v>
      </c>
      <c r="I194">
        <v>29776</v>
      </c>
      <c r="J194" s="9">
        <f t="shared" si="548"/>
        <v>219</v>
      </c>
      <c r="K194" s="8">
        <f t="shared" si="549"/>
        <v>7.4094123219541341E-3</v>
      </c>
      <c r="L194" s="8">
        <f t="shared" si="550"/>
        <v>0.23744292237442921</v>
      </c>
      <c r="U194">
        <v>2576</v>
      </c>
    </row>
    <row r="195" spans="1:21" x14ac:dyDescent="0.3">
      <c r="A195" s="1" cm="1">
        <f t="array" ref="A195">IF(OR(B195:L195=""), "", A194 + 1)</f>
        <v>44153</v>
      </c>
      <c r="B195" s="9">
        <f t="shared" si="542"/>
        <v>2592</v>
      </c>
      <c r="C195" s="14">
        <f t="shared" si="543"/>
        <v>4.5473684210526319E-2</v>
      </c>
      <c r="D195" s="8">
        <f t="shared" si="544"/>
        <v>6.2111801242235032E-3</v>
      </c>
      <c r="E195" s="18">
        <f t="shared" si="545"/>
        <v>-0.24081539194099341</v>
      </c>
      <c r="F195" s="9">
        <f t="shared" si="546"/>
        <v>16</v>
      </c>
      <c r="G195" s="9" t="b">
        <f>FALSE</f>
        <v>0</v>
      </c>
      <c r="H195" s="9">
        <f t="shared" si="547"/>
        <v>0</v>
      </c>
      <c r="I195">
        <v>30098</v>
      </c>
      <c r="J195" s="9">
        <f t="shared" si="548"/>
        <v>322</v>
      </c>
      <c r="K195" s="8">
        <f t="shared" si="549"/>
        <v>1.0814078452444864E-2</v>
      </c>
      <c r="L195" s="8">
        <f t="shared" si="550"/>
        <v>4.9689440993788817E-2</v>
      </c>
      <c r="U195">
        <v>2592</v>
      </c>
    </row>
    <row r="196" spans="1:21" x14ac:dyDescent="0.3">
      <c r="A196" s="1" cm="1">
        <f t="array" ref="A196">IF(OR(B196:L196=""), "", A195 + 1)</f>
        <v>44154</v>
      </c>
      <c r="B196" s="9">
        <f t="shared" si="542"/>
        <v>2660</v>
      </c>
      <c r="C196" s="14">
        <f t="shared" si="543"/>
        <v>4.6666666666666669E-2</v>
      </c>
      <c r="D196" s="8">
        <f t="shared" si="544"/>
        <v>2.6234567901234573E-2</v>
      </c>
      <c r="E196" s="18">
        <f t="shared" si="545"/>
        <v>0.31648657769095651</v>
      </c>
      <c r="F196" s="9">
        <f t="shared" si="546"/>
        <v>68</v>
      </c>
      <c r="G196" s="9" t="b">
        <f>FALSE</f>
        <v>0</v>
      </c>
      <c r="H196" s="9">
        <f t="shared" si="547"/>
        <v>0</v>
      </c>
      <c r="I196">
        <v>30479</v>
      </c>
      <c r="J196" s="9">
        <f t="shared" si="548"/>
        <v>381</v>
      </c>
      <c r="K196" s="8">
        <f t="shared" si="549"/>
        <v>1.2658648415177165E-2</v>
      </c>
      <c r="L196" s="8">
        <f t="shared" si="550"/>
        <v>0.17847769028871391</v>
      </c>
      <c r="U196">
        <v>2660</v>
      </c>
    </row>
    <row r="197" spans="1:21" x14ac:dyDescent="0.3">
      <c r="A197" s="1" cm="1">
        <f t="array" ref="A197">IF(OR(B197:L197=""), "", A196 + 1)</f>
        <v>44155</v>
      </c>
      <c r="B197" s="9">
        <f t="shared" si="542"/>
        <v>2706</v>
      </c>
      <c r="C197" s="14">
        <f t="shared" si="543"/>
        <v>4.7473684210526314E-2</v>
      </c>
      <c r="D197" s="8">
        <f t="shared" si="544"/>
        <v>1.7293233082706694E-2</v>
      </c>
      <c r="E197" s="18">
        <f t="shared" si="545"/>
        <v>0.19683210194085829</v>
      </c>
      <c r="F197" s="9">
        <f t="shared" si="546"/>
        <v>46</v>
      </c>
      <c r="G197" s="9" t="b">
        <f>FALSE</f>
        <v>0</v>
      </c>
      <c r="H197" s="9">
        <f t="shared" si="547"/>
        <v>0</v>
      </c>
      <c r="I197">
        <v>30814</v>
      </c>
      <c r="J197" s="9">
        <f t="shared" si="548"/>
        <v>335</v>
      </c>
      <c r="K197" s="8">
        <f t="shared" si="549"/>
        <v>1.0991174251123725E-2</v>
      </c>
      <c r="L197" s="8">
        <f t="shared" si="550"/>
        <v>0.1373134328358209</v>
      </c>
      <c r="U197">
        <v>2706</v>
      </c>
    </row>
    <row r="198" spans="1:21" x14ac:dyDescent="0.3">
      <c r="A198" s="1" cm="1">
        <f t="array" ref="A198">IF(OR(B198:L198=""), "", A197 + 1)</f>
        <v>44156</v>
      </c>
      <c r="B198" s="9">
        <f t="shared" si="542"/>
        <v>2743</v>
      </c>
      <c r="C198" s="14">
        <f t="shared" si="543"/>
        <v>4.8122807017543859E-2</v>
      </c>
      <c r="D198" s="8">
        <f t="shared" si="544"/>
        <v>1.3673318551367331E-2</v>
      </c>
      <c r="E198" s="18">
        <f t="shared" si="545"/>
        <v>4.2558647125268349E-2</v>
      </c>
      <c r="F198" s="9">
        <f t="shared" si="546"/>
        <v>37</v>
      </c>
      <c r="G198" s="9" t="b">
        <f>FALSE</f>
        <v>0</v>
      </c>
      <c r="H198" s="9">
        <f t="shared" si="547"/>
        <v>0</v>
      </c>
      <c r="I198">
        <v>31196</v>
      </c>
      <c r="J198" s="9">
        <f t="shared" si="548"/>
        <v>382</v>
      </c>
      <c r="K198" s="8">
        <f t="shared" si="549"/>
        <v>1.2396962419679358E-2</v>
      </c>
      <c r="L198" s="8">
        <f t="shared" si="550"/>
        <v>9.6858638743455502E-2</v>
      </c>
      <c r="U198">
        <v>2743</v>
      </c>
    </row>
    <row r="199" spans="1:21" x14ac:dyDescent="0.3">
      <c r="A199" s="1" cm="1">
        <f t="array" ref="A199">IF(OR(B199:L199=""), "", A198 + 1)</f>
        <v>44157</v>
      </c>
      <c r="B199" s="9">
        <f t="shared" si="542"/>
        <v>2770</v>
      </c>
      <c r="C199" s="14">
        <f t="shared" si="543"/>
        <v>4.8596491228070172E-2</v>
      </c>
      <c r="D199" s="8">
        <f t="shared" si="544"/>
        <v>9.843237331389032E-3</v>
      </c>
      <c r="E199" s="18">
        <f t="shared" si="545"/>
        <v>5.7484588221305664E-2</v>
      </c>
      <c r="F199" s="9">
        <f t="shared" si="546"/>
        <v>27</v>
      </c>
      <c r="G199" s="9" t="b">
        <f>FALSE</f>
        <v>0</v>
      </c>
      <c r="H199" s="9">
        <f t="shared" si="547"/>
        <v>0</v>
      </c>
      <c r="I199">
        <v>31465</v>
      </c>
      <c r="J199" s="9">
        <f t="shared" si="548"/>
        <v>269</v>
      </c>
      <c r="K199" s="8">
        <f t="shared" si="549"/>
        <v>8.6229003718425457E-3</v>
      </c>
      <c r="L199" s="8">
        <f t="shared" si="550"/>
        <v>0.10037174721189591</v>
      </c>
      <c r="U199">
        <v>2770</v>
      </c>
    </row>
    <row r="200" spans="1:21" x14ac:dyDescent="0.3">
      <c r="A200" s="1" cm="1">
        <f t="array" ref="A200">IF(OR(B200:L200=""), "", A199 + 1)</f>
        <v>44158</v>
      </c>
      <c r="B200" s="9">
        <f t="shared" si="542"/>
        <v>2798</v>
      </c>
      <c r="C200" s="14">
        <f t="shared" si="543"/>
        <v>4.9087719298245611E-2</v>
      </c>
      <c r="D200" s="8">
        <f t="shared" si="544"/>
        <v>1.0108303249097395E-2</v>
      </c>
      <c r="E200" s="18">
        <f t="shared" si="545"/>
        <v>8.9206234280025457E-2</v>
      </c>
      <c r="F200" s="9">
        <f t="shared" si="546"/>
        <v>28</v>
      </c>
      <c r="G200" s="9" t="b">
        <f>FALSE</f>
        <v>0</v>
      </c>
      <c r="H200" s="9">
        <f t="shared" si="547"/>
        <v>0</v>
      </c>
      <c r="I200">
        <v>31724</v>
      </c>
      <c r="J200" s="9">
        <f t="shared" si="548"/>
        <v>259</v>
      </c>
      <c r="K200" s="8">
        <f t="shared" si="549"/>
        <v>8.2313681868741995E-3</v>
      </c>
      <c r="L200" s="8">
        <f t="shared" si="550"/>
        <v>0.10810810810810811</v>
      </c>
      <c r="U200">
        <v>2798</v>
      </c>
    </row>
    <row r="201" spans="1:21" x14ac:dyDescent="0.3">
      <c r="A201" s="1" cm="1">
        <f t="array" ref="A201">IF(OR(B201:L201=""), "", A200 + 1)</f>
        <v>44159</v>
      </c>
      <c r="B201" s="9">
        <f t="shared" si="542"/>
        <v>2817</v>
      </c>
      <c r="C201" s="14">
        <f t="shared" si="543"/>
        <v>4.9421052631578949E-2</v>
      </c>
      <c r="D201" s="8">
        <f t="shared" si="544"/>
        <v>6.7905646890635829E-3</v>
      </c>
      <c r="E201" s="18">
        <f t="shared" si="545"/>
        <v>1.5230497039871761E-2</v>
      </c>
      <c r="F201" s="9">
        <f t="shared" si="546"/>
        <v>19</v>
      </c>
      <c r="G201" s="9" t="b">
        <f>FALSE</f>
        <v>0</v>
      </c>
      <c r="H201" s="9">
        <f t="shared" si="547"/>
        <v>0</v>
      </c>
      <c r="I201">
        <v>31932</v>
      </c>
      <c r="J201" s="9">
        <f t="shared" si="548"/>
        <v>208</v>
      </c>
      <c r="K201" s="8">
        <f t="shared" si="549"/>
        <v>6.5565502458706515E-3</v>
      </c>
      <c r="L201" s="8">
        <f t="shared" si="550"/>
        <v>9.1346153846153841E-2</v>
      </c>
      <c r="U201">
        <v>2817</v>
      </c>
    </row>
    <row r="202" spans="1:21" x14ac:dyDescent="0.3">
      <c r="A202" s="1" cm="1">
        <f t="array" ref="A202">IF(OR(B202:L202=""), "", A201 + 1)</f>
        <v>44160</v>
      </c>
      <c r="B202" s="9">
        <f t="shared" si="542"/>
        <v>2884</v>
      </c>
      <c r="C202" s="14">
        <f t="shared" si="543"/>
        <v>5.0596491228070174E-2</v>
      </c>
      <c r="D202" s="8">
        <f t="shared" si="544"/>
        <v>2.3784167554135704E-2</v>
      </c>
      <c r="E202" s="18">
        <f t="shared" si="545"/>
        <v>0.23411035009099651</v>
      </c>
      <c r="F202" s="9">
        <f t="shared" si="546"/>
        <v>67</v>
      </c>
      <c r="G202" s="9" t="b">
        <f>FALSE</f>
        <v>0</v>
      </c>
      <c r="H202" s="9">
        <f t="shared" si="547"/>
        <v>0</v>
      </c>
      <c r="I202">
        <v>32375</v>
      </c>
      <c r="J202" s="9">
        <f t="shared" si="548"/>
        <v>443</v>
      </c>
      <c r="K202" s="8">
        <f t="shared" si="549"/>
        <v>1.3873230615057075E-2</v>
      </c>
      <c r="L202" s="8">
        <f t="shared" si="550"/>
        <v>0.15124153498871332</v>
      </c>
      <c r="U202">
        <v>2884</v>
      </c>
    </row>
    <row r="203" spans="1:21" x14ac:dyDescent="0.3">
      <c r="A203" s="1" cm="1">
        <f t="array" ref="A203">IF(OR(B203:L203=""), "", A202 + 1)</f>
        <v>44161</v>
      </c>
      <c r="B203" s="9">
        <f t="shared" si="542"/>
        <v>2925</v>
      </c>
      <c r="C203" s="14">
        <f t="shared" si="543"/>
        <v>5.131578947368421E-2</v>
      </c>
      <c r="D203" s="8">
        <f t="shared" si="544"/>
        <v>1.4216366158113836E-2</v>
      </c>
      <c r="E203" s="18">
        <f t="shared" si="545"/>
        <v>0.17023798873482071</v>
      </c>
      <c r="F203" s="9">
        <f t="shared" si="546"/>
        <v>41</v>
      </c>
      <c r="G203" s="9" t="b">
        <f>FALSE</f>
        <v>0</v>
      </c>
      <c r="H203" s="9">
        <f t="shared" si="547"/>
        <v>0</v>
      </c>
      <c r="I203">
        <v>32686</v>
      </c>
      <c r="J203" s="9">
        <f t="shared" si="548"/>
        <v>311</v>
      </c>
      <c r="K203" s="8">
        <f t="shared" si="549"/>
        <v>9.6061776061775461E-3</v>
      </c>
      <c r="L203" s="8">
        <f t="shared" si="550"/>
        <v>0.13183279742765272</v>
      </c>
      <c r="U203">
        <v>2925</v>
      </c>
    </row>
    <row r="204" spans="1:21" x14ac:dyDescent="0.3">
      <c r="A204" s="1" cm="1">
        <f t="array" ref="A204">IF(OR(B204:L204=""), "", A203 + 1)</f>
        <v>44162</v>
      </c>
      <c r="B204" s="9">
        <f t="shared" si="542"/>
        <v>2937</v>
      </c>
      <c r="C204" s="14">
        <f t="shared" si="543"/>
        <v>5.1526315789473684E-2</v>
      </c>
      <c r="D204" s="8">
        <f t="shared" si="544"/>
        <v>4.1025641025640436E-3</v>
      </c>
      <c r="E204" s="18">
        <f t="shared" si="545"/>
        <v>-0.30874549504075854</v>
      </c>
      <c r="F204" s="9">
        <f t="shared" si="546"/>
        <v>12</v>
      </c>
      <c r="G204" s="9" t="b">
        <f>FALSE</f>
        <v>0</v>
      </c>
      <c r="H204" s="9">
        <f t="shared" si="547"/>
        <v>0</v>
      </c>
      <c r="I204">
        <v>32959</v>
      </c>
      <c r="J204" s="9">
        <f t="shared" si="548"/>
        <v>273</v>
      </c>
      <c r="K204" s="8">
        <f t="shared" si="549"/>
        <v>8.3521997185338481E-3</v>
      </c>
      <c r="L204" s="8">
        <f t="shared" si="550"/>
        <v>4.3956043956043959E-2</v>
      </c>
      <c r="U204">
        <v>2937</v>
      </c>
    </row>
    <row r="205" spans="1:21" x14ac:dyDescent="0.3">
      <c r="A205" s="1" cm="1">
        <f t="array" ref="A205">IF(OR(B205:L205=""), "", A204 + 1)</f>
        <v>44163</v>
      </c>
      <c r="B205" s="9">
        <f t="shared" si="542"/>
        <v>2957</v>
      </c>
      <c r="C205" s="14">
        <f t="shared" si="543"/>
        <v>5.187719298245614E-2</v>
      </c>
      <c r="D205" s="8">
        <f t="shared" si="544"/>
        <v>6.8096697310180421E-3</v>
      </c>
      <c r="E205" s="18">
        <f t="shared" si="545"/>
        <v>0.12321337094244633</v>
      </c>
      <c r="F205" s="9">
        <f t="shared" si="546"/>
        <v>20</v>
      </c>
      <c r="G205" s="9" t="b">
        <f>FALSE</f>
        <v>0</v>
      </c>
      <c r="H205" s="9">
        <f t="shared" si="547"/>
        <v>0</v>
      </c>
      <c r="I205">
        <v>33128</v>
      </c>
      <c r="J205" s="9">
        <f t="shared" si="548"/>
        <v>169</v>
      </c>
      <c r="K205" s="8">
        <f t="shared" si="549"/>
        <v>5.127582754331117E-3</v>
      </c>
      <c r="L205" s="8">
        <f t="shared" si="550"/>
        <v>0.11834319526627218</v>
      </c>
      <c r="U205">
        <v>2957</v>
      </c>
    </row>
    <row r="206" spans="1:21" x14ac:dyDescent="0.3">
      <c r="A206" s="1" cm="1">
        <f t="array" ref="A206">IF(OR(B206:L206=""), "", A205 + 1)</f>
        <v>44164</v>
      </c>
      <c r="B206" s="9">
        <f t="shared" si="542"/>
        <v>2980</v>
      </c>
      <c r="C206" s="14">
        <f t="shared" si="543"/>
        <v>5.2280701754385962E-2</v>
      </c>
      <c r="D206" s="8">
        <f t="shared" si="544"/>
        <v>7.7781535339871422E-3</v>
      </c>
      <c r="E206" s="18">
        <f t="shared" si="545"/>
        <v>0.15579922388249007</v>
      </c>
      <c r="F206" s="9">
        <f t="shared" si="546"/>
        <v>23</v>
      </c>
      <c r="G206" s="9" t="b">
        <f>FALSE</f>
        <v>0</v>
      </c>
      <c r="H206" s="9">
        <f t="shared" si="547"/>
        <v>0</v>
      </c>
      <c r="I206">
        <v>33308</v>
      </c>
      <c r="J206" s="9">
        <f t="shared" si="548"/>
        <v>180</v>
      </c>
      <c r="K206" s="8">
        <f t="shared" si="549"/>
        <v>5.4334701762859261E-3</v>
      </c>
      <c r="L206" s="8">
        <f t="shared" si="550"/>
        <v>0.12777777777777777</v>
      </c>
      <c r="U206">
        <v>2980</v>
      </c>
    </row>
    <row r="207" spans="1:21" x14ac:dyDescent="0.3">
      <c r="A207" s="1" cm="1">
        <f t="array" ref="A207">IF(OR(B207:L207=""), "", A206 + 1)</f>
        <v>44165</v>
      </c>
      <c r="B207" s="9">
        <f t="shared" si="542"/>
        <v>3008</v>
      </c>
      <c r="C207" s="14">
        <f t="shared" si="543"/>
        <v>5.27719298245614E-2</v>
      </c>
      <c r="D207" s="8">
        <f t="shared" si="544"/>
        <v>9.3959731543624692E-3</v>
      </c>
      <c r="E207" s="18">
        <f t="shared" si="545"/>
        <v>0.13946446605910237</v>
      </c>
      <c r="F207" s="9">
        <f t="shared" si="546"/>
        <v>28</v>
      </c>
      <c r="G207" s="9" t="b">
        <f>FALSE</f>
        <v>0</v>
      </c>
      <c r="H207" s="9">
        <f t="shared" si="547"/>
        <v>0</v>
      </c>
      <c r="I207">
        <v>33535</v>
      </c>
      <c r="J207" s="9">
        <f t="shared" si="548"/>
        <v>227</v>
      </c>
      <c r="K207" s="8">
        <f t="shared" si="549"/>
        <v>6.8151795364477241E-3</v>
      </c>
      <c r="L207" s="8">
        <f t="shared" si="550"/>
        <v>0.12334801762114538</v>
      </c>
      <c r="U207">
        <v>3008</v>
      </c>
    </row>
    <row r="208" spans="1:21" x14ac:dyDescent="0.3">
      <c r="A208" s="1" cm="1">
        <f t="array" ref="A208">IF(OR(B208:L208=""), "", A207 + 1)</f>
        <v>44166</v>
      </c>
      <c r="B208" s="9">
        <f t="shared" si="542"/>
        <v>3056</v>
      </c>
      <c r="C208" s="14">
        <f t="shared" si="543"/>
        <v>5.3614035087719301E-2</v>
      </c>
      <c r="D208" s="8">
        <f t="shared" si="544"/>
        <v>1.5957446808510634E-2</v>
      </c>
      <c r="E208" s="18">
        <f t="shared" si="545"/>
        <v>0.27361685612414061</v>
      </c>
      <c r="F208" s="9">
        <f t="shared" si="546"/>
        <v>48</v>
      </c>
      <c r="G208" s="9" t="b">
        <f>FALSE</f>
        <v>0</v>
      </c>
      <c r="H208" s="9">
        <f t="shared" si="547"/>
        <v>0</v>
      </c>
      <c r="I208">
        <v>33820</v>
      </c>
      <c r="J208" s="9">
        <f t="shared" si="548"/>
        <v>285</v>
      </c>
      <c r="K208" s="8">
        <f t="shared" si="549"/>
        <v>8.4985835694051381E-3</v>
      </c>
      <c r="L208" s="8">
        <f t="shared" si="550"/>
        <v>0.16842105263157894</v>
      </c>
      <c r="U208">
        <v>3056</v>
      </c>
    </row>
    <row r="209" spans="1:21" x14ac:dyDescent="0.3">
      <c r="A209" s="1" cm="1">
        <f t="array" ref="A209">IF(OR(B209:L209=""), "", A208 + 1)</f>
        <v>44167</v>
      </c>
      <c r="B209" s="9">
        <f t="shared" si="542"/>
        <v>3094</v>
      </c>
      <c r="C209" s="14">
        <f t="shared" si="543"/>
        <v>5.4280701754385964E-2</v>
      </c>
      <c r="D209" s="8">
        <f t="shared" si="544"/>
        <v>1.2434554973822065E-2</v>
      </c>
      <c r="E209" s="18">
        <f t="shared" si="545"/>
        <v>0.19083455910047642</v>
      </c>
      <c r="F209" s="9">
        <f t="shared" si="546"/>
        <v>38</v>
      </c>
      <c r="G209" s="9" t="b">
        <f>FALSE</f>
        <v>0</v>
      </c>
      <c r="H209" s="9">
        <f t="shared" si="547"/>
        <v>0</v>
      </c>
      <c r="I209">
        <v>34091</v>
      </c>
      <c r="J209" s="9">
        <f t="shared" si="548"/>
        <v>271</v>
      </c>
      <c r="K209" s="8">
        <f t="shared" si="549"/>
        <v>8.0130100532229687E-3</v>
      </c>
      <c r="L209" s="8">
        <f t="shared" si="550"/>
        <v>0.14022140221402213</v>
      </c>
      <c r="U209">
        <v>3094</v>
      </c>
    </row>
    <row r="210" spans="1:21" x14ac:dyDescent="0.3">
      <c r="A210" s="1" cm="1">
        <f t="array" ref="A210">IF(OR(B210:L210=""), "", A209 + 1)</f>
        <v>44168</v>
      </c>
      <c r="B210" s="9">
        <f t="shared" si="542"/>
        <v>3143</v>
      </c>
      <c r="C210" s="14">
        <f t="shared" si="543"/>
        <v>5.5140350877192983E-2</v>
      </c>
      <c r="D210" s="8">
        <f t="shared" si="544"/>
        <v>1.5837104072398134E-2</v>
      </c>
      <c r="E210" s="18">
        <f t="shared" si="545"/>
        <v>0.14572820667997308</v>
      </c>
      <c r="F210" s="9">
        <f t="shared" si="546"/>
        <v>49</v>
      </c>
      <c r="G210" s="9" t="b">
        <f>FALSE</f>
        <v>0</v>
      </c>
      <c r="H210" s="9">
        <f t="shared" si="547"/>
        <v>0</v>
      </c>
      <c r="I210">
        <v>34477</v>
      </c>
      <c r="J210" s="9">
        <f t="shared" si="548"/>
        <v>386</v>
      </c>
      <c r="K210" s="8">
        <f t="shared" si="549"/>
        <v>1.1322636472969494E-2</v>
      </c>
      <c r="L210" s="8">
        <f t="shared" si="550"/>
        <v>0.12694300518134716</v>
      </c>
      <c r="U210">
        <v>3143</v>
      </c>
    </row>
    <row r="211" spans="1:21" x14ac:dyDescent="0.3">
      <c r="A211" s="1" cm="1">
        <f t="array" ref="A211">IF(OR(B211:L211=""), "", A210 + 1)</f>
        <v>44169</v>
      </c>
      <c r="B211" s="9">
        <f t="shared" si="542"/>
        <v>3178</v>
      </c>
      <c r="C211" s="14">
        <f t="shared" si="543"/>
        <v>5.5754385964912279E-2</v>
      </c>
      <c r="D211" s="8">
        <f t="shared" si="544"/>
        <v>1.1135857461024523E-2</v>
      </c>
      <c r="E211" s="18">
        <f t="shared" si="545"/>
        <v>8.046244914138663E-2</v>
      </c>
      <c r="F211" s="9">
        <f t="shared" si="546"/>
        <v>35</v>
      </c>
      <c r="G211" s="9" t="b">
        <f>FALSE</f>
        <v>0</v>
      </c>
      <c r="H211" s="9">
        <f t="shared" si="547"/>
        <v>0</v>
      </c>
      <c r="I211">
        <v>34796</v>
      </c>
      <c r="J211" s="9">
        <f t="shared" si="548"/>
        <v>319</v>
      </c>
      <c r="K211" s="8">
        <f t="shared" si="549"/>
        <v>9.2525451750442578E-3</v>
      </c>
      <c r="L211" s="8">
        <f t="shared" si="550"/>
        <v>0.109717868338558</v>
      </c>
      <c r="U211">
        <v>3178</v>
      </c>
    </row>
    <row r="212" spans="1:21" x14ac:dyDescent="0.3">
      <c r="A212" s="1" cm="1">
        <f t="array" ref="A212">IF(OR(B212:L212=""), "", A211 + 1)</f>
        <v>44170</v>
      </c>
      <c r="B212" s="9">
        <f t="shared" si="542"/>
        <v>3210</v>
      </c>
      <c r="C212" s="14">
        <f t="shared" si="543"/>
        <v>5.6315789473684208E-2</v>
      </c>
      <c r="D212" s="8">
        <f t="shared" si="544"/>
        <v>1.0069225928256875E-2</v>
      </c>
      <c r="E212" s="18">
        <f t="shared" si="545"/>
        <v>3.3980397413429717E-2</v>
      </c>
      <c r="F212" s="9">
        <f t="shared" si="546"/>
        <v>32</v>
      </c>
      <c r="G212" s="9" t="b">
        <f>FALSE</f>
        <v>0</v>
      </c>
      <c r="H212" s="9">
        <f t="shared" si="547"/>
        <v>0</v>
      </c>
      <c r="I212">
        <v>35120</v>
      </c>
      <c r="J212" s="9">
        <f t="shared" si="548"/>
        <v>324</v>
      </c>
      <c r="K212" s="8">
        <f t="shared" si="549"/>
        <v>9.3114151051845173E-3</v>
      </c>
      <c r="L212" s="8">
        <f t="shared" si="550"/>
        <v>9.8765432098765427E-2</v>
      </c>
      <c r="U212">
        <v>3210</v>
      </c>
    </row>
    <row r="213" spans="1:21" x14ac:dyDescent="0.3">
      <c r="A213" s="1" cm="1">
        <f t="array" ref="A213">IF(OR(B213:L213=""), "", A212 + 1)</f>
        <v>44171</v>
      </c>
      <c r="B213" s="9">
        <f t="shared" si="542"/>
        <v>3243</v>
      </c>
      <c r="C213" s="14">
        <f t="shared" si="543"/>
        <v>5.6894736842105262E-2</v>
      </c>
      <c r="D213" s="8">
        <f t="shared" si="544"/>
        <v>1.0280373831775602E-2</v>
      </c>
      <c r="E213" s="18">
        <f t="shared" si="545"/>
        <v>0.17554637213220972</v>
      </c>
      <c r="F213" s="9">
        <f t="shared" si="546"/>
        <v>33</v>
      </c>
      <c r="G213" s="9" t="b">
        <f>FALSE</f>
        <v>0</v>
      </c>
      <c r="H213" s="9">
        <f t="shared" si="547"/>
        <v>0</v>
      </c>
      <c r="I213">
        <v>35361</v>
      </c>
      <c r="J213" s="9">
        <f t="shared" si="548"/>
        <v>241</v>
      </c>
      <c r="K213" s="8">
        <f t="shared" si="549"/>
        <v>6.862186788154867E-3</v>
      </c>
      <c r="L213" s="8">
        <f t="shared" si="550"/>
        <v>0.13692946058091288</v>
      </c>
      <c r="U213">
        <v>3243</v>
      </c>
    </row>
    <row r="214" spans="1:21" x14ac:dyDescent="0.3">
      <c r="A214" s="1" cm="1">
        <f t="array" ref="A214">IF(OR(B214:L214=""), "", A213 + 1)</f>
        <v>44172</v>
      </c>
      <c r="B214" s="9">
        <f t="shared" si="542"/>
        <v>3278</v>
      </c>
      <c r="C214" s="14">
        <f t="shared" si="543"/>
        <v>5.7508771929824565E-2</v>
      </c>
      <c r="D214" s="8">
        <f t="shared" si="544"/>
        <v>1.0792476102374327E-2</v>
      </c>
      <c r="E214" s="18">
        <f t="shared" si="545"/>
        <v>0.17852511275260882</v>
      </c>
      <c r="F214" s="9">
        <f t="shared" si="546"/>
        <v>35</v>
      </c>
      <c r="G214" s="9" t="b">
        <f>FALSE</f>
        <v>0</v>
      </c>
      <c r="H214" s="9">
        <f t="shared" si="547"/>
        <v>0</v>
      </c>
      <c r="I214">
        <v>35614</v>
      </c>
      <c r="J214" s="9">
        <f t="shared" si="548"/>
        <v>253</v>
      </c>
      <c r="K214" s="8">
        <f t="shared" si="549"/>
        <v>7.1547750346427907E-3</v>
      </c>
      <c r="L214" s="8">
        <f t="shared" si="550"/>
        <v>0.13833992094861661</v>
      </c>
      <c r="U214">
        <v>3278</v>
      </c>
    </row>
    <row r="215" spans="1:21" x14ac:dyDescent="0.3">
      <c r="A215" s="1" cm="1">
        <f t="array" ref="A215">IF(OR(B215:L215=""), "", A214 + 1)</f>
        <v>44173</v>
      </c>
      <c r="B215" s="9">
        <f t="shared" si="542"/>
        <v>3295</v>
      </c>
      <c r="C215" s="14">
        <f t="shared" si="543"/>
        <v>5.7807017543859647E-2</v>
      </c>
      <c r="D215" s="8">
        <f t="shared" si="544"/>
        <v>5.1860890787065461E-3</v>
      </c>
      <c r="E215" s="18">
        <f t="shared" si="545"/>
        <v>-0.12092909983075781</v>
      </c>
      <c r="F215" s="9">
        <f t="shared" si="546"/>
        <v>17</v>
      </c>
      <c r="G215" s="9" t="b">
        <f>FALSE</f>
        <v>0</v>
      </c>
      <c r="H215" s="9">
        <f t="shared" si="547"/>
        <v>0</v>
      </c>
      <c r="I215">
        <v>35858</v>
      </c>
      <c r="J215" s="9">
        <f t="shared" si="548"/>
        <v>244</v>
      </c>
      <c r="K215" s="8">
        <f t="shared" si="549"/>
        <v>6.8512382770820057E-3</v>
      </c>
      <c r="L215" s="8">
        <f t="shared" si="550"/>
        <v>6.9672131147540978E-2</v>
      </c>
      <c r="U215">
        <v>3295</v>
      </c>
    </row>
    <row r="216" spans="1:21" x14ac:dyDescent="0.3">
      <c r="A216" s="1" cm="1">
        <f t="array" ref="A216">IF(OR(B216:L216=""), "", A215 + 1)</f>
        <v>44174</v>
      </c>
      <c r="B216" s="9">
        <f t="shared" si="542"/>
        <v>3323</v>
      </c>
      <c r="C216" s="14">
        <f t="shared" si="543"/>
        <v>5.8298245614035085E-2</v>
      </c>
      <c r="D216" s="8">
        <f t="shared" si="544"/>
        <v>8.4977238239756225E-3</v>
      </c>
      <c r="E216" s="18">
        <f t="shared" si="545"/>
        <v>0.10007330931585844</v>
      </c>
      <c r="F216" s="9">
        <f t="shared" si="546"/>
        <v>28</v>
      </c>
      <c r="G216" s="9" t="b">
        <f>FALSE</f>
        <v>0</v>
      </c>
      <c r="H216" s="9">
        <f t="shared" si="547"/>
        <v>0</v>
      </c>
      <c r="I216">
        <v>36100</v>
      </c>
      <c r="J216" s="9">
        <f t="shared" si="548"/>
        <v>242</v>
      </c>
      <c r="K216" s="8">
        <f t="shared" si="549"/>
        <v>6.7488426571475912E-3</v>
      </c>
      <c r="L216" s="8">
        <f t="shared" si="550"/>
        <v>0.11570247933884298</v>
      </c>
      <c r="U216">
        <v>3323</v>
      </c>
    </row>
    <row r="217" spans="1:21" x14ac:dyDescent="0.3">
      <c r="A217" s="1" cm="1">
        <f t="array" ref="A217">IF(OR(B217:L217=""), "", A216 + 1)</f>
        <v>44175</v>
      </c>
      <c r="B217" s="9">
        <f t="shared" si="542"/>
        <v>3370</v>
      </c>
      <c r="C217" s="14">
        <f t="shared" si="543"/>
        <v>5.9122807017543862E-2</v>
      </c>
      <c r="D217" s="8">
        <f t="shared" si="544"/>
        <v>1.4143845922359288E-2</v>
      </c>
      <c r="E217" s="18">
        <f t="shared" si="545"/>
        <v>0.28482884462585262</v>
      </c>
      <c r="F217" s="9">
        <f t="shared" si="546"/>
        <v>47</v>
      </c>
      <c r="G217" s="9" t="b">
        <f>FALSE</f>
        <v>0</v>
      </c>
      <c r="H217" s="9">
        <f t="shared" si="547"/>
        <v>0</v>
      </c>
      <c r="I217">
        <v>36365</v>
      </c>
      <c r="J217" s="9">
        <f t="shared" si="548"/>
        <v>265</v>
      </c>
      <c r="K217" s="8">
        <f t="shared" si="549"/>
        <v>7.3407202216067002E-3</v>
      </c>
      <c r="L217" s="8">
        <f t="shared" si="550"/>
        <v>0.17735849056603772</v>
      </c>
      <c r="U217">
        <v>3370</v>
      </c>
    </row>
    <row r="218" spans="1:21" x14ac:dyDescent="0.3">
      <c r="A218" s="1" cm="1">
        <f t="array" ref="A218">IF(OR(B218:L218=""), "", A217 + 1)</f>
        <v>44176</v>
      </c>
      <c r="B218" s="9">
        <f t="shared" si="542"/>
        <v>3404</v>
      </c>
      <c r="C218" s="14">
        <f t="shared" si="543"/>
        <v>5.9719298245614033E-2</v>
      </c>
      <c r="D218" s="8">
        <f t="shared" si="544"/>
        <v>1.0089020771513413E-2</v>
      </c>
      <c r="E218" s="18">
        <f t="shared" si="545"/>
        <v>0.11737457673615445</v>
      </c>
      <c r="F218" s="9">
        <f t="shared" si="546"/>
        <v>34</v>
      </c>
      <c r="G218" s="9" t="b">
        <f>FALSE</f>
        <v>0</v>
      </c>
      <c r="H218" s="9">
        <f t="shared" si="547"/>
        <v>0</v>
      </c>
      <c r="I218">
        <v>36645</v>
      </c>
      <c r="J218" s="9">
        <f t="shared" si="548"/>
        <v>280</v>
      </c>
      <c r="K218" s="8">
        <f t="shared" si="549"/>
        <v>7.6997112608276908E-3</v>
      </c>
      <c r="L218" s="8">
        <f t="shared" si="550"/>
        <v>0.12142857142857143</v>
      </c>
      <c r="U218">
        <v>3404</v>
      </c>
    </row>
    <row r="219" spans="1:21" x14ac:dyDescent="0.3">
      <c r="A219" s="1" cm="1">
        <f t="array" ref="A219">IF(OR(B219:L219=""), "", A218 + 1)</f>
        <v>44177</v>
      </c>
      <c r="B219" s="9">
        <f t="shared" si="542"/>
        <v>3451</v>
      </c>
      <c r="C219" s="14">
        <f t="shared" si="543"/>
        <v>6.054385964912281E-2</v>
      </c>
      <c r="D219" s="8">
        <f t="shared" si="544"/>
        <v>1.3807285546415971E-2</v>
      </c>
      <c r="E219" s="18">
        <f t="shared" si="545"/>
        <v>0.179078225515444</v>
      </c>
      <c r="F219" s="9">
        <f t="shared" si="546"/>
        <v>47</v>
      </c>
      <c r="G219" s="9" t="b">
        <f>FALSE</f>
        <v>0</v>
      </c>
      <c r="H219" s="9">
        <f t="shared" si="547"/>
        <v>0</v>
      </c>
      <c r="I219">
        <v>36980</v>
      </c>
      <c r="J219" s="9">
        <f t="shared" si="548"/>
        <v>335</v>
      </c>
      <c r="K219" s="8">
        <f t="shared" si="549"/>
        <v>9.1417655887569005E-3</v>
      </c>
      <c r="L219" s="8">
        <f t="shared" si="550"/>
        <v>0.14029850746268657</v>
      </c>
      <c r="U219">
        <v>3451</v>
      </c>
    </row>
    <row r="220" spans="1:21" x14ac:dyDescent="0.3">
      <c r="A220" s="1" cm="1">
        <f t="array" ref="A220">IF(OR(B220:L220=""), "", A219 + 1)</f>
        <v>44178</v>
      </c>
      <c r="B220" s="9">
        <f t="shared" si="542"/>
        <v>3478</v>
      </c>
      <c r="C220" s="14">
        <f t="shared" si="543"/>
        <v>6.1017543859649123E-2</v>
      </c>
      <c r="D220" s="8">
        <f t="shared" si="544"/>
        <v>7.8238191828454706E-3</v>
      </c>
      <c r="E220" s="18">
        <f t="shared" si="545"/>
        <v>0.20853268071075559</v>
      </c>
      <c r="F220" s="9">
        <f t="shared" si="546"/>
        <v>27</v>
      </c>
      <c r="G220" s="9" t="b">
        <f>FALSE</f>
        <v>0</v>
      </c>
      <c r="H220" s="9">
        <f t="shared" si="547"/>
        <v>0</v>
      </c>
      <c r="I220">
        <v>37159</v>
      </c>
      <c r="J220" s="9">
        <f t="shared" si="548"/>
        <v>179</v>
      </c>
      <c r="K220" s="8">
        <f t="shared" si="549"/>
        <v>4.8404542996214328E-3</v>
      </c>
      <c r="L220" s="8">
        <f t="shared" si="550"/>
        <v>0.15083798882681565</v>
      </c>
      <c r="U220">
        <v>3478</v>
      </c>
    </row>
    <row r="221" spans="1:21" x14ac:dyDescent="0.3">
      <c r="A221" s="1" cm="1">
        <f t="array" ref="A221">IF(OR(B221:L221=""), "", A220 + 1)</f>
        <v>44179</v>
      </c>
      <c r="B221" s="9">
        <f t="shared" si="542"/>
        <v>3509</v>
      </c>
      <c r="C221" s="14">
        <f t="shared" si="543"/>
        <v>6.1561403508771928E-2</v>
      </c>
      <c r="D221" s="8">
        <f t="shared" si="544"/>
        <v>8.9131684876366801E-3</v>
      </c>
      <c r="E221" s="18">
        <f t="shared" si="545"/>
        <v>4.8804423123317134E-2</v>
      </c>
      <c r="F221" s="9">
        <f t="shared" si="546"/>
        <v>31</v>
      </c>
      <c r="G221" s="9" t="b">
        <f>FALSE</f>
        <v>0</v>
      </c>
      <c r="H221" s="9">
        <f t="shared" si="547"/>
        <v>0</v>
      </c>
      <c r="I221">
        <v>37455</v>
      </c>
      <c r="J221" s="9">
        <f t="shared" si="548"/>
        <v>296</v>
      </c>
      <c r="K221" s="8">
        <f t="shared" si="549"/>
        <v>7.9657687235932251E-3</v>
      </c>
      <c r="L221" s="8">
        <f t="shared" si="550"/>
        <v>0.10472972972972973</v>
      </c>
      <c r="U221">
        <v>3509</v>
      </c>
    </row>
    <row r="222" spans="1:21" x14ac:dyDescent="0.3">
      <c r="A222" s="1" cm="1">
        <f t="array" ref="A222">IF(OR(B222:L222=""), "", A221 + 1)</f>
        <v>44180</v>
      </c>
      <c r="B222" s="9">
        <f t="shared" si="542"/>
        <v>3538</v>
      </c>
      <c r="C222" s="14">
        <f t="shared" si="543"/>
        <v>6.2070175438596491E-2</v>
      </c>
      <c r="D222" s="8">
        <f t="shared" si="544"/>
        <v>8.2644628099173278E-3</v>
      </c>
      <c r="E222" s="18">
        <f t="shared" si="545"/>
        <v>7.2423139770831646E-2</v>
      </c>
      <c r="F222" s="9">
        <f t="shared" si="546"/>
        <v>29</v>
      </c>
      <c r="G222" s="9" t="b">
        <f>FALSE</f>
        <v>0</v>
      </c>
      <c r="H222" s="9">
        <f t="shared" si="547"/>
        <v>0</v>
      </c>
      <c r="I222">
        <v>37717</v>
      </c>
      <c r="J222" s="9">
        <f t="shared" si="548"/>
        <v>262</v>
      </c>
      <c r="K222" s="8">
        <f t="shared" si="549"/>
        <v>6.9950607395541375E-3</v>
      </c>
      <c r="L222" s="8">
        <f t="shared" si="550"/>
        <v>0.11068702290076336</v>
      </c>
      <c r="U222">
        <v>3538</v>
      </c>
    </row>
    <row r="223" spans="1:21" x14ac:dyDescent="0.3">
      <c r="A223" s="1" cm="1">
        <f t="array" ref="A223">IF(OR(B223:L223=""), "", A222 + 1)</f>
        <v>44181</v>
      </c>
      <c r="B223" s="9">
        <f t="shared" si="542"/>
        <v>3582</v>
      </c>
      <c r="C223" s="14">
        <f t="shared" si="543"/>
        <v>6.2842105263157894E-2</v>
      </c>
      <c r="D223" s="8">
        <f t="shared" si="544"/>
        <v>1.243640474844554E-2</v>
      </c>
      <c r="E223" s="18">
        <f t="shared" si="545"/>
        <v>0.19411073496597106</v>
      </c>
      <c r="F223" s="9">
        <f t="shared" si="546"/>
        <v>44</v>
      </c>
      <c r="G223" s="9" t="b">
        <f>FALSE</f>
        <v>0</v>
      </c>
      <c r="H223" s="9">
        <f t="shared" si="547"/>
        <v>0</v>
      </c>
      <c r="I223">
        <v>38017</v>
      </c>
      <c r="J223" s="9">
        <f t="shared" si="548"/>
        <v>300</v>
      </c>
      <c r="K223" s="8">
        <f t="shared" si="549"/>
        <v>7.9539730095181671E-3</v>
      </c>
      <c r="L223" s="8">
        <f t="shared" si="550"/>
        <v>0.14666666666666667</v>
      </c>
      <c r="U223">
        <v>3582</v>
      </c>
    </row>
  </sheetData>
  <conditionalFormatting sqref="AJ2:AJ3 L1:L1048576">
    <cfRule type="colorScale" priority="3">
      <colorScale>
        <cfvo type="min"/>
        <cfvo type="max"/>
        <color rgb="FFFCFCFF"/>
        <color rgb="FFF8696B"/>
      </colorScale>
    </cfRule>
  </conditionalFormatting>
  <conditionalFormatting sqref="AC2:AC3 E1:E1048576">
    <cfRule type="colorScale" priority="1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AB2:AB3 D2:D223">
    <cfRule type="colorScale" priority="6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AI4:AI1048576 AI1">
    <cfRule type="colorScale" priority="10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CA75B5488F9F4490F64DF16D985F35" ma:contentTypeVersion="10" ma:contentTypeDescription="Create a new document." ma:contentTypeScope="" ma:versionID="7b060d874b5c65901a00aaf7679076ea">
  <xsd:schema xmlns:xsd="http://www.w3.org/2001/XMLSchema" xmlns:xs="http://www.w3.org/2001/XMLSchema" xmlns:p="http://schemas.microsoft.com/office/2006/metadata/properties" xmlns:ns3="92a23fe9-bb14-4215-a884-b301fb81d89f" targetNamespace="http://schemas.microsoft.com/office/2006/metadata/properties" ma:root="true" ma:fieldsID="fb3e65218ff043f0e63e81afa2624639" ns3:_="">
    <xsd:import namespace="92a23fe9-bb14-4215-a884-b301fb81d89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a23fe9-bb14-4215-a884-b301fb81d8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A5E2372-BC14-45C8-8BD3-551B191DDA70}">
  <ds:schemaRefs>
    <ds:schemaRef ds:uri="http://schemas.microsoft.com/office/2006/metadata/properties"/>
    <ds:schemaRef ds:uri="http://www.w3.org/2000/xmlns/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5D092F5-C538-467B-832D-08A1A2B03E56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A512C896-1272-46E5-A8CA-039C71CC2BA5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92a23fe9-bb14-4215-a884-b301fb81d89f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BBE7907-BCE0-4064-B26B-4A3387931D7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Illinois</vt:lpstr>
      <vt:lpstr>Cook County</vt:lpstr>
      <vt:lpstr>Chicago</vt:lpstr>
      <vt:lpstr>60630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</dc:creator>
  <cp:lastModifiedBy>Michael Rupprecht</cp:lastModifiedBy>
  <dcterms:created xsi:type="dcterms:W3CDTF">2020-03-20T22:14:30Z</dcterms:created>
  <dcterms:modified xsi:type="dcterms:W3CDTF">2020-12-17T05:16:58Z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0x010100BCCA75B5488F9F4490F64DF16D985F35</vt:lpwstr>
  </property>
</Properties>
</file>